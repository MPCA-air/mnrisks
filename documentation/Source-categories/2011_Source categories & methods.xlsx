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MNRiskS 2011 development\Surrogates\"/>
    </mc:Choice>
  </mc:AlternateContent>
  <bookViews>
    <workbookView xWindow="-15" yWindow="180" windowWidth="19215" windowHeight="5535" tabRatio="879"/>
  </bookViews>
  <sheets>
    <sheet name="2011_selected categories" sheetId="2" r:id="rId1"/>
    <sheet name="Airport SCCS" sheetId="9" r:id="rId2"/>
    <sheet name="New OnRoad SCCs" sheetId="8" r:id="rId3"/>
    <sheet name="2011_cats&amp;surgagts&amp;algrthm" sheetId="6" r:id="rId4"/>
    <sheet name="2008_cats&amp;surgagts&amp;algrthm" sheetId="4" r:id="rId5"/>
    <sheet name="2008_list of all scc's &amp; tiers" sheetId="1" r:id="rId6"/>
    <sheet name="Diesel PM" sheetId="3" state="hidden" r:id="rId7"/>
    <sheet name="QA methods" sheetId="5" r:id="rId8"/>
  </sheets>
  <definedNames>
    <definedName name="_xlnm._FilterDatabase" localSheetId="5" hidden="1">'2008_list of all scc''s &amp; tiers'!$A$1:$P$27184</definedName>
    <definedName name="_xlnm._FilterDatabase" localSheetId="0" hidden="1">'2011_selected categories'!$A$1:$K$518</definedName>
    <definedName name="_xlnm._FilterDatabase" localSheetId="1" hidden="1">'Airport SCCS'!$A$1:$B$1</definedName>
  </definedNames>
  <calcPr calcId="162913"/>
</workbook>
</file>

<file path=xl/calcChain.xml><?xml version="1.0" encoding="utf-8"?>
<calcChain xmlns="http://schemas.openxmlformats.org/spreadsheetml/2006/main">
  <c r="G37" i="3" l="1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L10" i="3"/>
  <c r="L11" i="3"/>
  <c r="L12" i="3"/>
  <c r="L13" i="3"/>
  <c r="L14" i="3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<sst xmlns="http://schemas.openxmlformats.org/spreadsheetml/2006/main" count="5421" uniqueCount="2154">
  <si>
    <t>Mobile Sources</t>
  </si>
  <si>
    <t>Off-highway Vehicle Gasoline, 4-Stroke</t>
  </si>
  <si>
    <t>Airport Ground Support Equipment</t>
  </si>
  <si>
    <t>Mobile - Non-Road Equipment - Gasoline</t>
  </si>
  <si>
    <t>Off-Highway</t>
  </si>
  <si>
    <t>Non-Road Gasoline</t>
  </si>
  <si>
    <t>Airport Service</t>
  </si>
  <si>
    <t>LPG</t>
  </si>
  <si>
    <t>Mobile - Non-Road Equipment - Other</t>
  </si>
  <si>
    <t>Other</t>
  </si>
  <si>
    <t>Liquified Petroleum</t>
  </si>
  <si>
    <t>CNG</t>
  </si>
  <si>
    <t>Compressed Natural G</t>
  </si>
  <si>
    <t>Off-highway Vehicle Diesel</t>
  </si>
  <si>
    <t>Mobile - Non-Road Equipment - Diesel</t>
  </si>
  <si>
    <t>Non-Road Diesel</t>
  </si>
  <si>
    <t>Aircraft</t>
  </si>
  <si>
    <t>Military Aircraft</t>
  </si>
  <si>
    <t>Total</t>
  </si>
  <si>
    <t>Mobile - Aircraft</t>
  </si>
  <si>
    <t>Commercial Aircraft</t>
  </si>
  <si>
    <t>Total: All Types</t>
  </si>
  <si>
    <t>General Aviation</t>
  </si>
  <si>
    <t>Piston</t>
  </si>
  <si>
    <t>Turbine</t>
  </si>
  <si>
    <t>Air Taxi</t>
  </si>
  <si>
    <t>Aircraft Auxiliary Power Units</t>
  </si>
  <si>
    <t>In-flight (non-Landing-Takeoff cycle)</t>
  </si>
  <si>
    <t>Allocated point</t>
  </si>
  <si>
    <t>Industrial Processes</t>
  </si>
  <si>
    <t>Electrical Equipment</t>
  </si>
  <si>
    <t>Fluorescent Lamp Recycling</t>
  </si>
  <si>
    <t>Fluorescent Lamp Recycling: Lamp Crusher</t>
  </si>
  <si>
    <t>Industrial Processes - NEC</t>
  </si>
  <si>
    <t>Other Industrial Proce</t>
  </si>
  <si>
    <t>Electronic Equipme</t>
  </si>
  <si>
    <t>Photo Equip/Health Care/Labs/Air Condit/SwimPools</t>
  </si>
  <si>
    <t>Health Care - Crematoriums</t>
  </si>
  <si>
    <t>Crematory Stack</t>
  </si>
  <si>
    <t>Miscellaneous Indu</t>
  </si>
  <si>
    <t>Petroleum and Solvent Evaporation</t>
  </si>
  <si>
    <t>Organic Solvent Evaporation</t>
  </si>
  <si>
    <t>Dry Cleaning</t>
  </si>
  <si>
    <t>Perchloroethylene</t>
  </si>
  <si>
    <t>Solvent - Dry Cleaning</t>
  </si>
  <si>
    <t>Solvent Utilization</t>
  </si>
  <si>
    <t>Waste Disposal</t>
  </si>
  <si>
    <t>Solid Waste Disposal - Government</t>
  </si>
  <si>
    <t>Landfill Dump</t>
  </si>
  <si>
    <t>Fugitive Emissions</t>
  </si>
  <si>
    <t>Waste Disposal &amp; Recyc</t>
  </si>
  <si>
    <t>Waste Gas Destruction: Waste Gas Flares</t>
  </si>
  <si>
    <t>Landfills</t>
  </si>
  <si>
    <t>Sewage Treatment</t>
  </si>
  <si>
    <t>Entire Plant</t>
  </si>
  <si>
    <t>POTW</t>
  </si>
  <si>
    <t>Area</t>
  </si>
  <si>
    <t>Stationary Source Fuel Combustion</t>
  </si>
  <si>
    <t>Industrial</t>
  </si>
  <si>
    <t>Distillate Oil</t>
  </si>
  <si>
    <t>All Boiler Types</t>
  </si>
  <si>
    <t>Fuel Comb - Industrial Boilers, ICEs - Oil</t>
  </si>
  <si>
    <t>Fuel Comb. Industrial</t>
  </si>
  <si>
    <t>Oil</t>
  </si>
  <si>
    <t>Distillate</t>
  </si>
  <si>
    <t>All IC Engine Types</t>
  </si>
  <si>
    <t>Residual Oil</t>
  </si>
  <si>
    <t>Total: All Boiler Types</t>
  </si>
  <si>
    <t>Residual</t>
  </si>
  <si>
    <t>Natural Gas</t>
  </si>
  <si>
    <t>Total: Boilers and IC Engines</t>
  </si>
  <si>
    <t>Fuel Comb - Industrial Boilers, ICEs - Natura</t>
  </si>
  <si>
    <t>Gas</t>
  </si>
  <si>
    <t>Natural</t>
  </si>
  <si>
    <t>Liquified Petroleum Gas (LPG)</t>
  </si>
  <si>
    <t>Fuel Comb - Industrial Boilers, ICEs - Other</t>
  </si>
  <si>
    <t>Wood</t>
  </si>
  <si>
    <t>Fuel Comb - Industrial Boilers, ICEs - Biomas</t>
  </si>
  <si>
    <t>Wood/Bark Waste</t>
  </si>
  <si>
    <t>Kerosene</t>
  </si>
  <si>
    <t>Commercial/Institutional</t>
  </si>
  <si>
    <t>Boilers</t>
  </si>
  <si>
    <t>Fuel Comb - Comm/Institutional - Oil</t>
  </si>
  <si>
    <t>IC Engines</t>
  </si>
  <si>
    <t>Fuel Comb. Other</t>
  </si>
  <si>
    <t>Commercial/Institu</t>
  </si>
  <si>
    <t>Fuel Comb - Comm/Institutional - Natural Gas</t>
  </si>
  <si>
    <t>Total: All Combustor Types</t>
  </si>
  <si>
    <t>Fuel Comb - Comm/Institutional - Other</t>
  </si>
  <si>
    <t>Misc. Fuel Comb. (</t>
  </si>
  <si>
    <t>Fuel Comb - Comm/Institutional - Biomass</t>
  </si>
  <si>
    <t>Residential</t>
  </si>
  <si>
    <t>Anthracite Coal</t>
  </si>
  <si>
    <t>Fuel Comb - Residential - Other</t>
  </si>
  <si>
    <t>Residential Other</t>
  </si>
  <si>
    <t>Bituminous/Subbituminous Coal</t>
  </si>
  <si>
    <t>Bituminous/Subbitumi</t>
  </si>
  <si>
    <t>Fuel Comb - Residential - Oil</t>
  </si>
  <si>
    <t>Fuel Comb - Residential - Natural Gas</t>
  </si>
  <si>
    <t>Fireplace: general</t>
  </si>
  <si>
    <t>Fuel Comb - Residential - Wood</t>
  </si>
  <si>
    <t>Residential Wood</t>
  </si>
  <si>
    <t>Fireplaces</t>
  </si>
  <si>
    <t>Woodstove: fireplace inserts; non-EPA certified</t>
  </si>
  <si>
    <t>Woodstoves</t>
  </si>
  <si>
    <t>Woodstove: fireplace inserts; EPA certified; non-catal</t>
  </si>
  <si>
    <t>Woodstove: fireplace inserts; EPA certified; catalytic</t>
  </si>
  <si>
    <t>Woodstove: freestanding, non-EPA certified</t>
  </si>
  <si>
    <t>Woodstove: freestanding, EPA certified, non-catalytic</t>
  </si>
  <si>
    <t>Woodstove: freestanding, EPA certified, catalytic</t>
  </si>
  <si>
    <t>Woodstove: pellet-fired, general (freestanding or FP i</t>
  </si>
  <si>
    <t>Furnace: Indoor, cordwood-fired, non-EPA certified</t>
  </si>
  <si>
    <t>Hydronic heater: outdoor</t>
  </si>
  <si>
    <t>Outdoor wood burning device, NEC (fire-pits, chimeas,</t>
  </si>
  <si>
    <t>Firelog</t>
  </si>
  <si>
    <t>Total: All Heater Types</t>
  </si>
  <si>
    <t>Paved Roads</t>
  </si>
  <si>
    <t>All Paved Roads</t>
  </si>
  <si>
    <t>Total: Fugitives</t>
  </si>
  <si>
    <t>Dust - Paved Road Dust</t>
  </si>
  <si>
    <t>Miscellaneous</t>
  </si>
  <si>
    <t>Other Fugitive Dus</t>
  </si>
  <si>
    <t>Unpaved Roads</t>
  </si>
  <si>
    <t>All Unpaved Roads</t>
  </si>
  <si>
    <t>Dust - Unpaved Road Dust</t>
  </si>
  <si>
    <t>Public Unpaved Roads</t>
  </si>
  <si>
    <t>Food and Kindred Products: SIC 20</t>
  </si>
  <si>
    <t>Commercial Cooking - Charbroiling</t>
  </si>
  <si>
    <t>Conveyorized Charbroiling</t>
  </si>
  <si>
    <t>Commercial Cooking</t>
  </si>
  <si>
    <t>Agriculture, Food,</t>
  </si>
  <si>
    <t>Under-fired Charbroiling</t>
  </si>
  <si>
    <t>Commercial Cooking - Frying</t>
  </si>
  <si>
    <t>Deep Fat Fying</t>
  </si>
  <si>
    <t>Flat Griddle Frying</t>
  </si>
  <si>
    <t>Clamshell Griddle Frying</t>
  </si>
  <si>
    <t>Construction: SIC 15 - 17</t>
  </si>
  <si>
    <t>Construction</t>
  </si>
  <si>
    <t>Dust - Construction Dust</t>
  </si>
  <si>
    <t>Industrial/Commercial/Institutional</t>
  </si>
  <si>
    <t>Road Construction</t>
  </si>
  <si>
    <t>Surface Coating</t>
  </si>
  <si>
    <t>Architectural Coatings</t>
  </si>
  <si>
    <t>Total: All Solvent Types</t>
  </si>
  <si>
    <t>Solvent - Non-Industrial Surface Coating</t>
  </si>
  <si>
    <t>Architectural</t>
  </si>
  <si>
    <t>Auto Refinishing: SIC 7532</t>
  </si>
  <si>
    <t>Solvent - Industrial Surface Coating &amp; Solven</t>
  </si>
  <si>
    <t>Auto Refinishing</t>
  </si>
  <si>
    <t>Traffic Markings</t>
  </si>
  <si>
    <t>Wood Furniture: SIC 25</t>
  </si>
  <si>
    <t>Wood Furniture</t>
  </si>
  <si>
    <t>Metal Furniture: SIC 25</t>
  </si>
  <si>
    <t>Metal Furniture</t>
  </si>
  <si>
    <t>Paper: SIC 26</t>
  </si>
  <si>
    <t>Paper</t>
  </si>
  <si>
    <t>Metal Cans: SIC 341</t>
  </si>
  <si>
    <t>Metal Cans</t>
  </si>
  <si>
    <t>Machinery and Equipment: SIC 35</t>
  </si>
  <si>
    <t>Machinery</t>
  </si>
  <si>
    <t>Large Appliances: SIC 363</t>
  </si>
  <si>
    <t>Large Appliances</t>
  </si>
  <si>
    <t>Motor Vehicles: SIC 371</t>
  </si>
  <si>
    <t>Autos &amp; Light Trucks</t>
  </si>
  <si>
    <t>Aircraft: SIC 372</t>
  </si>
  <si>
    <t>Marine: SIC 373</t>
  </si>
  <si>
    <t>Large Ships</t>
  </si>
  <si>
    <t>Railroad: SIC 374</t>
  </si>
  <si>
    <t>Railroad</t>
  </si>
  <si>
    <t>Miscellaneous Manufacturing</t>
  </si>
  <si>
    <t>Industrial Maintenance Coatings</t>
  </si>
  <si>
    <t>Maintenance Coatings</t>
  </si>
  <si>
    <t>Degreasing</t>
  </si>
  <si>
    <t>All Processes/All Industries</t>
  </si>
  <si>
    <t>Solvent - Degreasing</t>
  </si>
  <si>
    <t>Graphic Arts</t>
  </si>
  <si>
    <t>All Processes</t>
  </si>
  <si>
    <t>Solvent - Graphic Arts</t>
  </si>
  <si>
    <t>Miscellaneous Non-industrial: Consumer and Commerc</t>
  </si>
  <si>
    <t>All Personal Care Products</t>
  </si>
  <si>
    <t>Solvent - Consumer &amp; Commercial Solvent Use</t>
  </si>
  <si>
    <t>Nonindustrial</t>
  </si>
  <si>
    <t>Consumer Solvents</t>
  </si>
  <si>
    <t>Personal Care Products: Miscellaneous Personal Car</t>
  </si>
  <si>
    <t>All Household Products</t>
  </si>
  <si>
    <t>All Automotive Aftermarket Products</t>
  </si>
  <si>
    <t>All Coatings and Related Products</t>
  </si>
  <si>
    <t>All Adhesives and Sealants</t>
  </si>
  <si>
    <t>Adhesives</t>
  </si>
  <si>
    <t>All FIFRA Related Products</t>
  </si>
  <si>
    <t>Pesticide Applicatio</t>
  </si>
  <si>
    <t>Miscellaneous Products (Not Otherwise Covered)</t>
  </si>
  <si>
    <t>Miscellaneous Non-industrial: Commercial</t>
  </si>
  <si>
    <t>Cutback Asphalt</t>
  </si>
  <si>
    <t>Pesticide Application: Agricultural</t>
  </si>
  <si>
    <t>Herbicides, Corn</t>
  </si>
  <si>
    <t>Herbicides, Soy Beans</t>
  </si>
  <si>
    <t>Herbicides, Hay &amp; Grains</t>
  </si>
  <si>
    <t>Herbicides, Not Elsewhere Classified</t>
  </si>
  <si>
    <t>Miscellaneous Products: NEC</t>
  </si>
  <si>
    <t>Storage and Transport</t>
  </si>
  <si>
    <t>Petroleum and Petroleum Product Storage</t>
  </si>
  <si>
    <t>Residential Portable Gas Cans</t>
  </si>
  <si>
    <t>Permeation</t>
  </si>
  <si>
    <t>Miscellaneous Non-Industrial NEC</t>
  </si>
  <si>
    <t>Storage &amp; Transport</t>
  </si>
  <si>
    <t>Petroleum &amp; Petrol</t>
  </si>
  <si>
    <t>Area Source: Gasolin</t>
  </si>
  <si>
    <t>Evaporation (includes Diurnal losses)</t>
  </si>
  <si>
    <t>Spillage During Transport</t>
  </si>
  <si>
    <t>Refilling at the Pump - Vapor Displacement</t>
  </si>
  <si>
    <t>Service Stations:</t>
  </si>
  <si>
    <t>Refilling at the Pump - Spillage</t>
  </si>
  <si>
    <t>Commercial Portable Gas Cans</t>
  </si>
  <si>
    <t>Bulk Terminals: All Evaporative Losses</t>
  </si>
  <si>
    <t>Gasoline</t>
  </si>
  <si>
    <t>Bulk Gasoline Terminals</t>
  </si>
  <si>
    <t>Bulk Terminals &amp; P</t>
  </si>
  <si>
    <t>Gasoline Service Stations</t>
  </si>
  <si>
    <t>Stage 1: Submerged Filling</t>
  </si>
  <si>
    <t>Gas Stations</t>
  </si>
  <si>
    <t>Stage 2: Total</t>
  </si>
  <si>
    <t>Underground Tank: Breathing and Emptying</t>
  </si>
  <si>
    <t>Airports : Aviation Gasoline</t>
  </si>
  <si>
    <t>Stage 1: Total</t>
  </si>
  <si>
    <t>Petroleum and Petroleum Product Transport</t>
  </si>
  <si>
    <t>Truck</t>
  </si>
  <si>
    <t>Industrial Processes - Storage and Transfer</t>
  </si>
  <si>
    <t>Inorganic Chemical Transport</t>
  </si>
  <si>
    <t>All Transport Types</t>
  </si>
  <si>
    <t>Total: All Products</t>
  </si>
  <si>
    <t>Inorganic Chemical</t>
  </si>
  <si>
    <t>Waste Disposal, Treatment, and Recovery</t>
  </si>
  <si>
    <t>Open Burning</t>
  </si>
  <si>
    <t>All Categories</t>
  </si>
  <si>
    <t>Yard Waste - Leaf Species Unspecified</t>
  </si>
  <si>
    <t>Yard Waste</t>
  </si>
  <si>
    <t>Yard Waste - Brush Species Unspecified</t>
  </si>
  <si>
    <t>Land Clearing Debris (use 28-10-005-000 for Logging De</t>
  </si>
  <si>
    <t>Land Clearing Debris</t>
  </si>
  <si>
    <t>Household Waste (use 26-10-000-xxx for Yard Wastes)</t>
  </si>
  <si>
    <t>Composting</t>
  </si>
  <si>
    <t>100% Green Waste (e.g., residential or municipal y</t>
  </si>
  <si>
    <t>Miscellaneous Area Sources</t>
  </si>
  <si>
    <t>Other Combustion</t>
  </si>
  <si>
    <t>Cremation</t>
  </si>
  <si>
    <t>Animals</t>
  </si>
  <si>
    <t>Health Services</t>
  </si>
  <si>
    <t>Hospitals</t>
  </si>
  <si>
    <t>Sterilization Operations</t>
  </si>
  <si>
    <t>Dental Alloy Production</t>
  </si>
  <si>
    <t>Overall Process</t>
  </si>
  <si>
    <t>Laboratories</t>
  </si>
  <si>
    <t>Bench Scale Reagents</t>
  </si>
  <si>
    <t>Fluorescent Lamp Breakage</t>
  </si>
  <si>
    <t>Non-recycling Related Emissions</t>
  </si>
  <si>
    <t>Swimming Pools</t>
  </si>
  <si>
    <t>Total (Commercial, Residential, Public)</t>
  </si>
  <si>
    <t>Commercial marine vessels</t>
  </si>
  <si>
    <t>Marine Vessels, Commercial</t>
  </si>
  <si>
    <t>Diesel</t>
  </si>
  <si>
    <t>Port emissions</t>
  </si>
  <si>
    <t>Mobile - Commercial Marine Vessels</t>
  </si>
  <si>
    <t>Marine Vessels</t>
  </si>
  <si>
    <t>Underway emissions</t>
  </si>
  <si>
    <t>Fires</t>
  </si>
  <si>
    <t>Agriculture Production - Crops - as nonpoint</t>
  </si>
  <si>
    <t>Agricultural Field Burning - whole field set on fi</t>
  </si>
  <si>
    <t>Unspecified crop type and Burn Method</t>
  </si>
  <si>
    <t>Fires - Agricultural Field Burning</t>
  </si>
  <si>
    <t>Agricultural Fires</t>
  </si>
  <si>
    <t>Forest Wildfires</t>
  </si>
  <si>
    <t>Wildfires</t>
  </si>
  <si>
    <t>Fires - Wildfires</t>
  </si>
  <si>
    <t>Prescribed Forest Burning</t>
  </si>
  <si>
    <t>Unspecified Burn Method</t>
  </si>
  <si>
    <t>Fires - Prescribed Fires</t>
  </si>
  <si>
    <t>Prescribed Burning</t>
  </si>
  <si>
    <t>Locomotives</t>
  </si>
  <si>
    <t>Railroad Equipment</t>
  </si>
  <si>
    <t>Line Haul Locomotives: Class I Operations</t>
  </si>
  <si>
    <t>Mobile - Locomotives</t>
  </si>
  <si>
    <t>Railroads</t>
  </si>
  <si>
    <t>Line Haul Locomotives: Class II / III Operations</t>
  </si>
  <si>
    <t>Internal Combustion Engines</t>
  </si>
  <si>
    <t>Yard Locomotives</t>
  </si>
  <si>
    <t>Nonroad</t>
  </si>
  <si>
    <t>Off-highway Vehicle Gasoline, 2-Stroke</t>
  </si>
  <si>
    <t>Recreational Equipment</t>
  </si>
  <si>
    <t>Motorcycles: Off-road</t>
  </si>
  <si>
    <t>Recreational</t>
  </si>
  <si>
    <t>Snowmobiles</t>
  </si>
  <si>
    <t>All Terrain Vehicles</t>
  </si>
  <si>
    <t>Specialty Vehicles/Carts</t>
  </si>
  <si>
    <t>Construction and Mining Equipment</t>
  </si>
  <si>
    <t>Tampers/Rammers</t>
  </si>
  <si>
    <t>Plate Compactors</t>
  </si>
  <si>
    <t>Paving Equipment</t>
  </si>
  <si>
    <t>Signal Boards/Light Plants</t>
  </si>
  <si>
    <t>Concrete/Industrial Saws</t>
  </si>
  <si>
    <t>Crushing/Processing Equipment</t>
  </si>
  <si>
    <t>Industrial Equipment</t>
  </si>
  <si>
    <t>Sweepers/Scrubbers</t>
  </si>
  <si>
    <t>Other General Industrial Equipment</t>
  </si>
  <si>
    <t>Lawn and Garden Equipment</t>
  </si>
  <si>
    <t>Rotary Tillers &lt; 6 HP (Residential)</t>
  </si>
  <si>
    <t>Lawn &amp; Garden</t>
  </si>
  <si>
    <t>Rotary Tillers &lt; 6 HP (Commercial)</t>
  </si>
  <si>
    <t>Chain Saws &lt; 6 HP (Residential)</t>
  </si>
  <si>
    <t>Chain Saws &lt; 6 HP (Commercial)</t>
  </si>
  <si>
    <t>Trimmers/Edgers/Brush Cutters (Residential)</t>
  </si>
  <si>
    <t>Trimmers/Edgers/Brush Cutters (Commercial)</t>
  </si>
  <si>
    <t>Leafblowers/Vacuums (Residential)</t>
  </si>
  <si>
    <t>Leafblowers/Vacuums (Commercial)</t>
  </si>
  <si>
    <t>Snowblowers (Residential)</t>
  </si>
  <si>
    <t>Snowblowers (Commercial)</t>
  </si>
  <si>
    <t>Turf Equipment (Commercial)</t>
  </si>
  <si>
    <t>Agricultural Equipment</t>
  </si>
  <si>
    <t>Sprayers</t>
  </si>
  <si>
    <t>Farm</t>
  </si>
  <si>
    <t>Commercial Equipment</t>
  </si>
  <si>
    <t>Generator Sets</t>
  </si>
  <si>
    <t>Light Commercial</t>
  </si>
  <si>
    <t>Pumps</t>
  </si>
  <si>
    <t>Air Compressors</t>
  </si>
  <si>
    <t>Hydro-power Units</t>
  </si>
  <si>
    <t>Logging Equipment</t>
  </si>
  <si>
    <t>Chain Saws : 6 HP</t>
  </si>
  <si>
    <t>Logging</t>
  </si>
  <si>
    <t>Golf Carts</t>
  </si>
  <si>
    <t>Pavers</t>
  </si>
  <si>
    <t>Rollers</t>
  </si>
  <si>
    <t>Surfacing Equipment</t>
  </si>
  <si>
    <t>Trenchers</t>
  </si>
  <si>
    <t>Bore/Drill Rigs</t>
  </si>
  <si>
    <t>Cement and Mortar Mixers</t>
  </si>
  <si>
    <t>Cranes</t>
  </si>
  <si>
    <t>Rough Terrain Forklifts</t>
  </si>
  <si>
    <t>Rubber Tire Loaders</t>
  </si>
  <si>
    <t>Tractors/Loaders/Backhoes</t>
  </si>
  <si>
    <t>Skid Steer Loaders</t>
  </si>
  <si>
    <t>Dumpers/Tenders</t>
  </si>
  <si>
    <t>Other Construction Equipment</t>
  </si>
  <si>
    <t>Aerial Lifts</t>
  </si>
  <si>
    <t>Forklifts</t>
  </si>
  <si>
    <t>Other Material Handling Equipment</t>
  </si>
  <si>
    <t>AC\Refrigeration</t>
  </si>
  <si>
    <t>Terminal Tractors</t>
  </si>
  <si>
    <t>Lawn Mowers (Residential)</t>
  </si>
  <si>
    <t>Lawn Mowers (Commercial)</t>
  </si>
  <si>
    <t>Rear Engine Riding Mowers (Residential)</t>
  </si>
  <si>
    <t>Rear Engine Riding Mowers (Commercial)</t>
  </si>
  <si>
    <t>Front Mowers (Commercial)</t>
  </si>
  <si>
    <t>Shredders &lt; 6 HP (Commercial)</t>
  </si>
  <si>
    <t>Lawn and Garden Tractors (Residential)</t>
  </si>
  <si>
    <t>Lawn and Garden Tractors (Commercial)</t>
  </si>
  <si>
    <t>Chippers/Stump Grinders (Commercial)</t>
  </si>
  <si>
    <t>Other Lawn and Garden Equipment (Residential)</t>
  </si>
  <si>
    <t>Other Lawn and Garden Equipment (Commercial)</t>
  </si>
  <si>
    <t>2-Wheel Tractors</t>
  </si>
  <si>
    <t>Agricultural Tractors</t>
  </si>
  <si>
    <t>Combines</t>
  </si>
  <si>
    <t>Balers</t>
  </si>
  <si>
    <t>Agricultural Mowers</t>
  </si>
  <si>
    <t>Tillers : 6 HP</t>
  </si>
  <si>
    <t>Swathers</t>
  </si>
  <si>
    <t>Other Agricultural Equipment</t>
  </si>
  <si>
    <t>Irrigation Sets</t>
  </si>
  <si>
    <t>Welders</t>
  </si>
  <si>
    <t>Pressure Washers</t>
  </si>
  <si>
    <t>Shredders : 6 HP</t>
  </si>
  <si>
    <t>Forest Eqp - Feller/Bunch/Skidder</t>
  </si>
  <si>
    <t>Other Oil Field Equipment</t>
  </si>
  <si>
    <t>Gas Compressors</t>
  </si>
  <si>
    <t>Scrapers</t>
  </si>
  <si>
    <t>Excavators</t>
  </si>
  <si>
    <t>Graders</t>
  </si>
  <si>
    <t>Off-highway Trucks</t>
  </si>
  <si>
    <t>Crawler Tractor/Dozers</t>
  </si>
  <si>
    <t>Off-highway Tractors</t>
  </si>
  <si>
    <t>Pleasure Craft</t>
  </si>
  <si>
    <t>Gasoline 2-Stroke</t>
  </si>
  <si>
    <t>Outboard</t>
  </si>
  <si>
    <t>Recreational Marine</t>
  </si>
  <si>
    <t>Personal Water Craft</t>
  </si>
  <si>
    <t>Gasoline 4-Stroke</t>
  </si>
  <si>
    <t>Inboard/Sterndrive</t>
  </si>
  <si>
    <t>Railway Maintenance</t>
  </si>
  <si>
    <t>Gasoline, 4-Stroke</t>
  </si>
  <si>
    <t>Onroad</t>
  </si>
  <si>
    <t>Highway Vehicles - Gasoline</t>
  </si>
  <si>
    <t>Light Duty Gasoline Vehicles (LDGV)</t>
  </si>
  <si>
    <t>Rural Interstate: Total</t>
  </si>
  <si>
    <t>Mobile - On-Road Gasoline Light Duty Vehicles</t>
  </si>
  <si>
    <t>Highway Vehicles</t>
  </si>
  <si>
    <t>Light-Duty Gas Veh</t>
  </si>
  <si>
    <t>Light-Duty Gas Vehic</t>
  </si>
  <si>
    <t>Rural Other Principal Arterial: Total</t>
  </si>
  <si>
    <t>Rural Minor Arterial: Total</t>
  </si>
  <si>
    <t>Rural Major Collector: Total</t>
  </si>
  <si>
    <t>Rural Minor Collector: Total</t>
  </si>
  <si>
    <t>Rural Local: Total</t>
  </si>
  <si>
    <t>Urban Interstate: Total</t>
  </si>
  <si>
    <t>Urban Other Freeways and Expressways: Total</t>
  </si>
  <si>
    <t>Urban Other Principal Arterial: Total</t>
  </si>
  <si>
    <t>Urban Minor Arterial: Total</t>
  </si>
  <si>
    <t>Urban Collector: Total</t>
  </si>
  <si>
    <t>Urban Local: Total</t>
  </si>
  <si>
    <t>Parking Area: Total</t>
  </si>
  <si>
    <t>Light Duty Gasoline Trucks 1 &amp; 2 (M6) = LDGT1 (M5)</t>
  </si>
  <si>
    <t>Light-Duty Gas Tru</t>
  </si>
  <si>
    <t>Ldgt1</t>
  </si>
  <si>
    <t>Light Duty Gasoline Trucks 3 &amp; 4 (M6) = LDGT2 (M5)</t>
  </si>
  <si>
    <t>Ldgt2</t>
  </si>
  <si>
    <t>Heavy Duty Gasoline Vehicles 2B thru 8B &amp; Buses (H</t>
  </si>
  <si>
    <t>Mobile - On-Road Gasoline Heavy Duty Vehicles</t>
  </si>
  <si>
    <t>Heavy-Duty Gas Veh</t>
  </si>
  <si>
    <t>Motorcycles (MC)</t>
  </si>
  <si>
    <t>Motorcycles</t>
  </si>
  <si>
    <t>Highway Vehicles - Diesel</t>
  </si>
  <si>
    <t>Light Duty Diesel Vehicles (LDDV)</t>
  </si>
  <si>
    <t>Mobile - On-Road Diesel Light Duty Vehicles</t>
  </si>
  <si>
    <t>Diesels</t>
  </si>
  <si>
    <t>Lddv</t>
  </si>
  <si>
    <t>Light Duty Diesel Trucks 1 thru 4 (M6) (LDDT)</t>
  </si>
  <si>
    <t>Lddt</t>
  </si>
  <si>
    <t>Heavy Duty Diesel Vehicles (HDDV) Class 2B</t>
  </si>
  <si>
    <t>Mobile - On-Road Diesel Heavy Duty Vehicles</t>
  </si>
  <si>
    <t>Hddv</t>
  </si>
  <si>
    <t>Heavy Duty Diesel Vehicles (HDDV) Class 3, 4, &amp; 5</t>
  </si>
  <si>
    <t>Heavy Duty Diesel Vehicles (HDDV) Class 6 &amp; 7</t>
  </si>
  <si>
    <t>Heavy Duty Diesel Vehicles (HDDV) Class 8A &amp; 8B</t>
  </si>
  <si>
    <t>Heavy Duty Diesel Buses (School &amp; Transit)</t>
  </si>
  <si>
    <t>Point</t>
  </si>
  <si>
    <t>Electric Generation</t>
  </si>
  <si>
    <t>Bituminous Coal</t>
  </si>
  <si>
    <t>Pulverized Coal: Dry Bottom</t>
  </si>
  <si>
    <t>Fuel Comb - Electric Generation - Coal</t>
  </si>
  <si>
    <t>Fuel Comb. Elec. Util.</t>
  </si>
  <si>
    <t>Coal</t>
  </si>
  <si>
    <t>Bituminous</t>
  </si>
  <si>
    <t>Spreader Stoker</t>
  </si>
  <si>
    <t>Traveling Grate (Overfeed) Stoker</t>
  </si>
  <si>
    <t>Subbituminous Coal</t>
  </si>
  <si>
    <t>Subbituminous</t>
  </si>
  <si>
    <t>Cyclone Furnace</t>
  </si>
  <si>
    <t>Pulverized Coal: Dry Bottom Tangential</t>
  </si>
  <si>
    <t>Residual Oil - Grade 6</t>
  </si>
  <si>
    <t>Boiler, Normal Firing</t>
  </si>
  <si>
    <t>Fuel Comb - Electric Generation - Oil</t>
  </si>
  <si>
    <t>Grade 6 Oil: Tangential Firing</t>
  </si>
  <si>
    <t>Distillate Oil - Grades 1 and 2</t>
  </si>
  <si>
    <t>Boilers &gt;= 100 Million BTU/hr except Tangential</t>
  </si>
  <si>
    <t>Fuel Comb - Electric Generation - Natural Gas</t>
  </si>
  <si>
    <t>Boilers &lt; 100 Million BTU/hr except Tangential</t>
  </si>
  <si>
    <t>Process Gas</t>
  </si>
  <si>
    <t>Boilers &gt;= 100 Million BTU/hr</t>
  </si>
  <si>
    <t>Fuel Comb - Electric Generation - Other</t>
  </si>
  <si>
    <t>Process</t>
  </si>
  <si>
    <t>Petroleum Coke</t>
  </si>
  <si>
    <t>All Boiler Sizes</t>
  </si>
  <si>
    <t>Wood/Bark Fired Boiler</t>
  </si>
  <si>
    <t>Fuel Comb - Electric Generation - Biomass</t>
  </si>
  <si>
    <t>Wood-fired Boiler - Wet Wood (&gt;=20% moisture)</t>
  </si>
  <si>
    <t>Wood-fired Boiler - Dry Wood (&lt;20% moisture)</t>
  </si>
  <si>
    <t>Propane</t>
  </si>
  <si>
    <t>Solid Waste</t>
  </si>
  <si>
    <t>Refuse Derived Fuel</t>
  </si>
  <si>
    <t>Liquid Waste</t>
  </si>
  <si>
    <t>Specify Waste Material in Comments</t>
  </si>
  <si>
    <t>Waste Oil</t>
  </si>
  <si>
    <t>Pulverized Coal</t>
  </si>
  <si>
    <t>Fuel Comb - Industrial Boilers, ICEs - Coal</t>
  </si>
  <si>
    <t>Anthracite &amp; Lignite</t>
  </si>
  <si>
    <t>Atmospheric Fluidized Bed Combustion: Bubbling Bed</t>
  </si>
  <si>
    <t>Cogeneration</t>
  </si>
  <si>
    <t>Boiler</t>
  </si>
  <si>
    <t>10-100 Million BTU/hr **</t>
  </si>
  <si>
    <t>Grade 5 Oil</t>
  </si>
  <si>
    <t>&lt; 10 Million BTU/hr **</t>
  </si>
  <si>
    <t>Grade 4 Oil</t>
  </si>
  <si>
    <t>&gt; 100 Million BTU/hr</t>
  </si>
  <si>
    <t>10-100 Million BTU/hr</t>
  </si>
  <si>
    <t>Petroleum Refinery Gas</t>
  </si>
  <si>
    <t>Bark-fired Boiler</t>
  </si>
  <si>
    <t>Wood/Bark-fired Boiler</t>
  </si>
  <si>
    <t>Wood/Bark-fired Boiler (&lt; 50,000 Lb Steam) **</t>
  </si>
  <si>
    <t>Overfeed Stoker</t>
  </si>
  <si>
    <t>Fuel Comb - Comm/Institutional - Coal</t>
  </si>
  <si>
    <t>Distillate Oil (Diesel)</t>
  </si>
  <si>
    <t>Internal Combustio</t>
  </si>
  <si>
    <t>Reciprocating</t>
  </si>
  <si>
    <t>Landfill Gas</t>
  </si>
  <si>
    <t>Reciprocating: Exhaust</t>
  </si>
  <si>
    <t>2-cycle Lean Burn</t>
  </si>
  <si>
    <t>4-cycle Rich Burn</t>
  </si>
  <si>
    <t>4-cycle Lean Burn</t>
  </si>
  <si>
    <t>Large Bore Engine</t>
  </si>
  <si>
    <t>Dual Fuel (Oil/Gas)</t>
  </si>
  <si>
    <t>Kerosene/Naphtha (Jet Fuel)</t>
  </si>
  <si>
    <t>Propane: Reciprocating</t>
  </si>
  <si>
    <t>Reciprocating Engine</t>
  </si>
  <si>
    <t>Engine Testing</t>
  </si>
  <si>
    <t>Aircraft Engine Testing</t>
  </si>
  <si>
    <t>Turbojet</t>
  </si>
  <si>
    <t>Chemical Manufacturing</t>
  </si>
  <si>
    <t>Cleaning Chemicals</t>
  </si>
  <si>
    <t>Specialty Cleaners</t>
  </si>
  <si>
    <t>Industrial Processes - Chemical Manuf</t>
  </si>
  <si>
    <t>Chemical &amp; Allied Prod</t>
  </si>
  <si>
    <t>Other Chemical Mfg</t>
  </si>
  <si>
    <t>Explosives (Trinitrotoluene)</t>
  </si>
  <si>
    <t>Batch Process: Sulfuric Acid Concentrators</t>
  </si>
  <si>
    <t>Open Burning: Waste</t>
  </si>
  <si>
    <t>Paint Manufacture</t>
  </si>
  <si>
    <t>General Mixing and Handling</t>
  </si>
  <si>
    <t>Paint, Varnish, La</t>
  </si>
  <si>
    <t>Paint &amp; Varnish Mfg</t>
  </si>
  <si>
    <t>Pigment Handling</t>
  </si>
  <si>
    <t>Other Not Classified</t>
  </si>
  <si>
    <t>Varnish Manufacturing</t>
  </si>
  <si>
    <t>Plastics Production</t>
  </si>
  <si>
    <t>Polypropylene and Copolymers</t>
  </si>
  <si>
    <t>Polymer &amp; Resin Mf</t>
  </si>
  <si>
    <t>Polypropylene Mfg</t>
  </si>
  <si>
    <t>Extruder</t>
  </si>
  <si>
    <t>Conveying</t>
  </si>
  <si>
    <t>Organic Chemical S</t>
  </si>
  <si>
    <t>General</t>
  </si>
  <si>
    <t>Polystyrene Resins</t>
  </si>
  <si>
    <t>Polyester Resins</t>
  </si>
  <si>
    <t>Reactor Kettle ** (Use 6-45-200-11 or 6-45-210-11)</t>
  </si>
  <si>
    <t>Resin Thinning Tank ** (Use 6-45-200-21 or 6-45-210-21</t>
  </si>
  <si>
    <t>Resin Storage Tank ** (Use 6-45-200-23 or 6-45-210-23)</t>
  </si>
  <si>
    <t>Reactor (Polyurethane)</t>
  </si>
  <si>
    <t>Printing Ink Manufacture</t>
  </si>
  <si>
    <t>Pigment Mixing</t>
  </si>
  <si>
    <t>Printing Ink Mfg</t>
  </si>
  <si>
    <t>Product Finishing, Thinning: Fixed Blend Tank</t>
  </si>
  <si>
    <t>Sodium Carbonate</t>
  </si>
  <si>
    <t>Soda Ash Storage: Loading and Unloading</t>
  </si>
  <si>
    <t>Sulfuric Acid (Contact Process)</t>
  </si>
  <si>
    <t>Sulfur Compounds</t>
  </si>
  <si>
    <t>Elemental Sulfur Production</t>
  </si>
  <si>
    <t>Mod. Claus: 2 Stage w/o Control (92-95% Removal)</t>
  </si>
  <si>
    <t>General/Compound Unknown **</t>
  </si>
  <si>
    <t>Chlorine Derivatives</t>
  </si>
  <si>
    <t>Organic Chemical M</t>
  </si>
  <si>
    <t>Socmi Reactor</t>
  </si>
  <si>
    <t>Methanol/Alcohol Production</t>
  </si>
  <si>
    <t>Ethanol by Fermentation</t>
  </si>
  <si>
    <t>General Processes</t>
  </si>
  <si>
    <t>Pump Seals: Light Liquid/Gas Stream</t>
  </si>
  <si>
    <t>Specify in Comments Field</t>
  </si>
  <si>
    <t>Fugitives Unclassifi</t>
  </si>
  <si>
    <t>Food and Agriculture</t>
  </si>
  <si>
    <t>Feed and Grain Terminal Elevators</t>
  </si>
  <si>
    <t>Cleaning</t>
  </si>
  <si>
    <t>Terminal Elevators</t>
  </si>
  <si>
    <t>Drying</t>
  </si>
  <si>
    <t>Loading (Shipping)</t>
  </si>
  <si>
    <t>Bulk Materials Sto</t>
  </si>
  <si>
    <t>Transfer</t>
  </si>
  <si>
    <t>Removal from Bins (Tunnel Belt)</t>
  </si>
  <si>
    <t>Fumigation Tanks</t>
  </si>
  <si>
    <t>Grain Drying - Column Dryer</t>
  </si>
  <si>
    <t>Grain Drying - Rack Dryer</t>
  </si>
  <si>
    <t>Headhouse &amp; Internal Handling (legs, belts, distributo</t>
  </si>
  <si>
    <t>Grain Cleaning - Internal Vibrating</t>
  </si>
  <si>
    <t>Storage Bin Vents</t>
  </si>
  <si>
    <t>Unloading (Receiving) from Straight Trucks</t>
  </si>
  <si>
    <t>Bulk Materials Tra</t>
  </si>
  <si>
    <t>Unloading (Receiving) from Hopper Trucks</t>
  </si>
  <si>
    <t>Unloading (Receiving) from Railcars</t>
  </si>
  <si>
    <t>Loading (Shipping) into Trucks (unspecified type)</t>
  </si>
  <si>
    <t>Loading (Shipping) into Railcars</t>
  </si>
  <si>
    <t>Loading (Shipping) into Barges</t>
  </si>
  <si>
    <t>Feed and Grain Country Elevators</t>
  </si>
  <si>
    <t>Country Elevators</t>
  </si>
  <si>
    <t>Elevator Legs (Headhouse)</t>
  </si>
  <si>
    <t>Grain Millings</t>
  </si>
  <si>
    <t>Barley Malting: Grain Receiving</t>
  </si>
  <si>
    <t>Barley Malting: Gas-fired Malt Kiln</t>
  </si>
  <si>
    <t>Other Grain Mills</t>
  </si>
  <si>
    <t>Rye: Millhouse</t>
  </si>
  <si>
    <t>General **</t>
  </si>
  <si>
    <t>Wheat Mills</t>
  </si>
  <si>
    <t>Wheat: Grain Receiving</t>
  </si>
  <si>
    <t>Wheat: Precleaning/Handling</t>
  </si>
  <si>
    <t>Wheat: Cleaning House</t>
  </si>
  <si>
    <t>Wheat: Millhouse</t>
  </si>
  <si>
    <t>Dry Corn Milling: Grain Receiving</t>
  </si>
  <si>
    <t>Dry Corn Milling: Grain Drying</t>
  </si>
  <si>
    <t>Dry Corn Milling: Precleaning/Handling</t>
  </si>
  <si>
    <t>Dry Corn Milling: Cleaning House</t>
  </si>
  <si>
    <t>Rice: Drying</t>
  </si>
  <si>
    <t>Rice: Aspirator</t>
  </si>
  <si>
    <t>Soybean: Grain Receiving</t>
  </si>
  <si>
    <t>Soybean: Drying</t>
  </si>
  <si>
    <t>Soybean Mills</t>
  </si>
  <si>
    <t>Soybean: Cracking and Dehulling</t>
  </si>
  <si>
    <t>Soybean: Hull Grinding</t>
  </si>
  <si>
    <t>Soybean: Bean Conditioning</t>
  </si>
  <si>
    <t>Soybean: Flaking</t>
  </si>
  <si>
    <t>Soybean: Meal Dryer</t>
  </si>
  <si>
    <t>Soybean: Meal Cooler</t>
  </si>
  <si>
    <t>Soybean: Bulk Loading</t>
  </si>
  <si>
    <t>Soybean: Meal Grinder/Sizing</t>
  </si>
  <si>
    <t>Feed Manufacture</t>
  </si>
  <si>
    <t>Feed Mills</t>
  </si>
  <si>
    <t>Shipping</t>
  </si>
  <si>
    <t>Handling</t>
  </si>
  <si>
    <t>Grinding</t>
  </si>
  <si>
    <t>Pellet Coolers</t>
  </si>
  <si>
    <t>Pellet Cooler</t>
  </si>
  <si>
    <t>Grain Milling: Hammermill</t>
  </si>
  <si>
    <t>Grain Milling: Flaker</t>
  </si>
  <si>
    <t>Grain Milling: Grain Cracker</t>
  </si>
  <si>
    <t>Beer Production</t>
  </si>
  <si>
    <t>Drying Spent Grains ** (use SCCs 3-02-009-30 &amp; -31)</t>
  </si>
  <si>
    <t>Brewers Grain Dryer: Natural Gas-fired</t>
  </si>
  <si>
    <t>Wines, Brandy, and Brandy Spirits</t>
  </si>
  <si>
    <t>Fermentation Tank</t>
  </si>
  <si>
    <t>Wine Fermentation - White Wine</t>
  </si>
  <si>
    <t>Meat Smokehouses</t>
  </si>
  <si>
    <t>Batch Smokehouses: Smoking Cycle</t>
  </si>
  <si>
    <t>Starch Manufacturing</t>
  </si>
  <si>
    <t>Starch Storage Bin</t>
  </si>
  <si>
    <t>Sugar Beet Processing</t>
  </si>
  <si>
    <t>Pulp Dryer : Natural Gas-fired</t>
  </si>
  <si>
    <t>Sugar Cooler</t>
  </si>
  <si>
    <t>Sugar Granulator (Dryer &amp; Cooler)</t>
  </si>
  <si>
    <t>Sugar Conveying and Sacking</t>
  </si>
  <si>
    <t>Candy Manufacturing</t>
  </si>
  <si>
    <t>Vegetable Oil Processing</t>
  </si>
  <si>
    <t>Oil Extraction</t>
  </si>
  <si>
    <t>Fugitive Leaks</t>
  </si>
  <si>
    <t>Dairy Products</t>
  </si>
  <si>
    <t>Whey Dryer</t>
  </si>
  <si>
    <t>Cheese Dryer</t>
  </si>
  <si>
    <t>Bakeries</t>
  </si>
  <si>
    <t>Bread Baking: Sponge-Dough Process</t>
  </si>
  <si>
    <t>Deep Fat Frying</t>
  </si>
  <si>
    <t>Continuous Deep Fat Fryer: Potato Chips</t>
  </si>
  <si>
    <t>Continuous Deep Fat Fryer: Other Snack Chips</t>
  </si>
  <si>
    <t>Batch Deep Fat Fryer: Potato Chips</t>
  </si>
  <si>
    <t>Animal/Poultry Rendering</t>
  </si>
  <si>
    <t>Cooking</t>
  </si>
  <si>
    <t>Material Handling</t>
  </si>
  <si>
    <t>Blood Dryer: Natural Gas Direct Fired</t>
  </si>
  <si>
    <t>Cereal</t>
  </si>
  <si>
    <t>Dryer</t>
  </si>
  <si>
    <t>Wastewater, Points of Generation</t>
  </si>
  <si>
    <t>Condensate from Condensers</t>
  </si>
  <si>
    <t>Industrial Waste W</t>
  </si>
  <si>
    <t>Other Not Specified</t>
  </si>
  <si>
    <t>Primary Metal Production</t>
  </si>
  <si>
    <t>Steel Manufacturing (See 3-03-015 for Integrated I</t>
  </si>
  <si>
    <t>Industrial Processes - Ferrous Metals</t>
  </si>
  <si>
    <t>Metals Processing</t>
  </si>
  <si>
    <t>Ferrous Metals Pro</t>
  </si>
  <si>
    <t>Primary</t>
  </si>
  <si>
    <t>Taconite Iron Ore Processing</t>
  </si>
  <si>
    <t>Primary Crushing</t>
  </si>
  <si>
    <t>Tertiary Crusher</t>
  </si>
  <si>
    <t>Ore Screening</t>
  </si>
  <si>
    <t>Ore Transfer</t>
  </si>
  <si>
    <t>Bentonite Storage</t>
  </si>
  <si>
    <t>Storage</t>
  </si>
  <si>
    <t>Bentonite Blending</t>
  </si>
  <si>
    <t>Pellet Transfer to Storage</t>
  </si>
  <si>
    <t>Haul Road: Rock</t>
  </si>
  <si>
    <t>Haul Road: Taconite</t>
  </si>
  <si>
    <t>Bentonite Transfer to Blending</t>
  </si>
  <si>
    <t>Grate/Kiln Furnace Feed</t>
  </si>
  <si>
    <t>Grate/Kiln Furnace Discharge</t>
  </si>
  <si>
    <t>Induration: Grate/Kiln, Gas-fired, Acid Pellets</t>
  </si>
  <si>
    <t>Induration: Grate/Kiln, Gas-fired, Flux Pellets</t>
  </si>
  <si>
    <t>Induration: Grate/Kiln, Coke &amp; Coal-fired, Acid Pellet</t>
  </si>
  <si>
    <t>Induration: Grate/Kiln, Coal-fired, Acid Pellets</t>
  </si>
  <si>
    <t>Induration: Grate/Kiln, Coal-fired, Flux Pellets</t>
  </si>
  <si>
    <t>Straight Grate Furnace Feed</t>
  </si>
  <si>
    <t>Straight Grate Furnace Discharge</t>
  </si>
  <si>
    <t>Induration: Straight Grate, Gas-fired, Acid Pellets</t>
  </si>
  <si>
    <t>Induration: Straight Grate, Gas-fired, Flux Pellets</t>
  </si>
  <si>
    <t>Pellet Screen</t>
  </si>
  <si>
    <t>Metal Mining (General Processes)</t>
  </si>
  <si>
    <t>Primary Crushing: Low Moisture Ore</t>
  </si>
  <si>
    <t>Industrial Processes - Mining</t>
  </si>
  <si>
    <t>Secondary Crushing: Low Moisture Ore</t>
  </si>
  <si>
    <t>Tertiary Crushing: Low Moisture Ore</t>
  </si>
  <si>
    <t>Material Handling: Low Moisture Ore</t>
  </si>
  <si>
    <t>Material Handling: High Moisture Ore</t>
  </si>
  <si>
    <t>Industrial Processes - Non-ferrous Metals</t>
  </si>
  <si>
    <t>Secondary Metal Production</t>
  </si>
  <si>
    <t>Aluminum</t>
  </si>
  <si>
    <t>Smelting Furnace/Crucible</t>
  </si>
  <si>
    <t>Non-Ferrous Metals</t>
  </si>
  <si>
    <t>Smelting Furnace/Reverberatory</t>
  </si>
  <si>
    <t>Fluxing: Chlorination (Chlorine Demagging)</t>
  </si>
  <si>
    <t>Hot Dross Processing</t>
  </si>
  <si>
    <t>Burning/Drying</t>
  </si>
  <si>
    <t>Pouring/Casting</t>
  </si>
  <si>
    <t>Copper</t>
  </si>
  <si>
    <t>Charge with Brass and Bronze: Crucible and Pot Furnace</t>
  </si>
  <si>
    <t>Charge with Brass and Bronze: Electric Induction</t>
  </si>
  <si>
    <t>Casting Operations</t>
  </si>
  <si>
    <t>Grey Iron Foundries</t>
  </si>
  <si>
    <t>Cupola</t>
  </si>
  <si>
    <t>Secondary</t>
  </si>
  <si>
    <t>Electric Induction Furnace</t>
  </si>
  <si>
    <t>Electric Arc Furnace</t>
  </si>
  <si>
    <t>Annealing Operation</t>
  </si>
  <si>
    <t>Inoculation</t>
  </si>
  <si>
    <t>Charge Handling</t>
  </si>
  <si>
    <t>Pouring, Cooling</t>
  </si>
  <si>
    <t>Core Making, Baking</t>
  </si>
  <si>
    <t>Magnesium Treatment</t>
  </si>
  <si>
    <t>Refining</t>
  </si>
  <si>
    <t>Castings Cooling</t>
  </si>
  <si>
    <t>Casting Shakeout</t>
  </si>
  <si>
    <t>Grinding/Cleaning</t>
  </si>
  <si>
    <t>Sand Grinding/Handling</t>
  </si>
  <si>
    <t>Core Ovens</t>
  </si>
  <si>
    <t>Castings Finishing</t>
  </si>
  <si>
    <t>Shell Core Machine</t>
  </si>
  <si>
    <t>Core Machines/Other</t>
  </si>
  <si>
    <t>Lead</t>
  </si>
  <si>
    <t>Reverberatory Furnace</t>
  </si>
  <si>
    <t>Blast Furnace (Cupola)</t>
  </si>
  <si>
    <t>Smelting Furnace: Fugitive Emissions</t>
  </si>
  <si>
    <t>Casting: Fugitive Emissions</t>
  </si>
  <si>
    <t>Kettle Refining</t>
  </si>
  <si>
    <t>Steel Foundries</t>
  </si>
  <si>
    <t>Heat Treating Furnace</t>
  </si>
  <si>
    <t>Metal Heat Treating</t>
  </si>
  <si>
    <t>Furnace: General</t>
  </si>
  <si>
    <t>Quench Bath</t>
  </si>
  <si>
    <t>Metallic Lead Products</t>
  </si>
  <si>
    <t>Ammunition</t>
  </si>
  <si>
    <t>Mineral Products</t>
  </si>
  <si>
    <t>Asphalt Roofing Manufacture</t>
  </si>
  <si>
    <t>Asphalt Blowing: Saturant (Use 3-05-050-10 for MACT)</t>
  </si>
  <si>
    <t>Petroleum &amp; Related In</t>
  </si>
  <si>
    <t>Asphalt Manufactur</t>
  </si>
  <si>
    <t>Asphalt Blowing: Coating (Use 3-05-050-10 for MACT)</t>
  </si>
  <si>
    <t>Felt Saturation: Dipping Only</t>
  </si>
  <si>
    <t>Asphalt Concrete</t>
  </si>
  <si>
    <t>Storage Piles</t>
  </si>
  <si>
    <t>Batch Mix Plant: Hot Elevators, Screens, Bins, Mixer &amp;</t>
  </si>
  <si>
    <t>Batch Mix Plant: Hot Elevators, Screens, Bins, Mixer&amp;</t>
  </si>
  <si>
    <t>Batch Mix Plant: Hot Elevs, Scrns, Bins, Mixer&amp; Waste/</t>
  </si>
  <si>
    <t>Drum Mix Plant: Rotary Drum Dryer / Mixer, Natural Gas</t>
  </si>
  <si>
    <t>Drum Mix Plant: Rotary Drum Dryer / Mixer, #2 Oil-Fire</t>
  </si>
  <si>
    <t>Drum Mix Plant: Rotary Drum Dryer/Mixer, Waste/Drain/#</t>
  </si>
  <si>
    <t>Brick Manufacture</t>
  </si>
  <si>
    <t>Raw Material Grinding &amp; Screening</t>
  </si>
  <si>
    <t>Curing and Firing: Gas-fired Tunnel Kilns</t>
  </si>
  <si>
    <t>Brick Dryer: Heated With Waste Heat From Kiln Cooling</t>
  </si>
  <si>
    <t>Cement Manufacturing (Dry Process)</t>
  </si>
  <si>
    <t>Raw Material Unloading</t>
  </si>
  <si>
    <t>Raw Material Transfer</t>
  </si>
  <si>
    <t>Cement Silos</t>
  </si>
  <si>
    <t>Cement Load Out</t>
  </si>
  <si>
    <t>Industrial Processes - Cement Manuf</t>
  </si>
  <si>
    <t>Cement Mfg</t>
  </si>
  <si>
    <t>Ceramic Clay/Tile Manufacture</t>
  </si>
  <si>
    <t>Raw Material Storage</t>
  </si>
  <si>
    <t>Clay and Fly Ash Sintering</t>
  </si>
  <si>
    <t>Fly Ash Sintering</t>
  </si>
  <si>
    <t>Raw Clay/Shale Transfer/Conveying</t>
  </si>
  <si>
    <t>Coal Mining, Cleaning, and Material Handling</t>
  </si>
  <si>
    <t>Unloading</t>
  </si>
  <si>
    <t>Raw Coal Storage</t>
  </si>
  <si>
    <t>Crushing</t>
  </si>
  <si>
    <t>Surface Mining</t>
  </si>
  <si>
    <t>Coal Transfer</t>
  </si>
  <si>
    <t>Screening</t>
  </si>
  <si>
    <t>Coal Loading (For Clean Coal Loading USE 30501016)</t>
  </si>
  <si>
    <t>Hauling: Haul Trucks</t>
  </si>
  <si>
    <t>Truck Unloading: End Dump - Coal</t>
  </si>
  <si>
    <t>Truck Unloading: Bottom Dump - Coal</t>
  </si>
  <si>
    <t>Open Storage Pile: Coal</t>
  </si>
  <si>
    <t>Bulldozing: Overburden</t>
  </si>
  <si>
    <t>Wind Erosion: Exposed Areas</t>
  </si>
  <si>
    <t>Vehicle Traffic: Light/Medium Vehicles</t>
  </si>
  <si>
    <t>Haul Roads: General</t>
  </si>
  <si>
    <t>Concrete Batching</t>
  </si>
  <si>
    <t>Transfer: Sand/Aggregate to Elevated Bins (See Also -0</t>
  </si>
  <si>
    <t>Cement Unloading to Elevated Storage Silo</t>
  </si>
  <si>
    <t>Weight Hopper Loading of Sand and Aggregate</t>
  </si>
  <si>
    <t>Mixer Loading of Cement/Sand/Aggregate</t>
  </si>
  <si>
    <t>Transferring: Conveyors/Elevators</t>
  </si>
  <si>
    <t>Fiberglass Manufacturing</t>
  </si>
  <si>
    <t>Glass Manufacture</t>
  </si>
  <si>
    <t>Container Glass: Melting Furnace</t>
  </si>
  <si>
    <t>Glass Mfg</t>
  </si>
  <si>
    <t>Pressed and Blown Glass: Forming/Finishing</t>
  </si>
  <si>
    <t>Raw Material Handling (All Types of Glass)</t>
  </si>
  <si>
    <t>Ground Cullet Beading Furnace</t>
  </si>
  <si>
    <t>Gypsum Manufacture</t>
  </si>
  <si>
    <t>Lime Manufacture</t>
  </si>
  <si>
    <t>Calcining: Vertical Kiln</t>
  </si>
  <si>
    <t>Raw Material Transfer and Conveying</t>
  </si>
  <si>
    <t>Hydrator: Atmospheric</t>
  </si>
  <si>
    <t>Raw Material Storage Piles</t>
  </si>
  <si>
    <t>Lime Silos</t>
  </si>
  <si>
    <t>Product Transfer and Conveying</t>
  </si>
  <si>
    <t>Product Loading, Enclosed Truck</t>
  </si>
  <si>
    <t>Product Loading, Open Truck</t>
  </si>
  <si>
    <t>Mineral Wool</t>
  </si>
  <si>
    <t>Blow Chamber</t>
  </si>
  <si>
    <t>Stone Quarrying - Processing (See also 305320)</t>
  </si>
  <si>
    <t>Stone Quarrying/Proc</t>
  </si>
  <si>
    <t>Secondary Crushing/Screening</t>
  </si>
  <si>
    <t>Tertiary Crushing/Screening</t>
  </si>
  <si>
    <t>Recrushing/Screening</t>
  </si>
  <si>
    <t>Fines Mill</t>
  </si>
  <si>
    <t>Miscellaneous Operations: Screen/Convey/Handling</t>
  </si>
  <si>
    <t>Open Storage</t>
  </si>
  <si>
    <t>Cut Stone: General</t>
  </si>
  <si>
    <t>Blasting: General</t>
  </si>
  <si>
    <t>Drilling</t>
  </si>
  <si>
    <t>Hauling</t>
  </si>
  <si>
    <t>Fines Screening</t>
  </si>
  <si>
    <t>Truck Unloading</t>
  </si>
  <si>
    <t>Truck Loading: Conveyor</t>
  </si>
  <si>
    <t>Not Classified **</t>
  </si>
  <si>
    <t>Magnesium Carbonate</t>
  </si>
  <si>
    <t>Construction Sand and Gravel</t>
  </si>
  <si>
    <t>Aggregate Storage</t>
  </si>
  <si>
    <t>Material Transfer and Conveying</t>
  </si>
  <si>
    <t>Pile Forming: Stacker</t>
  </si>
  <si>
    <t>Bulk Loading</t>
  </si>
  <si>
    <t>Industrial Sand and Gravel</t>
  </si>
  <si>
    <t>Sand Drying: Gas- or Oil-fired Rotary or Fluidized Bed</t>
  </si>
  <si>
    <t>Coated Abrasives Manufacturing</t>
  </si>
  <si>
    <t>Make Coat Application</t>
  </si>
  <si>
    <t>Pulverized Mineral Processing</t>
  </si>
  <si>
    <t>Coarse and Fine Grinding (Dry Mode)</t>
  </si>
  <si>
    <t>Classification (Dry Mode)</t>
  </si>
  <si>
    <t>Product Storage</t>
  </si>
  <si>
    <t>Flash Dryer</t>
  </si>
  <si>
    <t>Bulk Materials Conveyors</t>
  </si>
  <si>
    <t>Bulk Materials Storage Bins</t>
  </si>
  <si>
    <t>Mineral: Specify in Comments</t>
  </si>
  <si>
    <t>Bulk Materials Open Stockpiles</t>
  </si>
  <si>
    <t>Bulk Materials Unloading Operation</t>
  </si>
  <si>
    <t>Other Not Defined</t>
  </si>
  <si>
    <t>Petroleum Industry</t>
  </si>
  <si>
    <t>Process Heaters</t>
  </si>
  <si>
    <t>Oil-fired</t>
  </si>
  <si>
    <t>Industrial Processes - Petroleum Refineries</t>
  </si>
  <si>
    <t>Natural Gas-fired</t>
  </si>
  <si>
    <t>Process Gas-fired</t>
  </si>
  <si>
    <t>Catalytic Cracking Units</t>
  </si>
  <si>
    <t>Fluid Catalytic Cracking Unit</t>
  </si>
  <si>
    <t>Petroleum Refineri</t>
  </si>
  <si>
    <t>Fluid Catalytic Crac</t>
  </si>
  <si>
    <t>Wastewater Treatment</t>
  </si>
  <si>
    <t>Process Drains and Wastewater Separators</t>
  </si>
  <si>
    <t>Vacuum Distillate Column Condensors</t>
  </si>
  <si>
    <t>Vacuum Distillation Column Condenser</t>
  </si>
  <si>
    <t>Vacuum Distillation</t>
  </si>
  <si>
    <t>Cooling Towers</t>
  </si>
  <si>
    <t>Vessel Relief Valves</t>
  </si>
  <si>
    <t>Petroleum Refinery F</t>
  </si>
  <si>
    <t>Flanges: All Streams</t>
  </si>
  <si>
    <t>Flares</t>
  </si>
  <si>
    <t>Pulp and Paper and Wood Products</t>
  </si>
  <si>
    <t>Sulfate (Kraft) Pulping</t>
  </si>
  <si>
    <t>Brown Stock Washing System</t>
  </si>
  <si>
    <t>Industrial Processes - Pulp &amp; Paper</t>
  </si>
  <si>
    <t>Wood, Pulp &amp; Paper</t>
  </si>
  <si>
    <t>Sulfate (Kraft) Pulp</t>
  </si>
  <si>
    <t>Recovery Furnace/Direct Contact Evaporator</t>
  </si>
  <si>
    <t>Smelt Dissolving Tank</t>
  </si>
  <si>
    <t>Lime Kiln</t>
  </si>
  <si>
    <t>Recovery Furnace/Indirect Contact Evaporator</t>
  </si>
  <si>
    <t>Wastewater: General</t>
  </si>
  <si>
    <t>Paper and Paperboard Manufacture</t>
  </si>
  <si>
    <t>Paper Machine / Pulp Dryer</t>
  </si>
  <si>
    <t>See Comment **</t>
  </si>
  <si>
    <t>Plywood Operations</t>
  </si>
  <si>
    <t>Particleboard Drying(See 3-07-006 For More Detailed Pa</t>
  </si>
  <si>
    <t>Hardboard: Core Dryer</t>
  </si>
  <si>
    <t>Hardboard: Pressing</t>
  </si>
  <si>
    <t>Hardwood Plywood, Veneer Dryer, Indirect-heated, Heate</t>
  </si>
  <si>
    <t>Plywood Press: Urea-formaldehyde Resin</t>
  </si>
  <si>
    <t>Sawmill Operations</t>
  </si>
  <si>
    <t>Log Debarking</t>
  </si>
  <si>
    <t>Log Sawing</t>
  </si>
  <si>
    <t>Sawdust Pile Handling</t>
  </si>
  <si>
    <t>Sawing: Cyclone Exhaust</t>
  </si>
  <si>
    <t>Planning/Trimming: Cyclone Exhaust</t>
  </si>
  <si>
    <t>Sanding: Cyclone Exhaust</t>
  </si>
  <si>
    <t>Sanderdust: Cyclone Exhaust</t>
  </si>
  <si>
    <t>Other Cyclones: Exhaust</t>
  </si>
  <si>
    <t>Medium Density Fiberboard (MDF) Manufacture</t>
  </si>
  <si>
    <t>Indirect-heated Tube Dryer, 50% Softwood, 50% Hardwood</t>
  </si>
  <si>
    <t>Oriented Strandboard (OSB) Manufacture</t>
  </si>
  <si>
    <t>Direct Wood-fired Rotary Dryer, Aspen</t>
  </si>
  <si>
    <t>Direct Wood-fired Rotary Dryer, Softwoods</t>
  </si>
  <si>
    <t>Direct Wood-fired Rotary Dryer, Hardwoods</t>
  </si>
  <si>
    <t>Hot Press, Phenol-Formaldehyde Resin</t>
  </si>
  <si>
    <t>Miscellaneous Paper Products</t>
  </si>
  <si>
    <t>Furniture Manufacture</t>
  </si>
  <si>
    <t>Machine Room</t>
  </si>
  <si>
    <t>Veneer Hot Press, Urea Formaldehyde Resin</t>
  </si>
  <si>
    <t>Miscellaneous Wood Working Operations</t>
  </si>
  <si>
    <t>Wood Waste Storage Bin Vent</t>
  </si>
  <si>
    <t>Wood Waste Storage Bin Loadout</t>
  </si>
  <si>
    <t>Rubber and Miscellaneous Plastics Products</t>
  </si>
  <si>
    <t>Other Fabricated Plastics</t>
  </si>
  <si>
    <t>Rubber &amp; Miscellan</t>
  </si>
  <si>
    <t>Fiberglass Resin Products</t>
  </si>
  <si>
    <t>Plastics Machining: Drilling/Sanding/Sawing/etc.</t>
  </si>
  <si>
    <t>Solvent Consumption</t>
  </si>
  <si>
    <t>Gel Coat: Manual Application</t>
  </si>
  <si>
    <t>Gel Coat: Atomized Spray</t>
  </si>
  <si>
    <t>Mechanical Resin Applic: Non-atomized spray(incl press</t>
  </si>
  <si>
    <t>Mechanical Resin Application: (non-vapor-suppressed)</t>
  </si>
  <si>
    <t>Resin Closed Molding</t>
  </si>
  <si>
    <t>Plastic Miscellaneous Products</t>
  </si>
  <si>
    <t>Polystyrene: General</t>
  </si>
  <si>
    <t>Fabricated Metal Products</t>
  </si>
  <si>
    <t>Abrasive Blasting of Metal Parts</t>
  </si>
  <si>
    <t>Machinery Products</t>
  </si>
  <si>
    <t>Sand Abrasive</t>
  </si>
  <si>
    <t>Garnet Abrasive</t>
  </si>
  <si>
    <t>Steel Grit Abrasive</t>
  </si>
  <si>
    <t>Electroplating Operations</t>
  </si>
  <si>
    <t>Entire Process: Nickel</t>
  </si>
  <si>
    <t>Hard Chromium - Electroplating Tank</t>
  </si>
  <si>
    <t>Decorative Chromium - Electroplating Tank</t>
  </si>
  <si>
    <t>Copper (cyanide, including strike) - Electroplating Ta</t>
  </si>
  <si>
    <t>Copper (general) - Electroplating Tank 1000 amp-hr cur</t>
  </si>
  <si>
    <t>Nickel (sulfamate or watts) - Electroplating Tank 1000</t>
  </si>
  <si>
    <t>Conversion Coating of Metal Products</t>
  </si>
  <si>
    <t>Alkaline Cleaning Bath</t>
  </si>
  <si>
    <t>Acid Cleaning Bath (Pickling)</t>
  </si>
  <si>
    <t>Chemical Milling of Metal Products</t>
  </si>
  <si>
    <t>Milling Tank</t>
  </si>
  <si>
    <t>Drum Cleaning/Reclamation</t>
  </si>
  <si>
    <t>Drum Burning Furnace</t>
  </si>
  <si>
    <t>Machining Operations</t>
  </si>
  <si>
    <t>Plasma Torch</t>
  </si>
  <si>
    <t>Metal Deposition Processes</t>
  </si>
  <si>
    <t>Plasma Arc Spraying of Powdered Metal</t>
  </si>
  <si>
    <t>Shielded Metal Arc Welding (SMAW)</t>
  </si>
  <si>
    <t>14Mn-4Cr Electrode</t>
  </si>
  <si>
    <t>Gas Metal Arc Welding (GMAW)</t>
  </si>
  <si>
    <t>Machinery, Miscellaneous</t>
  </si>
  <si>
    <t>Miscellaneous Machinery</t>
  </si>
  <si>
    <t>Electrical Switch Manufacture</t>
  </si>
  <si>
    <t>Electrical Switch Manufacture: Overall Process</t>
  </si>
  <si>
    <t>Manufacturing - General</t>
  </si>
  <si>
    <t>Circuit Board Manufacturing</t>
  </si>
  <si>
    <t>Manufacturing - General Processes</t>
  </si>
  <si>
    <t>Soldering</t>
  </si>
  <si>
    <t>Semiconductor Manufacturing</t>
  </si>
  <si>
    <t>Integrated Circuit Manufacturing: General</t>
  </si>
  <si>
    <t>Cleaning Processes: Wet Chemical: Specify Aqueous Solu</t>
  </si>
  <si>
    <t>Photoresist Operations: General</t>
  </si>
  <si>
    <t>Etching Process: Wet Chemical: Specify Aqueous Solutio</t>
  </si>
  <si>
    <t>Etching Process: Plasma/Reactive Ion: Specify Gas Used</t>
  </si>
  <si>
    <t>Miscellaneous Operations: General: Specify Material</t>
  </si>
  <si>
    <t>Transportation Equipment</t>
  </si>
  <si>
    <t>Auto Body Shredding</t>
  </si>
  <si>
    <t>Primary Metal Recovery Line</t>
  </si>
  <si>
    <t>Transportation Equ</t>
  </si>
  <si>
    <t>Boat Manufacturing</t>
  </si>
  <si>
    <t>Health Care - Hospitals</t>
  </si>
  <si>
    <t>Sterilization with Ethylene Oxide</t>
  </si>
  <si>
    <t>Laboratory Fugitive Emissions</t>
  </si>
  <si>
    <t>Bench Scale Reagents: Research</t>
  </si>
  <si>
    <t>Photographic Film Manufacturing</t>
  </si>
  <si>
    <t>Product Manufacturing - Finishing Operations</t>
  </si>
  <si>
    <t>General Film Manufacturing</t>
  </si>
  <si>
    <t>Cooling Tower</t>
  </si>
  <si>
    <t>Process Cooling</t>
  </si>
  <si>
    <t>Mechanical Draft</t>
  </si>
  <si>
    <t>In-process Fuel Use</t>
  </si>
  <si>
    <t>Miscellaneous Manufacturing Industries</t>
  </si>
  <si>
    <t>Natural Gas: Incinerators</t>
  </si>
  <si>
    <t>Process Gas: Flares</t>
  </si>
  <si>
    <t>Miscellaneous Industrial Processes</t>
  </si>
  <si>
    <t>Perchloroethylene: Open-top Vapor Degreasing</t>
  </si>
  <si>
    <t>Open Top</t>
  </si>
  <si>
    <t>Methylene Chloride: Open-top Vapor Degreasing</t>
  </si>
  <si>
    <t>Trichloroethylene: Open-top Vapor Degreasing</t>
  </si>
  <si>
    <t>Trichloroethylene: Conveyorized Vapor Degreasing</t>
  </si>
  <si>
    <t>Conveyorized</t>
  </si>
  <si>
    <t>Methylene Chloride: General Degreasing Units</t>
  </si>
  <si>
    <t>Trichloroethylene: General Degreasing Units</t>
  </si>
  <si>
    <t>Other Not Classified: General Degreasing Units</t>
  </si>
  <si>
    <t>Cold Solvent Cleaning/Stripping</t>
  </si>
  <si>
    <t>Stoddard (Petroleum Solvent)</t>
  </si>
  <si>
    <t>Cold Cleaning</t>
  </si>
  <si>
    <t>Trichloroethylene</t>
  </si>
  <si>
    <t>Methyl Ethyl Ketone</t>
  </si>
  <si>
    <t>Acetone</t>
  </si>
  <si>
    <t>Surface Coating Operations</t>
  </si>
  <si>
    <t>Surface Coating Application - General</t>
  </si>
  <si>
    <t>Paint: Solvent-base</t>
  </si>
  <si>
    <t>Paint: Water-base</t>
  </si>
  <si>
    <t>Varnish/Shellac</t>
  </si>
  <si>
    <t>Lacquer</t>
  </si>
  <si>
    <t>Enamel</t>
  </si>
  <si>
    <t>Primer</t>
  </si>
  <si>
    <t>Adhesive Application</t>
  </si>
  <si>
    <t>Industrial Adhesives</t>
  </si>
  <si>
    <t>Adhesive: Solvent Mixing</t>
  </si>
  <si>
    <t>Adhesive: General</t>
  </si>
  <si>
    <t>Thinning Solvents - General</t>
  </si>
  <si>
    <t>General: Specify in Comments</t>
  </si>
  <si>
    <t>Thinning Solvents</t>
  </si>
  <si>
    <t>Ethyl Alcohol</t>
  </si>
  <si>
    <t>Isopropyl Alcohol</t>
  </si>
  <si>
    <t>Methyl Alcohol</t>
  </si>
  <si>
    <t>Mineral Spirits</t>
  </si>
  <si>
    <t>Methylene Chloride</t>
  </si>
  <si>
    <t>Paper Coating</t>
  </si>
  <si>
    <t>Coating Operation</t>
  </si>
  <si>
    <t>Coating Mixing</t>
  </si>
  <si>
    <t>Equipment Cleanup</t>
  </si>
  <si>
    <t>Automobiles and Light Trucks</t>
  </si>
  <si>
    <t>Metal Can Coating</t>
  </si>
  <si>
    <t>Wood Furniture Surface Coating</t>
  </si>
  <si>
    <t>Metal Furniture Operations</t>
  </si>
  <si>
    <t>Flatwood Products</t>
  </si>
  <si>
    <t>Stain Application</t>
  </si>
  <si>
    <t>Plastic Parts</t>
  </si>
  <si>
    <t>Large Aircraft</t>
  </si>
  <si>
    <t>Topcoat Operation</t>
  </si>
  <si>
    <t>Miscellaneous Metal Parts</t>
  </si>
  <si>
    <t>Misc. Metal Parts</t>
  </si>
  <si>
    <t>Cleaning/Pretreatment</t>
  </si>
  <si>
    <t>Steel Drums</t>
  </si>
  <si>
    <t>Coating</t>
  </si>
  <si>
    <t>Petroleum Product Storage at Refineries</t>
  </si>
  <si>
    <t>Fixed Roof Tanks (Varying Sizes)</t>
  </si>
  <si>
    <t>Gasoline RVP 13: Breathing Loss (67000 Bbl. Tank Size)</t>
  </si>
  <si>
    <t>Fixed Roof Gasoline</t>
  </si>
  <si>
    <t>Gasoline RVP 10: Breathing Loss (67000 Bbl. Tank Size)</t>
  </si>
  <si>
    <t>Gasoline RVP 10: Breathing Loss (250000 Bbl. Tank Size</t>
  </si>
  <si>
    <t>Gasoline RVP 13: Working Loss (Tank Diameter Independe</t>
  </si>
  <si>
    <t>Gasoline RVP 10: Working Loss (Tank Diameter Independe</t>
  </si>
  <si>
    <t>Crude Oil RVP 5: Breathing Loss (250000 Bbl. Tank Size</t>
  </si>
  <si>
    <t>Fixed Roof Crude</t>
  </si>
  <si>
    <t>Crude Oil RVP 5: Working Loss (Tank Diameter Independe</t>
  </si>
  <si>
    <t>Jet Kerosene: Breathing Loss (67000 Bbl. Tank Size)</t>
  </si>
  <si>
    <t>Jet Kerosene: Breathing Loss (250000 Bbl. Tank Size)</t>
  </si>
  <si>
    <t>Jet Kerosene: Working Loss (Tank Diameter Independent)</t>
  </si>
  <si>
    <t>Distillate Fuel #2: Breathing Loss (67000 Bbl. Tank Si</t>
  </si>
  <si>
    <t>Distillate Fuel #2: Breathing Loss (250000 Bbl. Tank S</t>
  </si>
  <si>
    <t>Distillate Fuel #2: Working Loss (Tank Diameter Indepe</t>
  </si>
  <si>
    <t>Specify Liquid: Breathing Loss (67000 Bbl. Tank Size)</t>
  </si>
  <si>
    <t>Specify Liquid: Working Loss (Tank Diameter Independen</t>
  </si>
  <si>
    <t>Floating Roof Tanks (Varying Sizes)</t>
  </si>
  <si>
    <t>Gasoline RVP 13/10/7: Withdrawal Loss (67000 Bbl. Tank</t>
  </si>
  <si>
    <t>Floating Roof Gasoli</t>
  </si>
  <si>
    <t>Gasoline RVP 13/10/7: Withdrawal Loss (250000 Bbl.Tank</t>
  </si>
  <si>
    <t>Distillate Fuel #2: Standing Loss (67000 Bbl. Tank Siz</t>
  </si>
  <si>
    <t>Crude Oil RVP 5: Withdrawal Loss</t>
  </si>
  <si>
    <t>Jet Naphtha (JP-4): Withdrawal Loss</t>
  </si>
  <si>
    <t>Crude Oil: Standing Loss - External - Primary Seal</t>
  </si>
  <si>
    <t>Efr / Seal Crude</t>
  </si>
  <si>
    <t>Crude Oil: Standing Loss - External - Secondary Seal</t>
  </si>
  <si>
    <t>Gasoline: Standing Loss - Internal</t>
  </si>
  <si>
    <t>Ifr / Seal Gasoline</t>
  </si>
  <si>
    <t>Jet Naphtha (JP-4): Standing Loss - Internal</t>
  </si>
  <si>
    <t>Distillate Fuel #2: Standing Loss - Internal</t>
  </si>
  <si>
    <t>Variable Vapor Space</t>
  </si>
  <si>
    <t>Jet Naphtha (JP-4): Filling Loss</t>
  </si>
  <si>
    <t>Petroleum Liquids Storage (non-Refinery)</t>
  </si>
  <si>
    <t>Bulk Terminals</t>
  </si>
  <si>
    <t>Gasoline RVP 13: Breathing Loss (67000 Bbl Capacity) -</t>
  </si>
  <si>
    <t>Fixed Roof</t>
  </si>
  <si>
    <t>Gasoline RVP 10: Breathing Loss (67000 Bbl Capacity) -</t>
  </si>
  <si>
    <t>Gasoline RVP 13: Working Loss (Diam. Independent) - Fi</t>
  </si>
  <si>
    <t>Gasoline RVP 10: Working Loss (Diameter Independent) -</t>
  </si>
  <si>
    <t>Gasoline RVP 13/10/7: Withdrawal Loss (67000 Bbl Cap.)</t>
  </si>
  <si>
    <t>Floating Roof</t>
  </si>
  <si>
    <t>Diesel Fuel: Standing Loss (Diameter Independent) - Fi</t>
  </si>
  <si>
    <t>Diesel Fuel: Working Loss (Diameter Independent) - Fix</t>
  </si>
  <si>
    <t>Valves, Flanges, and Pumps</t>
  </si>
  <si>
    <t>Bulk Plants</t>
  </si>
  <si>
    <t>Oil and Gas Field Storage and Working Tanks</t>
  </si>
  <si>
    <t>Fixed Roof Tank: Working Loss</t>
  </si>
  <si>
    <t>Internal Floating Roof Tank: Withdrawal Loss</t>
  </si>
  <si>
    <t>Petroleum Products - Underground Tanks</t>
  </si>
  <si>
    <t>Gasoline RVP 10: Working Loss</t>
  </si>
  <si>
    <t>Underground Tanks</t>
  </si>
  <si>
    <t>Gasoline RVP 7: Working Loss</t>
  </si>
  <si>
    <t>Crude Oil RVP 5: Working Loss</t>
  </si>
  <si>
    <t>Distillate Fuel #2: Breathing Loss</t>
  </si>
  <si>
    <t>Distillate Fuel #2: Working Loss</t>
  </si>
  <si>
    <t>Printing/Publishing</t>
  </si>
  <si>
    <t>Letter Press</t>
  </si>
  <si>
    <t>Printing</t>
  </si>
  <si>
    <t>Letterpress</t>
  </si>
  <si>
    <t>Cleaning Solution</t>
  </si>
  <si>
    <t>Flexographic</t>
  </si>
  <si>
    <t>Lithographic</t>
  </si>
  <si>
    <t>Offset Lithography</t>
  </si>
  <si>
    <t>Dampening Solution with Alcohol Substitute</t>
  </si>
  <si>
    <t>Screen Printing</t>
  </si>
  <si>
    <t>SCC Needs to be Assigned</t>
  </si>
  <si>
    <t>Transportation and Marketing of Petroleum Products</t>
  </si>
  <si>
    <t>Tank Cars and Trucks</t>
  </si>
  <si>
    <t>Distillate Oil: Submerged Loading **</t>
  </si>
  <si>
    <t>Gasoline: Submerged Loading (Normal Service)</t>
  </si>
  <si>
    <t>Gasoline Loading: No</t>
  </si>
  <si>
    <t>Crude Oil: Submerged Loading (Normal Service)</t>
  </si>
  <si>
    <t>Distillate Oil: Submerged Loading (Normal Service)</t>
  </si>
  <si>
    <t>Gasoline: Splash Loading (Normal Service)</t>
  </si>
  <si>
    <t>Distillate Oil: Splash Loading (Normal Service)</t>
  </si>
  <si>
    <t>Gasoline: Ship Loading - Uncleaned Tanks</t>
  </si>
  <si>
    <t>Marine Vessel Loadin</t>
  </si>
  <si>
    <t>Pipeline Petroleum Transport - General - All Produ</t>
  </si>
  <si>
    <t>Pump Station</t>
  </si>
  <si>
    <t>Organic Chemical Storage</t>
  </si>
  <si>
    <t>Fixed Roof Tanks - Alcohols</t>
  </si>
  <si>
    <t>Cyclohexanol: Working Loss</t>
  </si>
  <si>
    <t>Ethyl Alcohol: Breathing Loss</t>
  </si>
  <si>
    <t>Ethyl Alcohol: Working Loss</t>
  </si>
  <si>
    <t>Isobutyl Alcohol: Breathing Loss</t>
  </si>
  <si>
    <t>Isobutyl Alcohol: Working Loss</t>
  </si>
  <si>
    <t>Isopropyl Alcohol: Breathing Loss</t>
  </si>
  <si>
    <t>Isopropyl Alcohol: Working Loss</t>
  </si>
  <si>
    <t>Methyl Alcohol: Breathing Loss</t>
  </si>
  <si>
    <t>Methyl Alcohol: Working Loss</t>
  </si>
  <si>
    <t>N-Propyl Alcohol: Breathing Loss</t>
  </si>
  <si>
    <t>N-Propyl Alcohol: Working Loss</t>
  </si>
  <si>
    <t>Fixed Roof Tanks - Alkanes (Paraffins)</t>
  </si>
  <si>
    <t>Naphtha: Breathing Loss</t>
  </si>
  <si>
    <t>Naphtha: Working Loss</t>
  </si>
  <si>
    <t>Petroleum Distillate: Breathing Loss</t>
  </si>
  <si>
    <t>Fixed Roof Tanks - Aromatics</t>
  </si>
  <si>
    <t>Styrene: Breathing Loss</t>
  </si>
  <si>
    <t>Styrene: Working Loss</t>
  </si>
  <si>
    <t>Toluene: Breathing Loss</t>
  </si>
  <si>
    <t>Toluene: Working Loss</t>
  </si>
  <si>
    <t>p-Xylene: Breathing Loss</t>
  </si>
  <si>
    <t>p-Xylene: Working Loss</t>
  </si>
  <si>
    <t>Fixed Roof Tanks - Glycols</t>
  </si>
  <si>
    <t>Ethylene Glycol: Breathing Loss</t>
  </si>
  <si>
    <t>Fixed Roof Tanks - Ketones</t>
  </si>
  <si>
    <t>Cyclohexanone: Breathing Loss</t>
  </si>
  <si>
    <t>Floating Roof Tanks - Alkanes (Paraffins)</t>
  </si>
  <si>
    <t>n-Hexane: Standing Loss</t>
  </si>
  <si>
    <t>n-Hexane: Withdrawal Loss</t>
  </si>
  <si>
    <t>Specify in Comments</t>
  </si>
  <si>
    <t>Organic Chemical Transportation</t>
  </si>
  <si>
    <t>Equipment Leaks</t>
  </si>
  <si>
    <t>Organic Chemical T</t>
  </si>
  <si>
    <t>Waste Solvent Recovery Operations</t>
  </si>
  <si>
    <t>Solvent Loading</t>
  </si>
  <si>
    <t>Municipal Incineration</t>
  </si>
  <si>
    <t>Starved Air: Multiple Chamber</t>
  </si>
  <si>
    <t>Incineration</t>
  </si>
  <si>
    <t>Municipal Incinerato</t>
  </si>
  <si>
    <t>Mass Burn Refractory Wall Combustor</t>
  </si>
  <si>
    <t>Mass Burn Waterwall Combustor</t>
  </si>
  <si>
    <t>Waste Gas Recovery: Internal Combustion Device</t>
  </si>
  <si>
    <t>Other Incineration</t>
  </si>
  <si>
    <t>Sludge: Multiple Hearth</t>
  </si>
  <si>
    <t>Primary Settling Tank</t>
  </si>
  <si>
    <t>Secondary Settling Tank</t>
  </si>
  <si>
    <t>Aeration Tank</t>
  </si>
  <si>
    <t>Solid Waste Disposal - Commercial/Institutional</t>
  </si>
  <si>
    <t>Multiple Chamber</t>
  </si>
  <si>
    <t>Commercial/Instituti</t>
  </si>
  <si>
    <t>Incineration: Special Purpose</t>
  </si>
  <si>
    <t>Medical Waste Incinerator, unspecified type, Infectiou</t>
  </si>
  <si>
    <t>Waste Gas Flares ** (Use 5-01-004-10)</t>
  </si>
  <si>
    <t>Municipal: Fugitive Emissions ** (Use 5-01-004-02)</t>
  </si>
  <si>
    <t>Solid Waste Disposal - Industrial</t>
  </si>
  <si>
    <t>Single Chamber</t>
  </si>
  <si>
    <t>Modular Excess-air Combustor</t>
  </si>
  <si>
    <t>Hazardous Waste</t>
  </si>
  <si>
    <t>Sludge</t>
  </si>
  <si>
    <t>Waste Gas Flares</t>
  </si>
  <si>
    <t>Hazardous: Fugitive Emissions</t>
  </si>
  <si>
    <t>Waste Treatment: General</t>
  </si>
  <si>
    <t>Site Remediation</t>
  </si>
  <si>
    <t>Air Stripping of Groundwater</t>
  </si>
  <si>
    <t>Air Stripping Tower</t>
  </si>
  <si>
    <t>Thermal Destruction</t>
  </si>
  <si>
    <t>Waste Disposal: Landfill</t>
  </si>
  <si>
    <t>Biological Treatment</t>
  </si>
  <si>
    <t>Bioreactors: Sequencing Batch</t>
  </si>
  <si>
    <t>Source Caterogy</t>
  </si>
  <si>
    <t>SCC</t>
  </si>
  <si>
    <t>SCC Level1</t>
  </si>
  <si>
    <t>SCC Level2</t>
  </si>
  <si>
    <t>SCC Level3</t>
  </si>
  <si>
    <t>SCC Level4</t>
  </si>
  <si>
    <t>Sector</t>
  </si>
  <si>
    <t>Tier1</t>
  </si>
  <si>
    <t>Tier2</t>
  </si>
  <si>
    <t>Tier3</t>
  </si>
  <si>
    <t>Entire Process: General</t>
  </si>
  <si>
    <t>Unclassified</t>
  </si>
  <si>
    <t>Combustion</t>
  </si>
  <si>
    <t>Fuel</t>
  </si>
  <si>
    <t>Type</t>
  </si>
  <si>
    <t>Device</t>
  </si>
  <si>
    <t>Internal</t>
  </si>
  <si>
    <t>4-Stroke</t>
  </si>
  <si>
    <t>External</t>
  </si>
  <si>
    <t>Incinerator</t>
  </si>
  <si>
    <t>All</t>
  </si>
  <si>
    <t>Heater</t>
  </si>
  <si>
    <t>None</t>
  </si>
  <si>
    <t>2-Stroke</t>
  </si>
  <si>
    <t>Dual Fuel (Gas/Oil)</t>
  </si>
  <si>
    <t>Explosives</t>
  </si>
  <si>
    <t>Flare</t>
  </si>
  <si>
    <t>Refuse</t>
  </si>
  <si>
    <t>Aviation Gasoline</t>
  </si>
  <si>
    <t>Engine</t>
  </si>
  <si>
    <t>Household Waste</t>
  </si>
  <si>
    <t>Agriculture Products</t>
  </si>
  <si>
    <t>Forest</t>
  </si>
  <si>
    <t>Kiln</t>
  </si>
  <si>
    <t>Coke &amp; Coal</t>
  </si>
  <si>
    <t>Furnace</t>
  </si>
  <si>
    <t>Agriculture - Crops</t>
  </si>
  <si>
    <t>Tilling</t>
  </si>
  <si>
    <t>Agricultural Crops</t>
  </si>
  <si>
    <t/>
  </si>
  <si>
    <t>surrogate for apportioning</t>
  </si>
  <si>
    <t>airports</t>
  </si>
  <si>
    <t>Airport Ground Support Equipment - Mobile - Non-Road Equipment - Gasoline</t>
  </si>
  <si>
    <t>Airport Ground Support Equipment - Mobile - Non-Road Equipment - Other - LPG</t>
  </si>
  <si>
    <t>Airport Ground Support Equipment - Mobile - Non-Road Equipment - Other - CNG</t>
  </si>
  <si>
    <t>Airport Ground Support Equipment - Mobile - Non-Road Equipment - Diesel</t>
  </si>
  <si>
    <t>General Aviation - Piston</t>
  </si>
  <si>
    <t>General Aviation - Turbine</t>
  </si>
  <si>
    <t>Air Taxi - Piston</t>
  </si>
  <si>
    <t>Air Taxi - Turbine</t>
  </si>
  <si>
    <t>MNRiskS category name</t>
  </si>
  <si>
    <t>area - industrial + commercial/institutional</t>
  </si>
  <si>
    <t>fraction of land in land use category 82 (crop production)</t>
  </si>
  <si>
    <t>Industrial - Distillate Oil - All Boiler Types</t>
  </si>
  <si>
    <t>Industrial - Distillate Oil - All IC Engine Types</t>
  </si>
  <si>
    <t>Industrial - Residual Oil - Total All Boiler Types</t>
  </si>
  <si>
    <t>Industrial - Natural Gas - Total: Boilers and dIC Engines</t>
  </si>
  <si>
    <t>Industrial - Wood - Total: All Boiler Types</t>
  </si>
  <si>
    <t>Industrial - Liquified Petroleum Gas (LPG) - Total: All Boiler Types</t>
  </si>
  <si>
    <t>Industrial - Kerosene - Total: All Boiler Types</t>
  </si>
  <si>
    <t>Commercial/Institutional - Distillate Oil - Boilers</t>
  </si>
  <si>
    <t>Commercial/Institutional - Distillate Oil - IC Engines</t>
  </si>
  <si>
    <t>Commercial/Institutional - Residual Oil - Total: All Boiler Types</t>
  </si>
  <si>
    <t>N/A</t>
  </si>
  <si>
    <t>Commercial/Institutional - Natural Gas - Total: Boilers and IC Engines</t>
  </si>
  <si>
    <t>Commercial/Institutional - Liquified ddPetroleum Gas (LPG) - Total: All Combustor Types</t>
  </si>
  <si>
    <t>Commercial/Institutional - Wood - Total: All Boiler Types</t>
  </si>
  <si>
    <t>Commercial/Institutional - Kerosene - Total: All Combustor Types</t>
  </si>
  <si>
    <t>area - food and kindred products</t>
  </si>
  <si>
    <t>Commercial Cooking - Frying - Clamshell Griddle Frying</t>
  </si>
  <si>
    <t>Commercial Cooking - Frying - Flat Griddle Frying</t>
  </si>
  <si>
    <t>Commercial Cooking - Frying - Deep Fat Frying</t>
  </si>
  <si>
    <t>Commercial Cooking - Charbroiling - Conveyorized Charbroiling</t>
  </si>
  <si>
    <t>Commercial Cooking - Charbroiling - Under-fired Charbroiling</t>
  </si>
  <si>
    <t>area - health services</t>
  </si>
  <si>
    <t>area - misc non-industrial: consumer &amp; commercial</t>
  </si>
  <si>
    <t>Personal Care Products: Miscellaneous Personal Care</t>
  </si>
  <si>
    <t>Households</t>
  </si>
  <si>
    <t>area - open burning - yard &amp; land</t>
  </si>
  <si>
    <t>area - open burning - household waste</t>
  </si>
  <si>
    <t>Animal Cremation</t>
  </si>
  <si>
    <t>All Paved Roads - Total: Fugitives</t>
  </si>
  <si>
    <t>Residential Portable Gas Cans - Permeation</t>
  </si>
  <si>
    <t>Residential Portable Gas Cans - Evaporation</t>
  </si>
  <si>
    <t>Residential Portable Gas Cans - Spillage During Transport</t>
  </si>
  <si>
    <t>Residential Portable Gas Cans - Refilling at the Pump - Vapor Displacement</t>
  </si>
  <si>
    <t>Commercial Portable Gas Cans - Permeation</t>
  </si>
  <si>
    <t>Commercial Portable Gas Cans - Evaporation</t>
  </si>
  <si>
    <t>Commercial Portable Gas Cans - Spillage During Transport</t>
  </si>
  <si>
    <t>Commercial Portable Gas Cans - Refilling at the Pump - Vapor Displacement</t>
  </si>
  <si>
    <t>Residential Portable Gas Cans - Refilling at the Pump - Spillage</t>
  </si>
  <si>
    <t>Commercial Portable Gas Cans - Refilling at the Pump - Spillage</t>
  </si>
  <si>
    <t>Airports : Aviation Gasoline - Stage 1: Total</t>
  </si>
  <si>
    <t>Airports : Aviation Gasoline - Stage 2: Total</t>
  </si>
  <si>
    <t>Truck - Gasoline - Transport</t>
  </si>
  <si>
    <t>area - residential fuel combustion</t>
  </si>
  <si>
    <t>Wood - Fireplace: general</t>
  </si>
  <si>
    <t>Wood - Woodstove: fireplace inserts; non-EPA certified</t>
  </si>
  <si>
    <t>Wood - Woodstove: fireplace inserts; EPA certified; non-catal</t>
  </si>
  <si>
    <t>Wood - Woodstove: fireplace inserts; EPA certified; catalytic</t>
  </si>
  <si>
    <t>Wood - Woodstove: freestanding, non-EPA certified</t>
  </si>
  <si>
    <t>Wood - Woodstove: freestanding, EPA certified, non-catalytic</t>
  </si>
  <si>
    <t>Wood - Woodstove: freestanding, EPA certified, catalytic</t>
  </si>
  <si>
    <t>Wood - Woodstove: pellet-fired, general (freestanding or FP i</t>
  </si>
  <si>
    <t>Wood - Furnace: Indoor, cordwood-fired, non-EPA certified</t>
  </si>
  <si>
    <t>Wood - Hydronic heater: outdoor</t>
  </si>
  <si>
    <t>area - residential wood combustion indoor</t>
  </si>
  <si>
    <t>area - surface coating</t>
  </si>
  <si>
    <t>nonroad - commercial marine vessels</t>
  </si>
  <si>
    <t>Water surface area</t>
  </si>
  <si>
    <t>Diesel - Underway emissions</t>
  </si>
  <si>
    <t>Diesel - Port emissions</t>
  </si>
  <si>
    <t>Residual - Port emissions</t>
  </si>
  <si>
    <t>Residual - Underway emissions</t>
  </si>
  <si>
    <t>land in land use categories 71 &amp; 81 (Grassland/herbaceous, Pasture/Hay)</t>
  </si>
  <si>
    <t>nonroad - Agricultural Equipment</t>
  </si>
  <si>
    <t>land in ag uses (land use categories 71, 81, 82)</t>
  </si>
  <si>
    <t>EI Sector</t>
  </si>
  <si>
    <t>SCC Level One</t>
  </si>
  <si>
    <t>SCC Level Two</t>
  </si>
  <si>
    <t>SCC Level Three</t>
  </si>
  <si>
    <t>SCC Level Four</t>
  </si>
  <si>
    <t>Diesel PM2.5 emissions values</t>
  </si>
  <si>
    <t>% of statewide</t>
  </si>
  <si>
    <t>statewide emissions</t>
  </si>
  <si>
    <t>Construction &amp; Mining Equipment by County</t>
  </si>
  <si>
    <t>% of statewide constr/mining emissions</t>
  </si>
  <si>
    <t>HENNEPIN Total</t>
  </si>
  <si>
    <t>DAKOTA Total</t>
  </si>
  <si>
    <t>RAMSEY Total</t>
  </si>
  <si>
    <t>WASHINGTON Total</t>
  </si>
  <si>
    <t>OLMSTED Total</t>
  </si>
  <si>
    <t>ANOKA Total</t>
  </si>
  <si>
    <t>SCOTT Total</t>
  </si>
  <si>
    <t>WRIGHT Total</t>
  </si>
  <si>
    <t>STEARNS Total</t>
  </si>
  <si>
    <t>CARVER Total</t>
  </si>
  <si>
    <t>SHERBURNE Total</t>
  </si>
  <si>
    <t>ST. LOUIS Total</t>
  </si>
  <si>
    <t>CROW WING Total</t>
  </si>
  <si>
    <t>CHISAGO Total</t>
  </si>
  <si>
    <t>RICE Total</t>
  </si>
  <si>
    <t>BLUE EARTH Total</t>
  </si>
  <si>
    <t>MCLEOD Total</t>
  </si>
  <si>
    <t>KANDIYOHI Total</t>
  </si>
  <si>
    <t>CLAY Total</t>
  </si>
  <si>
    <t>ITASCA Total</t>
  </si>
  <si>
    <t>GOODHUE Total</t>
  </si>
  <si>
    <t>DOUGLAS Total</t>
  </si>
  <si>
    <t>CASS Total</t>
  </si>
  <si>
    <t>ISANTI Total</t>
  </si>
  <si>
    <t>MORRISON Total</t>
  </si>
  <si>
    <t>Locomotive - Line Haul Operations - Class 1</t>
  </si>
  <si>
    <t>BENTON Total</t>
  </si>
  <si>
    <t>Locomotive - Line Haul Operations - Class II &amp; III</t>
  </si>
  <si>
    <t>BECKER Total</t>
  </si>
  <si>
    <t>Locomotive - Line Haul Operations - passenger</t>
  </si>
  <si>
    <t>CARLTON Total</t>
  </si>
  <si>
    <t>STEELE Total</t>
  </si>
  <si>
    <t>OTTER TAIL Total</t>
  </si>
  <si>
    <t>WINONA Total</t>
  </si>
  <si>
    <t>MILLE LACS Total</t>
  </si>
  <si>
    <t>NICOLLET Total</t>
  </si>
  <si>
    <t>BELTRAMI Total</t>
  </si>
  <si>
    <t>POLK Total</t>
  </si>
  <si>
    <t>LAKE Total</t>
  </si>
  <si>
    <t>POPE Total</t>
  </si>
  <si>
    <t>WABASHA Total</t>
  </si>
  <si>
    <t>PINE Total</t>
  </si>
  <si>
    <t>AITKIN Total</t>
  </si>
  <si>
    <t>LYON Total</t>
  </si>
  <si>
    <t>MEEKER Total</t>
  </si>
  <si>
    <t>FILLMORE Total</t>
  </si>
  <si>
    <t>LE SUEUR Total</t>
  </si>
  <si>
    <t>MOWER Total</t>
  </si>
  <si>
    <t>BROWN Total</t>
  </si>
  <si>
    <t>DODGE Total</t>
  </si>
  <si>
    <t>FREEBORN Total</t>
  </si>
  <si>
    <t>ROCK Total</t>
  </si>
  <si>
    <t>COOK Total</t>
  </si>
  <si>
    <t>WASECA Total</t>
  </si>
  <si>
    <t>JACKSON Total</t>
  </si>
  <si>
    <t>KANABEC Total</t>
  </si>
  <si>
    <t>NOBLES Total</t>
  </si>
  <si>
    <t>KOOCHICHING Total</t>
  </si>
  <si>
    <t>HUBBARD Total</t>
  </si>
  <si>
    <t>ROSEAU Total</t>
  </si>
  <si>
    <t>TODD Total</t>
  </si>
  <si>
    <t>WILKIN Total</t>
  </si>
  <si>
    <t>SIBLEY Total</t>
  </si>
  <si>
    <t>WADENA Total</t>
  </si>
  <si>
    <t>PENNINGTON Total</t>
  </si>
  <si>
    <t>MARTIN Total</t>
  </si>
  <si>
    <t>HOUSTON Total</t>
  </si>
  <si>
    <t>LAC QUI PARLE Total</t>
  </si>
  <si>
    <t>COTTONWOOD Total</t>
  </si>
  <si>
    <t>FARIBAULT Total</t>
  </si>
  <si>
    <t>MURRAY Total</t>
  </si>
  <si>
    <t>YELLOW MEDICINE Total</t>
  </si>
  <si>
    <t>STEVENS Total</t>
  </si>
  <si>
    <t>SWIFT Total</t>
  </si>
  <si>
    <t>REDWOOD Total</t>
  </si>
  <si>
    <t>MAHNOMEN Total</t>
  </si>
  <si>
    <t>TRAVERSE Total</t>
  </si>
  <si>
    <t>GRANT Total</t>
  </si>
  <si>
    <t>MARSHALL Total</t>
  </si>
  <si>
    <t>NORMAN Total</t>
  </si>
  <si>
    <t>CLEARWATER Total</t>
  </si>
  <si>
    <t>WATONWAN Total</t>
  </si>
  <si>
    <t>RENVILLE Total</t>
  </si>
  <si>
    <t>PIPESTONE Total</t>
  </si>
  <si>
    <t>KITTSON Total</t>
  </si>
  <si>
    <t>CHIPPEWA Total</t>
  </si>
  <si>
    <t>BIG STONE Total</t>
  </si>
  <si>
    <t>land area minus developed land area</t>
  </si>
  <si>
    <t>Households in undeveloped land (all categories except 21,22,23,24)</t>
  </si>
  <si>
    <t>Sprayers - Gasoline</t>
  </si>
  <si>
    <t>2-Wheel Tractors - Gasoline</t>
  </si>
  <si>
    <t>Agricultural Tractors - Gasoline</t>
  </si>
  <si>
    <t>Combines - Gasoline</t>
  </si>
  <si>
    <t>Balers - Gasoline</t>
  </si>
  <si>
    <t>Agricultural Mowers - Gasoline</t>
  </si>
  <si>
    <t>Sprayers - Gasoline - 2 stroke</t>
  </si>
  <si>
    <t>Tillers : 6 HP - Gasoline</t>
  </si>
  <si>
    <t>Swathers - Gasoline</t>
  </si>
  <si>
    <t>Other Agricultural Equipment - Gasoline</t>
  </si>
  <si>
    <t>Irrigation Sets - Gasoline</t>
  </si>
  <si>
    <t>Other Agricultural Equipment - LPG</t>
  </si>
  <si>
    <t>Irrigation Sets - LPG</t>
  </si>
  <si>
    <t>Other Agricultural Equipment - CNG</t>
  </si>
  <si>
    <t>Irrigation Sets - CNG</t>
  </si>
  <si>
    <t>2-Wheel Tractors - Diesel</t>
  </si>
  <si>
    <t>Agricultural Tractors - Diesel</t>
  </si>
  <si>
    <t>Combines - Diesel</t>
  </si>
  <si>
    <t>Balers - Diesel</t>
  </si>
  <si>
    <t>Agricultural Mowers - Diesel</t>
  </si>
  <si>
    <t>Sprayers - Diesel</t>
  </si>
  <si>
    <t>Tillers : 6 HP - Diesel</t>
  </si>
  <si>
    <t>Swathers - Diesel</t>
  </si>
  <si>
    <t>Other Agricultural Equipment - Diesel</t>
  </si>
  <si>
    <t>Irrigation Sets - Diesel</t>
  </si>
  <si>
    <t>nonroad - rail</t>
  </si>
  <si>
    <t>area - petroleum &amp; product storage &amp; transport</t>
  </si>
  <si>
    <t>Firelog - Total: All Combustor Types - indoor/outdoor</t>
  </si>
  <si>
    <t>area - residential wood combustion outdoor recreation</t>
  </si>
  <si>
    <t>area - residential wood combustion outdoor wood boiler</t>
  </si>
  <si>
    <t>Construction: SIC 15 - 17 - Residential</t>
  </si>
  <si>
    <t>Construction: SIC 15 - 17 - Industrial/Commercial/Institutional</t>
  </si>
  <si>
    <t>Construction: SIC 15 - 17 - Road Construction</t>
  </si>
  <si>
    <t>degreasing - All Processes/All Industries</t>
  </si>
  <si>
    <t>graphic arts - All Processes - Total: All Solvent Types</t>
  </si>
  <si>
    <t>laboratories - Total</t>
  </si>
  <si>
    <t>misc non-industrial: commercial - Miscellaneous Products: NEC - Total: All Solvent Types</t>
  </si>
  <si>
    <t>area -  misc by population</t>
  </si>
  <si>
    <t>population</t>
  </si>
  <si>
    <t>Waste disposal - composting - 100% Biosolids (e.g., sewage sludge, manure, mixtures)</t>
  </si>
  <si>
    <t>Waste disposal - composting - 100% Green Waste (e.g., residential or municipal yard waste)</t>
  </si>
  <si>
    <t>land area</t>
  </si>
  <si>
    <t>Inorganic chemical transport - All Transport Types - Total: All Products</t>
  </si>
  <si>
    <t>Misc non-industrial: commercial - Cutback Asphalts - Total: All Solvent Types</t>
  </si>
  <si>
    <t>All Unpaved Roads - Total: Fugitives</t>
  </si>
  <si>
    <t>Swimming Pools - Total (Commercial, Residential, Public)</t>
  </si>
  <si>
    <t>Area - Ag Fires</t>
  </si>
  <si>
    <t>Area - Wildfires &amp; Prescribed Forest Burning</t>
  </si>
  <si>
    <t>Non-Road Equipment - Railway Maintenance - Diesel</t>
  </si>
  <si>
    <t>Non-Road Equipment - Railway Maintenance - Gasoline</t>
  </si>
  <si>
    <t>Non-Road Equipment - Railway Maintenance - Other</t>
  </si>
  <si>
    <t>land use categories forest = 41, 42, 43, 52</t>
  </si>
  <si>
    <t>VKT</t>
  </si>
  <si>
    <t>to BGs where hospitals located from ReferenceUSA</t>
  </si>
  <si>
    <t>Surface Coating - Traffic Markings</t>
  </si>
  <si>
    <t>Survey data if possible, otherwise households</t>
  </si>
  <si>
    <t>survey data if possible else households in undeveloped land (all categories except 21,22,23,24)</t>
  </si>
  <si>
    <t>Recreational Equipment - 4-stroke-Motorcycles: Off-road</t>
  </si>
  <si>
    <t>Recreational Equipment - 4-stroke-All Terrain Vehicles</t>
  </si>
  <si>
    <t>Recreational Equipment - 4-stroke-Golf Carts</t>
  </si>
  <si>
    <t>Recreational Equipment - 4-stroke-Specialty Vehicles/Carts</t>
  </si>
  <si>
    <t>Recreational Equipment - 2-stroke-Motorcycles: Off-road</t>
  </si>
  <si>
    <t>Recreational Equipment - 2-stroke-Snowmobiles</t>
  </si>
  <si>
    <t>Recreational Equipment - 2-stroke-All Terrain Vehicles</t>
  </si>
  <si>
    <t>Recreational Equipment - 2-stroke-Specialty Vehicles/Carts</t>
  </si>
  <si>
    <t>Recreational Equipment - LPG-Specialty Vehicles/Carts</t>
  </si>
  <si>
    <t>Recreational Equipment - Diesel-Specialty Vehicles/Carts</t>
  </si>
  <si>
    <t>Lawn and Garden Equipment - 4-stroke - Lawn Mowers (Residential)</t>
  </si>
  <si>
    <t>Lawn and Garden Equipment - 4-stroke - Lawn Mowers (Commercial)</t>
  </si>
  <si>
    <t>Lawn and Garden Equipment - 4-stroke - Rotary Tillers &lt; 6 HP (Residential)</t>
  </si>
  <si>
    <t>Lawn and Garden Equipment - 4-stroke - Rotary Tillers &lt; 6 HP (Commercial)</t>
  </si>
  <si>
    <t>Lawn and Garden Equipment - 4-stroke - Trimmers/Edgers/Brush Cutters (Residential)</t>
  </si>
  <si>
    <t>Lawn and Garden Equipment - 4-stroke - Trimmers/Edgers/Brush Cutters (Commercial)</t>
  </si>
  <si>
    <t>Lawn and Garden Equipment - 4-stroke - Leafblowers/Vacuums (Residential)</t>
  </si>
  <si>
    <t>Lawn and Garden Equipment - 4-stroke - Leafblowers/Vacuums (Commercial)</t>
  </si>
  <si>
    <t>Lawn and Garden Equipment - 4-stroke - Snowblowers (Residential)</t>
  </si>
  <si>
    <t>Lawn and Garden Equipment - 4-stroke - Snowblowers (Commercial)</t>
  </si>
  <si>
    <t>Lawn and Garden Equipment - 4-stroke - Rear Engine Riding Mowers (Residential)</t>
  </si>
  <si>
    <t>Lawn and Garden Equipment - 4-stroke - Rear Engine Riding Mowers (Commercial)</t>
  </si>
  <si>
    <t>Lawn and Garden Equipment - 4-stroke - Front Mowers (Commercial)</t>
  </si>
  <si>
    <t>Lawn and Garden Equipment - 4-stroke - Shredders &lt; 6 HP (Commercial)</t>
  </si>
  <si>
    <t>Lawn and Garden Equipment - 4-stroke - Lawn and Garden Tractors (Residential)</t>
  </si>
  <si>
    <t>Lawn and Garden Equipment - 4-stroke - Lawn and Garden Tractors (Commercial)</t>
  </si>
  <si>
    <t>Lawn and Garden Equipment - 4-stroke - Chippers/Stump Grinders (Commercial)</t>
  </si>
  <si>
    <t>Lawn and Garden Equipment - 4-stroke - Turf Equipment - 4-stroke (Commercial)</t>
  </si>
  <si>
    <t>Lawn and Garden Equipment - 4-stroke - Other Lawn and Garden Equipment - 4-stroke (Residential)</t>
  </si>
  <si>
    <t>Lawn and Garden Equipment - 4-stroke - Other Lawn and Garden Equipment - 4-stroke (Commercial)</t>
  </si>
  <si>
    <t>Lawn and Garden Equipment - 2-stroke - Rotary Tillers &lt; 6 HP (Residential)</t>
  </si>
  <si>
    <t>Lawn and Garden Equipment - 2-stroke - Rotary Tillers &lt; 6 HP (Commercial)</t>
  </si>
  <si>
    <t>Lawn and Garden Equipment - 2-stroke - Chain Saws &lt; 6 HP (Residential)</t>
  </si>
  <si>
    <t>Lawn and Garden Equipment - 2-stroke - Chain Saws &lt; 6 HP (Commercial)</t>
  </si>
  <si>
    <t>Lawn and Garden Equipment - 2-stroke - Trimmers/Edgers/Brush Cutters (Residential)</t>
  </si>
  <si>
    <t>Lawn and Garden Equipment - 2-stroke - Trimmers/Edgers/Brush Cutters (Commercial)</t>
  </si>
  <si>
    <t>Lawn and Garden Equipment - 2-stroke - Leafblowers/Vacuums (Residential)</t>
  </si>
  <si>
    <t>Lawn and Garden Equipment - 2-stroke - Leafblowers/Vacuums (Commercial)</t>
  </si>
  <si>
    <t>Lawn and Garden Equipment - 2-stroke - Snowblowers (Residential)</t>
  </si>
  <si>
    <t>Lawn and Garden Equipment - 2-stroke - Snowblowers (Commercial)</t>
  </si>
  <si>
    <t>Lawn and Garden Equipment - 2-stroke - Turf Equipment - 2-stroke (Commercial)</t>
  </si>
  <si>
    <t>Lawn and Garden Equipment - 2-stroke - Chippers/Stump Grinders (Commercial)</t>
  </si>
  <si>
    <t>Lawn and Garden Equipment - Diesel - Leafblowers/Vacuums (Commercial)</t>
  </si>
  <si>
    <t>Lawn and Garden Equipment - Diesel - Snowblowers (Commercial)</t>
  </si>
  <si>
    <t>Lawn and Garden Equipment - Diesel - Front Mowers (Commercial)</t>
  </si>
  <si>
    <t>Lawn and Garden Equipment - Diesel - Lawn and Garden Tractors (Commercial)</t>
  </si>
  <si>
    <t>Lawn and Garden Equipment - Diesel - Chippers/Stump Grinders (Commercial)</t>
  </si>
  <si>
    <t>Lawn and Garden Equipment - Diesel - Turf Equipment - Diesel (Commercial)</t>
  </si>
  <si>
    <t>Lawn and Garden Equipment - Diesel - Other Lawn and Garden Equipment - Diesel (Commercial)</t>
  </si>
  <si>
    <t xml:space="preserve">nonroad - Off-highway Vehicle - Lawn &amp; Garden Equipment
</t>
  </si>
  <si>
    <t xml:space="preserve">Algorithm for each pollutant in each block group:  </t>
  </si>
  <si>
    <t>Data Source</t>
  </si>
  <si>
    <t>ReferenceUSA</t>
  </si>
  <si>
    <t>railroads shapefile with weighting for activity</t>
  </si>
  <si>
    <t>Off-highway Vehicle Gasoline, 4-Stroke - Construction and Mining Equipment - Pavers</t>
  </si>
  <si>
    <t>Off-highway Vehicle Gasoline, 4-Stroke - Construction and Mining Equipment - Tampers/Rammers</t>
  </si>
  <si>
    <t>Off-highway Vehicle Gasoline, 4-Stroke - Construction and Mining Equipment - Plate Compactors</t>
  </si>
  <si>
    <t>Off-highway Vehicle Gasoline, 4-Stroke - Construction and Mining Equipment - Rollers</t>
  </si>
  <si>
    <t>Off-highway Vehicle Gasoline, 4-Stroke - Construction and Mining Equipment - Paving Equipment</t>
  </si>
  <si>
    <t>Off-highway Vehicle Gasoline, 4-Stroke - Construction and Mining Equipment - Surfacing Equipment</t>
  </si>
  <si>
    <t>Off-highway Vehicle Gasoline, 4-Stroke - Construction and Mining Equipment - Signal Boards/Light Plants</t>
  </si>
  <si>
    <t>Off-highway Vehicle Gasoline, 4-Stroke - Construction and Mining Equipment - Trenchers</t>
  </si>
  <si>
    <t>Off-highway Vehicle Gasoline, 4-Stroke - Construction and Mining Equipment - Bore/Drill Rigs</t>
  </si>
  <si>
    <t>Off-highway Vehicle Gasoline, 4-Stroke - Construction and Mining Equipment - Concrete/Industrial Saws</t>
  </si>
  <si>
    <t>Off-highway Vehicle Gasoline, 4-Stroke - Construction and Mining Equipment - Cement and Mortar Mixers</t>
  </si>
  <si>
    <t>Off-highway Vehicle Gasoline, 4-Stroke - Construction and Mining Equipment - Cranes</t>
  </si>
  <si>
    <t>Off-highway Vehicle Gasoline, 4-Stroke - Construction and Mining Equipment - Crushing/Processing Equipment</t>
  </si>
  <si>
    <t>Off-highway Vehicle Gasoline, 4-Stroke - Construction and Mining Equipment - Rough Terrain Forklifts</t>
  </si>
  <si>
    <t>Off-highway Vehicle Gasoline, 4-Stroke - Construction and Mining Equipment - Rubber Tire Loaders</t>
  </si>
  <si>
    <t>Off-highway Vehicle Gasoline, 4-Stroke - Construction and Mining Equipment - Tractors/Loaders/Backhoes</t>
  </si>
  <si>
    <t>Off-highway Vehicle Gasoline, 4-Stroke - Construction and Mining Equipment - Skid Steer Loaders</t>
  </si>
  <si>
    <t>Off-highway Vehicle Gasoline, 4-Stroke - Construction and Mining Equipment - Dumpers/Tenders</t>
  </si>
  <si>
    <t>Off-highway Vehicle Gasoline, 4-Stroke - Construction and Mining Equipment - Other Construction Equipment</t>
  </si>
  <si>
    <t>Off-highway Vehicle Gasoline, 4-Stroke - Industrial Equipment - Aerial Lifts</t>
  </si>
  <si>
    <t>Off-highway Vehicle Gasoline, 4-Stroke - Industrial Equipment - Forklifts</t>
  </si>
  <si>
    <t>Off-highway Vehicle Gasoline, 4-Stroke - Industrial Equipment - Sweepers/Scrubbers</t>
  </si>
  <si>
    <t>Off-highway Vehicle Gasoline, 4-Stroke - Industrial Equipment - Other General Industrial Equipment</t>
  </si>
  <si>
    <t>Off-highway Vehicle Gasoline, 4-Stroke - Industrial Equipment - Other Material Handling Equipment</t>
  </si>
  <si>
    <t>Off-highway Vehicle Gasoline, 4-Stroke - Industrial Equipment - AC\Refrigeration</t>
  </si>
  <si>
    <t>Off-highway Vehicle Gasoline, 4-Stroke - Industrial Equipment - Terminal Tractors</t>
  </si>
  <si>
    <t>Off-highway Vehicle Gasoline, 4-Stroke - Commercial Equipment - Generator Sets</t>
  </si>
  <si>
    <t>Off-highway Vehicle Gasoline, 4-Stroke - Commercial Equipment - Pumps</t>
  </si>
  <si>
    <t>Off-highway Vehicle Gasoline, 4-Stroke - Commercial Equipment - Air Compressors</t>
  </si>
  <si>
    <t>Off-highway Vehicle Gasoline, 4-Stroke - Commercial Equipment - Welders</t>
  </si>
  <si>
    <t>Off-highway Vehicle Gasoline, 4-Stroke - Commercial Equipment - Pressure Washers</t>
  </si>
  <si>
    <t>Off-highway Vehicle Gasoline, 4-Stroke - Commercial Equipment - Hydro-power Units</t>
  </si>
  <si>
    <t>Off-highway Vehicle Gasoline, 4-Stroke - Logging Equipment - Shredders : 6 HP</t>
  </si>
  <si>
    <t>Off-highway Vehicle Gasoline, 4-Stroke - Logging Equipment - Forest Eqp - Feller/Bunch/Skidder</t>
  </si>
  <si>
    <t>Off-highway Vehicle Gasoline, 4-Stroke - Industrial Equipment - Other Oil Field Equipment</t>
  </si>
  <si>
    <t>Off-highway Vehicle Gasoline, 2-Stroke - Construction and Mining Equipment - Tampers/Rammers</t>
  </si>
  <si>
    <t>Off-highway Vehicle Gasoline, 2-Stroke - Construction and Mining Equipment - Plate Compactors</t>
  </si>
  <si>
    <t>Off-highway Vehicle Gasoline, 2-Stroke - Construction and Mining Equipment - Paving Equipment</t>
  </si>
  <si>
    <t>Off-highway Vehicle Gasoline, 2-Stroke - Construction and Mining Equipment - Signal Boards/Light Plants</t>
  </si>
  <si>
    <t>Off-highway Vehicle Gasoline, 2-Stroke - Construction and Mining Equipment - Concrete/Industrial Saws</t>
  </si>
  <si>
    <t>Off-highway Vehicle Gasoline, 2-Stroke - Construction and Mining Equipment - Crushing/Processing Equipment</t>
  </si>
  <si>
    <t>Off-highway Vehicle Gasoline, 2-Stroke - Industrial Equipment - Sweepers/Scrubbers</t>
  </si>
  <si>
    <t>Off-highway Vehicle Gasoline, 2-Stroke - Industrial Equipment - Other General Industrial Equipment</t>
  </si>
  <si>
    <t>Off-highway Vehicle Gasoline, 2-Stroke - Commercial Equipment - Generator Sets</t>
  </si>
  <si>
    <t>Off-highway Vehicle Gasoline, 2-Stroke - Commercial Equipment - Pumps</t>
  </si>
  <si>
    <t>Off-highway Vehicle Gasoline, 2-Stroke - Commercial Equipment - Air Compressors</t>
  </si>
  <si>
    <t>Off-highway Vehicle Gasoline, 2-Stroke - Commercial Equipment - Hydro-power Units</t>
  </si>
  <si>
    <t>Off-highway Vehicle Gasoline, 2-Stroke - Logging Equipment - Chain Saws : 6 HP</t>
  </si>
  <si>
    <t>Off-highway Vehicle Gasoline - CNG - Construction and Mining Equipment - Other Construction Equipment</t>
  </si>
  <si>
    <t>Off-highway Vehicle Gasoline - CNG - Industrial Equipment - Forklifts</t>
  </si>
  <si>
    <t>Off-highway Vehicle Gasoline - CNG - Industrial Equipment - Sweepers/Scrubbers</t>
  </si>
  <si>
    <t>Off-highway Vehicle Gasoline - CNG - Industrial Equipment - Other General Industrial Equipment</t>
  </si>
  <si>
    <t>Off-highway Vehicle Gasoline - CNG - Industrial Equipment - AC\Refrigeration</t>
  </si>
  <si>
    <t>Off-highway Vehicle Gasoline - CNG - Industrial Equipment - Terminal Tractors</t>
  </si>
  <si>
    <t>Off-highway Vehicle Gasoline - CNG - Commercial Equipment - Generator Sets</t>
  </si>
  <si>
    <t>Off-highway Vehicle Gasoline - CNG - Commercial Equipment - Pumps</t>
  </si>
  <si>
    <t>Off-highway Vehicle Gasoline - CNG - Commercial Equipment - Air Compressors</t>
  </si>
  <si>
    <t>Off-highway Vehicle Gasoline - CNG - Commercial Equipment - Gas Compressors</t>
  </si>
  <si>
    <t>Off-highway Vehicle Gasoline - CNG - Industrial Equipment - Other Oil Field Equipment</t>
  </si>
  <si>
    <t>Off-highway Vehicle Gasoline - LPG - Construction and Mining Equipment - Pavers</t>
  </si>
  <si>
    <t>Off-highway Vehicle Gasoline - LPG - Construction and Mining Equipment - Rollers</t>
  </si>
  <si>
    <t>Off-highway Vehicle Gasoline - LPG - Construction and Mining Equipment - Paving Equipment</t>
  </si>
  <si>
    <t>Off-highway Vehicle Gasoline - LPG - Construction and Mining Equipment - Surfacing Equipment</t>
  </si>
  <si>
    <t>Off-highway Vehicle Gasoline - LPG - Construction and Mining Equipment - Trenchers</t>
  </si>
  <si>
    <t>Off-highway Vehicle Gasoline - LPG - Construction and Mining Equipment - Bore/Drill Rigs</t>
  </si>
  <si>
    <t>Off-highway Vehicle Gasoline - LPG - Construction and Mining Equipment - Concrete/Industrial Saws</t>
  </si>
  <si>
    <t>Off-highway Vehicle Gasoline - LPG - Construction and Mining Equipment - Cranes</t>
  </si>
  <si>
    <t>Off-highway Vehicle Gasoline - LPG - Construction and Mining Equipment - Crushing/Processing Equipment</t>
  </si>
  <si>
    <t>Off-highway Vehicle Gasoline - LPG - Construction and Mining Equipment - Rough Terrain Forklifts</t>
  </si>
  <si>
    <t>Off-highway Vehicle Gasoline - LPG - Construction and Mining Equipment - Rubber Tire Loaders</t>
  </si>
  <si>
    <t>Off-highway Vehicle Gasoline - LPG - Construction and Mining Equipment - Tractors/Loaders/Backhoes</t>
  </si>
  <si>
    <t>Off-highway Vehicle Gasoline - LPG - Construction and Mining Equipment - Skid Steer Loaders</t>
  </si>
  <si>
    <t>Off-highway Vehicle Gasoline - LPG - Construction and Mining Equipment - Other Construction Equipment</t>
  </si>
  <si>
    <t>Off-highway Vehicle Gasoline - LPG - Industrial Equipment - Aerial Lifts</t>
  </si>
  <si>
    <t>Off-highway Vehicle Gasoline - LPG - Industrial Equipment - Forklifts</t>
  </si>
  <si>
    <t>Off-highway Vehicle Gasoline - LPG - Industrial Equipment - Sweepers/Scrubbers</t>
  </si>
  <si>
    <t>Off-highway Vehicle Gasoline - LPG - Industrial Equipment - Other General Industrial Equipment</t>
  </si>
  <si>
    <t>Off-highway Vehicle Gasoline - LPG - Industrial Equipment - Other Material Handling Equipment</t>
  </si>
  <si>
    <t>Off-highway Vehicle Gasoline - LPG - Industrial Equipment - Terminal Tractors</t>
  </si>
  <si>
    <t>Off-highway Vehicle Gasoline - LPG - Commercial Equipment - Generator Sets</t>
  </si>
  <si>
    <t>Off-highway Vehicle Gasoline - LPG - Commercial Equipment - Pumps</t>
  </si>
  <si>
    <t>Off-highway Vehicle Gasoline - LPG - Commercial Equipment - Air Compressors</t>
  </si>
  <si>
    <t>Off-highway Vehicle Gasoline - LPG - Commercial Equipment - Welders</t>
  </si>
  <si>
    <t>Off-highway Vehicle Gasoline - LPG - Commercial Equipment - Pressure Washers</t>
  </si>
  <si>
    <t>Off-highway Vehicle Gasoline - LPG - Commercial Equipment - Hydro-power Units</t>
  </si>
  <si>
    <t>Off-highway Vehicle Gasoline - Diesel - Construction and Mining Equipment - Pavers</t>
  </si>
  <si>
    <t>Off-highway Vehicle Gasoline - Diesel - Construction and Mining Equipment - Tampers/Rammers</t>
  </si>
  <si>
    <t>Off-highway Vehicle Gasoline - Diesel - Construction and Mining Equipment - Plate Compactors</t>
  </si>
  <si>
    <t>Off-highway Vehicle Gasoline - Diesel - Construction and Mining Equipment - Rollers</t>
  </si>
  <si>
    <t>Off-highway Vehicle Gasoline - Diesel - Construction and Mining Equipment - Scrapers</t>
  </si>
  <si>
    <t>Off-highway Vehicle Gasoline - Diesel - Construction and Mining Equipment - Paving Equipment</t>
  </si>
  <si>
    <t>Off-highway Vehicle Gasoline - Diesel - Construction and Mining Equipment - Surfacing Equipment</t>
  </si>
  <si>
    <t>Off-highway Vehicle Gasoline - Diesel - Construction and Mining Equipment - Signal Boards/Light Plants</t>
  </si>
  <si>
    <t>Off-highway Vehicle Gasoline - Diesel - Construction and Mining Equipment - Trenchers</t>
  </si>
  <si>
    <t>Off-highway Vehicle Gasoline - Diesel - Construction and Mining Equipment - Bore/Drill Rigs</t>
  </si>
  <si>
    <t>Off-highway Vehicle Gasoline - Diesel - Construction and Mining Equipment - Excavators</t>
  </si>
  <si>
    <t>Off-highway Vehicle Gasoline - Diesel - Construction and Mining Equipment - Concrete/Industrial Saws</t>
  </si>
  <si>
    <t>Off-highway Vehicle Gasoline - Diesel - Construction and Mining Equipment - Cement and Mortar Mixers</t>
  </si>
  <si>
    <t>Off-highway Vehicle Gasoline - Diesel - Construction and Mining Equipment - Cranes</t>
  </si>
  <si>
    <t>Off-highway Vehicle Gasoline - Diesel - Construction and Mining Equipment - Graders</t>
  </si>
  <si>
    <t>Off-highway Vehicle Gasoline - Diesel - Construction and Mining Equipment - Off-highway Trucks</t>
  </si>
  <si>
    <t>Off-highway Vehicle Gasoline - Diesel - Construction and Mining Equipment - Crushing/Processing Equipment</t>
  </si>
  <si>
    <t>Off-highway Vehicle Gasoline - Diesel - Construction and Mining Equipment - Rough Terrain Forklifts</t>
  </si>
  <si>
    <t>Off-highway Vehicle Gasoline - Diesel - Construction and Mining Equipment - Rubber Tire Loaders</t>
  </si>
  <si>
    <t>Off-highway Vehicle Gasoline - Diesel - Construction and Mining Equipment - Tractors/Loaders/Backhoes</t>
  </si>
  <si>
    <t>Off-highway Vehicle Gasoline - Diesel - Construction and Mining Equipment - Crawler Tractor/Dozers</t>
  </si>
  <si>
    <t>Off-highway Vehicle Gasoline - Diesel - Construction and Mining Equipment - Skid Steer Loaders</t>
  </si>
  <si>
    <t>Off-highway Vehicle Gasoline - Diesel - Construction and Mining Equipment - Off-highway Tractors</t>
  </si>
  <si>
    <t>Off-highway Vehicle Gasoline - Diesel - Construction and Mining Equipment - Dumpers/Tenders</t>
  </si>
  <si>
    <t>Off-highway Vehicle Gasoline - Diesel - Construction and Mining Equipment - Other Construction Equipment</t>
  </si>
  <si>
    <t>Off-highway Vehicle Gasoline - Diesel - Industrial Equipment - Aerial Lifts</t>
  </si>
  <si>
    <t>Off-highway Vehicle Gasoline - Diesel - Industrial Equipment - Forklifts</t>
  </si>
  <si>
    <t>Off-highway Vehicle Gasoline - Diesel - Industrial Equipment - Sweepers/Scrubbers</t>
  </si>
  <si>
    <t>Off-highway Vehicle Gasoline - Diesel - Industrial Equipment - Other General Industrial Equipment</t>
  </si>
  <si>
    <t>Off-highway Vehicle Gasoline - Diesel - Industrial Equipment - Other Material Handling Equipment</t>
  </si>
  <si>
    <t>Off-highway Vehicle Gasoline - Diesel - Industrial Equipment - AC\Refrigeration</t>
  </si>
  <si>
    <t>Off-highway Vehicle Gasoline - Diesel - Industrial Equipment - Terminal Tractors</t>
  </si>
  <si>
    <t>Off-highway Vehicle Gasoline - Diesel - Commercial Equipment - Generator Sets</t>
  </si>
  <si>
    <t>Off-highway Vehicle Gasoline - Diesel - Commercial Equipment - Pumps</t>
  </si>
  <si>
    <t>Off-highway Vehicle Gasoline - Diesel - Commercial Equipment - Air Compressors</t>
  </si>
  <si>
    <t>Off-highway Vehicle Gasoline - Diesel - Commercial Equipment - Welders</t>
  </si>
  <si>
    <t>Off-highway Vehicle Gasoline - Diesel - Commercial Equipment - Pressure Washers</t>
  </si>
  <si>
    <t>Off-highway Vehicle Gasoline - Diesel - Commercial Equipment - Hydro-power Units</t>
  </si>
  <si>
    <t>Off-highway Vehicle Gasoline - Diesel - Industrial Equipment - Other Oil Field Equipment</t>
  </si>
  <si>
    <t>Off-highway Vehicle Gasoline - Diesel - Logging Equipment - Forest Eqp - Feller/Bunch/Skidder</t>
  </si>
  <si>
    <t>nonroad - Off-highway Vehicle - Logging Equipment</t>
  </si>
  <si>
    <t>nonroad - Off-highway Vehicle Commercial Equipment</t>
  </si>
  <si>
    <t>nonroad - Off-highway Vehicle  - Industrial Equipment</t>
  </si>
  <si>
    <t>nonroad - Off-highway Vehicle - Construction &amp; Mining Equipment</t>
  </si>
  <si>
    <t xml:space="preserve">gas station sales in BG from ReferenceUSA </t>
  </si>
  <si>
    <t>commercial/industrial land use in metro -- outstate land use categories 23,24 (med &amp; high intensity developed)</t>
  </si>
  <si>
    <t>commercial/industrial in metro - outstate land use categories 23,24 (med &amp; high intensity developed)</t>
  </si>
  <si>
    <t>major waterways shapefile</t>
  </si>
  <si>
    <t>MPCA GIS land use database</t>
  </si>
  <si>
    <t>MnDOT roads and traffic count databases</t>
  </si>
  <si>
    <t>Census</t>
  </si>
  <si>
    <t>EPA CMV shapefile</t>
  </si>
  <si>
    <t>EPA inventory of events</t>
  </si>
  <si>
    <t>MetroGIS LU for metro, MPCA GIS land use database</t>
  </si>
  <si>
    <t>Survey or census</t>
  </si>
  <si>
    <t>Survey or census+MPCA GIS land use database</t>
  </si>
  <si>
    <t>EPA Rail shapefile (plus locations of yards)</t>
  </si>
  <si>
    <t>Gasoline - Outboard 2-stroke</t>
  </si>
  <si>
    <t>Diesel - Inboard/Sterndrive</t>
  </si>
  <si>
    <t>Diesel - Outboard</t>
  </si>
  <si>
    <t>Gasoline - Personal Water Craft 2-stroke</t>
  </si>
  <si>
    <t>Gasoline - Inboard/Sterndrive 4-stroke</t>
  </si>
  <si>
    <t>nonroad - Pleasure Craft</t>
  </si>
  <si>
    <t>land in LU categories 71,81,82 (Grassland/herbaceous, Pasture/Hay, Ag)</t>
  </si>
  <si>
    <t>commercial land use in metro - outstate LU categories 23,24 (med &amp; high intensity developed)</t>
  </si>
  <si>
    <t>SCC Codes</t>
  </si>
  <si>
    <t>nonroad - railyards</t>
  </si>
  <si>
    <t>frx_IndComm_metro_medhi_devel_outstate</t>
  </si>
  <si>
    <t>frx_total_area</t>
  </si>
  <si>
    <t>frx_pop</t>
  </si>
  <si>
    <t>frx_Comm_metro_medhi_devel_outstate</t>
  </si>
  <si>
    <t>frx_Hosp</t>
  </si>
  <si>
    <t>frx_cropland</t>
  </si>
  <si>
    <t>frx_HH</t>
  </si>
  <si>
    <t>frx_undeveloped</t>
  </si>
  <si>
    <t>frx_HHs_in_undeveloped</t>
  </si>
  <si>
    <t>frx_GasSales</t>
  </si>
  <si>
    <t>frx_grass_pasture</t>
  </si>
  <si>
    <t>frx_CMV</t>
  </si>
  <si>
    <t>frx_water</t>
  </si>
  <si>
    <t>frx_RR_wtd</t>
  </si>
  <si>
    <t>frx_ag</t>
  </si>
  <si>
    <t>frx_forest</t>
  </si>
  <si>
    <t>frx_nonroad_Constr_Mining</t>
  </si>
  <si>
    <t>med&amp;hi intensity developed outstate - combine construction + industrial/commercial in metro</t>
  </si>
  <si>
    <t>MetroGIS LU + contruction events for metro, MPCA GIS land use database</t>
  </si>
  <si>
    <t>EPA list of railyards</t>
  </si>
  <si>
    <t>EPA airports database</t>
  </si>
  <si>
    <t>model as individual volume sources</t>
  </si>
  <si>
    <t>model as individual point sources</t>
  </si>
  <si>
    <t>allocated point - crematoria</t>
  </si>
  <si>
    <t>allocated point - POTWs</t>
  </si>
  <si>
    <t>allocated point - landfills</t>
  </si>
  <si>
    <t>allocated point - feedlots</t>
  </si>
  <si>
    <t>allocated point - dry cleaners</t>
  </si>
  <si>
    <t>model as individual volume sources (pseudo line sources)</t>
  </si>
  <si>
    <t>surrogate_name</t>
  </si>
  <si>
    <t>MPCA EIS</t>
  </si>
  <si>
    <t>EPA EIS</t>
  </si>
  <si>
    <t>frx_VKT</t>
  </si>
  <si>
    <t>area - composting &amp; animal cremation</t>
  </si>
  <si>
    <t>area - misc roadway by VKT</t>
  </si>
  <si>
    <t>area - misc ag/pesticide</t>
  </si>
  <si>
    <t>nonroad - Off-highway Vehicle Recreational Equipment</t>
  </si>
  <si>
    <t>nonroad - Off-highway Vehicle - Recreational Equipment</t>
  </si>
  <si>
    <t>onroad - gasoline</t>
  </si>
  <si>
    <t>onroad - diesel</t>
  </si>
  <si>
    <t>VKT with diesel fractions from MnDOT</t>
  </si>
  <si>
    <t>various types</t>
  </si>
  <si>
    <t>A_FEEDLOTS</t>
  </si>
  <si>
    <t>A_BOILERS</t>
  </si>
  <si>
    <t>A_MISCPOP</t>
  </si>
  <si>
    <t>fluorescent lamp breakage - Non-recycling Related Emissions</t>
  </si>
  <si>
    <t>A_FOOD</t>
  </si>
  <si>
    <t>A_HEALTH</t>
  </si>
  <si>
    <t>A_MISCROAD</t>
  </si>
  <si>
    <t>A_MISCAGR</t>
  </si>
  <si>
    <t>A_MISCCOMM</t>
  </si>
  <si>
    <t>A_OPENBURN</t>
  </si>
  <si>
    <t>A_WASTEBRN</t>
  </si>
  <si>
    <t>A_PETRTRAN</t>
  </si>
  <si>
    <t>A_RESIFUEL</t>
  </si>
  <si>
    <t>A_RESIWOOD</t>
  </si>
  <si>
    <t>A_OWB</t>
  </si>
  <si>
    <t>A_RECFIRE</t>
  </si>
  <si>
    <t>A_SURFCOAT</t>
  </si>
  <si>
    <t>A_AGFIRE</t>
  </si>
  <si>
    <t>A_WILDFIRE</t>
  </si>
  <si>
    <t>NR_CMV</t>
  </si>
  <si>
    <t>NR_PLEASUR</t>
  </si>
  <si>
    <t>NR_RAIL</t>
  </si>
  <si>
    <t>NR_RAILYARD</t>
  </si>
  <si>
    <t>NR_AGEQUIP</t>
  </si>
  <si>
    <t>NR_RECEQUP</t>
  </si>
  <si>
    <t>NR_LAWNG</t>
  </si>
  <si>
    <t>NR_CONSTR</t>
  </si>
  <si>
    <t>NR_INDUSTR</t>
  </si>
  <si>
    <t>NR_COMM</t>
  </si>
  <si>
    <t>NR_LOGGING</t>
  </si>
  <si>
    <t>OR_GAS</t>
  </si>
  <si>
    <t>OR_DIESEL</t>
  </si>
  <si>
    <t>allocated point - fluorescent lamp recycling</t>
  </si>
  <si>
    <t>nonroad - airports</t>
  </si>
  <si>
    <t>NR_AIRPORT</t>
  </si>
  <si>
    <t>category faux SCC</t>
  </si>
  <si>
    <t>A_CREMCOMP</t>
  </si>
  <si>
    <t>onroad -lower traffic segments - gas</t>
  </si>
  <si>
    <t>onroad - high traffic segments - diesel</t>
  </si>
  <si>
    <t>onroad - high traffic segments - gas</t>
  </si>
  <si>
    <t>onroad - lower traffic segments - diesel</t>
  </si>
  <si>
    <t>frx_VKT_d</t>
  </si>
  <si>
    <t>diesel VKT</t>
  </si>
  <si>
    <t>OR_GAS_HT</t>
  </si>
  <si>
    <t>OR_DIESEL_HT</t>
  </si>
  <si>
    <t>model as volume sources located at coordinates</t>
  </si>
  <si>
    <t>model as individual volume and point sources</t>
  </si>
  <si>
    <t>sum emissions by pollutant for all sources</t>
  </si>
  <si>
    <t>sum emissions by pollutant by source group</t>
  </si>
  <si>
    <t>raw initial emissions by county</t>
  </si>
  <si>
    <t>processed emissions by block group</t>
  </si>
  <si>
    <t>check if 1=3</t>
  </si>
  <si>
    <t>check if 2=4</t>
  </si>
  <si>
    <t>view geospatially</t>
  </si>
  <si>
    <t>associate block group emissions by pollutant and source group</t>
  </si>
  <si>
    <t>view geospatial patterns for representative pollutants and pollutant groups</t>
  </si>
  <si>
    <t>view surrogates geospatially</t>
  </si>
  <si>
    <t>do emissions pattern follow surrogate patterns.</t>
  </si>
  <si>
    <t>2011 Update</t>
  </si>
  <si>
    <t>Moved from A_MISCPOP</t>
  </si>
  <si>
    <t>fraction of cars owned in BG</t>
  </si>
  <si>
    <t>open, low, &amp; med intensity developed land</t>
  </si>
  <si>
    <t>remove high intensity developed areas</t>
  </si>
  <si>
    <t>color = updated from 2008 to 2011</t>
  </si>
  <si>
    <t>notes</t>
  </si>
  <si>
    <t>Single family housholds from census, and campsites if present. Weighted by survey if campsites present for burning while camping or burning for pleasure.</t>
  </si>
  <si>
    <t>frx_sfh_camp</t>
  </si>
  <si>
    <t>Single Family Households</t>
  </si>
  <si>
    <t>frx_sfh</t>
  </si>
  <si>
    <t>frx_sfh_undeveloped</t>
  </si>
  <si>
    <t>frx_sfhs_in_undeveloped</t>
  </si>
  <si>
    <t>area- feedlots</t>
  </si>
  <si>
    <t>APT_DryClean</t>
  </si>
  <si>
    <t>APT_Cremate</t>
  </si>
  <si>
    <t>area - misc ag/pesticide/fertilizer</t>
  </si>
  <si>
    <t>Beef cattle - finishing operations on feedlots (drylots) /Confinement</t>
  </si>
  <si>
    <t>Beef cattle - finishing operations on feedlots (drylots) /Manure handling &amp; sto</t>
  </si>
  <si>
    <t>Beef cattle - finishing operations on feedlots (drylots) /Land application of m</t>
  </si>
  <si>
    <t>Beef cattle production composite /Not Elsewhere Classified</t>
  </si>
  <si>
    <t>Beef cattle - finishing operations on pasture/range /Confinement</t>
  </si>
  <si>
    <t>Poultry production - layers with dry manure management systems /Confinement</t>
  </si>
  <si>
    <t>Poultry production - layers with dry manure management systems /Land application</t>
  </si>
  <si>
    <t>Poultry production - broilers /Confinement</t>
  </si>
  <si>
    <t>Poultry production - broilers /Manure handling and storage</t>
  </si>
  <si>
    <t>Poultry production - broilers /Land application of manure</t>
  </si>
  <si>
    <t>Poultry production - turkeys /Confinement</t>
  </si>
  <si>
    <t>Poultry production - turkeys /Manure handling and storage</t>
  </si>
  <si>
    <t>Poultry production - turkeys /Land application of manure</t>
  </si>
  <si>
    <t>Dairy cattle composite /Not Elsewhere Classified</t>
  </si>
  <si>
    <t>Dairy cattle - flush dairy /Confinement</t>
  </si>
  <si>
    <t>Dairy cattle - flush dairy /Manure handling and storage</t>
  </si>
  <si>
    <t>Dairy cattle - flush dairy /Land application of manure</t>
  </si>
  <si>
    <t>Dairy cattle - scrape dairy /Confinement</t>
  </si>
  <si>
    <t>Dairy cattle - scrape dairy /Manure handling and storage</t>
  </si>
  <si>
    <t>Dairy cattle - scrape dairy /Land application of manure</t>
  </si>
  <si>
    <t>Dairy cattle - deep pit dairy /Confinement</t>
  </si>
  <si>
    <t>Dairy cattle - deep pit dairy /Manure handling and storage</t>
  </si>
  <si>
    <t>Dairy cattle - deep pit dairy /Land application of manure</t>
  </si>
  <si>
    <t>Dairy cattle - drylot/pasture dairy /Confinement</t>
  </si>
  <si>
    <t>Dairy cattle - drylot/pasture dairy /Manure handling and storage</t>
  </si>
  <si>
    <t>Dairy cattle - drylot/pasture dairy /Land application of manure</t>
  </si>
  <si>
    <t>Poultry Waste Emissions /Not Elsewhere Classified (see also 28-05-007, -008, -00</t>
  </si>
  <si>
    <t>Poultry Waste Emissions /Ducks</t>
  </si>
  <si>
    <t>Poultry Waste Emissions /Geese</t>
  </si>
  <si>
    <t>Horses &amp; Ponies Waste Emissions /Not Elsewhere Classified</t>
  </si>
  <si>
    <t>Swine production - operations with lagoons (unspecified animal age) /Confinement</t>
  </si>
  <si>
    <t>Swine production - operations with lagoons (unspecified animal age) /Manure hand</t>
  </si>
  <si>
    <t>Swine production - operations with lagoons (unspecified animal age) /Land applic</t>
  </si>
  <si>
    <t>Sheep &amp; Lambs Waste Emissions /Total</t>
  </si>
  <si>
    <t>Goats Waste Emissions /Not Elsewhere Classified</t>
  </si>
  <si>
    <t>Swine production - deep-pit house operations (unspecified animal age) /Confineme</t>
  </si>
  <si>
    <t>Swine production - deep-pit house operations (unspecified animal age) /Land appl</t>
  </si>
  <si>
    <t>Anhydrous Ammonia</t>
  </si>
  <si>
    <t>Aqueous Ammonia</t>
  </si>
  <si>
    <t>Nitrogen Solutions</t>
  </si>
  <si>
    <t>Urea</t>
  </si>
  <si>
    <t>Ammonium Nitrate</t>
  </si>
  <si>
    <t>Ammonium Sulfate</t>
  </si>
  <si>
    <t>Ammonium Thiosulfate</t>
  </si>
  <si>
    <t>N-P-K (multi-grade nutrient fertilizers)</t>
  </si>
  <si>
    <t>Calcium Ammonium Nitrate</t>
  </si>
  <si>
    <t>Potassium Nitrate</t>
  </si>
  <si>
    <t>Diammonium Phosphate</t>
  </si>
  <si>
    <t>Monoammonium Phosphate</t>
  </si>
  <si>
    <t>Liquid Ammonium Polyphosphate</t>
  </si>
  <si>
    <t>Miscellaneous Fertilizers</t>
  </si>
  <si>
    <t>Herbicides, Apples</t>
  </si>
  <si>
    <t>Herbicides, Grapes</t>
  </si>
  <si>
    <t>Herbicides, Potatoes</t>
  </si>
  <si>
    <t>Other Pesticides, Corn</t>
  </si>
  <si>
    <t>Other Pesticides, Apples</t>
  </si>
  <si>
    <t>Other Pesticides, Grapes</t>
  </si>
  <si>
    <t>Other Pesticides, Potatoes</t>
  </si>
  <si>
    <t>Other Pesticides, Soy Beans</t>
  </si>
  <si>
    <t>Other Pesticides, Hay &amp; Grains</t>
  </si>
  <si>
    <t>Other Pesticides, Not Elsewhere Classified</t>
  </si>
  <si>
    <t>Agriculture production - Tilling</t>
  </si>
  <si>
    <t>Swine production - outdoor operations (unspecified animal age) /Confinement</t>
  </si>
  <si>
    <t>2805053100</t>
  </si>
  <si>
    <t>A_MISCCAR</t>
  </si>
  <si>
    <t>Diesel Service Stations /Stage 2: Total</t>
  </si>
  <si>
    <t>2501070100</t>
  </si>
  <si>
    <t>allocated point - gas stations</t>
  </si>
  <si>
    <t>APT_GASSTAT</t>
  </si>
  <si>
    <t>APT_FLOLAMPS</t>
  </si>
  <si>
    <t>APT_POTWS</t>
  </si>
  <si>
    <t>APT_LANDFILL</t>
  </si>
  <si>
    <t>2501070050</t>
  </si>
  <si>
    <t>Diesel Service Stations /Stage 1: Total</t>
  </si>
  <si>
    <t>2501060050</t>
  </si>
  <si>
    <t>Gas Stations - Stage 1: Total</t>
  </si>
  <si>
    <t>Diesel Service Stations - Underground Tank: Total</t>
  </si>
  <si>
    <t>Gas Stations - Underground Tank: Total</t>
  </si>
  <si>
    <t>2501060200</t>
  </si>
  <si>
    <t>2501070200</t>
  </si>
  <si>
    <t>Mobile Sources - Highway Vehicles - Ethanol (E-85) - Refueling</t>
  </si>
  <si>
    <t>Mobile Sources -Highway Vehicles - Liquefied Petroleum Gas (LPG) - Refueling</t>
  </si>
  <si>
    <t>Mobile Sources Highway Vehicles - Compressed Natural Gas (CNG) - Refueling</t>
  </si>
  <si>
    <t>Mobile Sources -Highway Vehicles - Diesel - Refueling</t>
  </si>
  <si>
    <t>Mobile Sources -Highway Vehicles - Gasoline - Refueling</t>
  </si>
  <si>
    <t>2460600000</t>
  </si>
  <si>
    <t>Commercial: Adhesives and Sealants</t>
  </si>
  <si>
    <t>2461900000</t>
  </si>
  <si>
    <t>2460500000</t>
  </si>
  <si>
    <t>Coatings and Related Products</t>
  </si>
  <si>
    <t>A_BIOGEN</t>
  </si>
  <si>
    <t>2701200000</t>
  </si>
  <si>
    <t>Vegetation</t>
  </si>
  <si>
    <t>2701220000</t>
  </si>
  <si>
    <t>Vegetation/Agriculture</t>
  </si>
  <si>
    <t>area - Biogenic - Vegetation &amp; Soil</t>
  </si>
  <si>
    <t>new</t>
  </si>
  <si>
    <t>2103002000</t>
  </si>
  <si>
    <t>2102002000</t>
  </si>
  <si>
    <t>Industrial - Bituminous/Subbituminous Coal /All Boiler Types</t>
  </si>
  <si>
    <t>Commercial - Bituminous/Subbituminous Coal /All Boiler Types</t>
  </si>
  <si>
    <t>Mobile-Motorcycle-Gas</t>
  </si>
  <si>
    <t>Mobile-Passenger Car-Gas</t>
  </si>
  <si>
    <t>Mobile-Passenger Truck-Gas</t>
  </si>
  <si>
    <t>Mobile-Light Commercial Truck-Gas</t>
  </si>
  <si>
    <t>Mobile-Intercity Bus-Gas</t>
  </si>
  <si>
    <t>Mobile-Transit Bus-Gas</t>
  </si>
  <si>
    <t>Mobile-School Bus-Gas</t>
  </si>
  <si>
    <t>Mobile-Refuse Truck-Gas</t>
  </si>
  <si>
    <t>Mobile-Single Unit Short-haul Truck-Gas</t>
  </si>
  <si>
    <t>Mobile-Single Unit Long-haul Truck-Gas</t>
  </si>
  <si>
    <t>Mobile-Motor Home-Gas</t>
  </si>
  <si>
    <t>Mobile-Combination Short-haul Truck-Gas</t>
  </si>
  <si>
    <t>Mobile-Combination Long-haul Truck-Gas</t>
  </si>
  <si>
    <t>Mobile-Motorcycle-Diesel</t>
  </si>
  <si>
    <t>Mobile-Passenger Car-Diesel</t>
  </si>
  <si>
    <t>Mobile-Passenger Truck-Diesel</t>
  </si>
  <si>
    <t>Mobile-Light Commercial Truck-Diesel</t>
  </si>
  <si>
    <t>Mobile-Intercity Bus-Diesel</t>
  </si>
  <si>
    <t>Mobile-Transit Bus-Diesel</t>
  </si>
  <si>
    <t>Mobile-School Bus-Diesel</t>
  </si>
  <si>
    <t>Mobile-Refuse Truck-Diesel</t>
  </si>
  <si>
    <t>Mobile-Single Unit Short-haul Truck-Diesel</t>
  </si>
  <si>
    <t>Mobile-Single Unit Long-haul Truck-Diesel</t>
  </si>
  <si>
    <t>Mobile-Motor Home-Diesel</t>
  </si>
  <si>
    <t>Mobile-Combination Short-haul Truck-Diesel</t>
  </si>
  <si>
    <t>Mobile-Combination Long-haul Truck-Diesel</t>
  </si>
  <si>
    <t>Mobile-Motorcycle CNG</t>
  </si>
  <si>
    <t>Mobile-Passenger Car-CNG</t>
  </si>
  <si>
    <t>Mobile-Passenger Truck-CNG</t>
  </si>
  <si>
    <t>Mobile-Light Commercial Truck-CNG</t>
  </si>
  <si>
    <t>Mobile-Intercity Bus-CNG</t>
  </si>
  <si>
    <t>Mobile-Transit Bus-CNG</t>
  </si>
  <si>
    <t>Mobile-School Bus-CNG</t>
  </si>
  <si>
    <t>Mobile-Refuse Truck-CNG</t>
  </si>
  <si>
    <t>Mobile-Single Unit Short-haul Truck-CNG</t>
  </si>
  <si>
    <t>Mobile-Single Unit Long-haul Truck-CNG</t>
  </si>
  <si>
    <t>Mobile-Motor Home-CNG</t>
  </si>
  <si>
    <t>Mobile-Combination Short-haul Truck-CNG</t>
  </si>
  <si>
    <t>Mobile-Combination Long-haul Truck-CNG</t>
  </si>
  <si>
    <t>Mobile-Motorcycle-LPG</t>
  </si>
  <si>
    <t>Mobile-Passenger Car-LPG</t>
  </si>
  <si>
    <t>Mobile-Passenger Truck-LPG</t>
  </si>
  <si>
    <t>Mobile-Light Commercial Truck-LPG</t>
  </si>
  <si>
    <t>Mobile-Intercity Bus-LPG</t>
  </si>
  <si>
    <t>Mobile-Transit Bus-LPG</t>
  </si>
  <si>
    <t>Mobile-School Bus-LPG</t>
  </si>
  <si>
    <t>Mobile-Refuse Truck-LPG</t>
  </si>
  <si>
    <t>Mobile-Single Unit Short-haul Truck-LPG</t>
  </si>
  <si>
    <t>Mobile-Single Unit Long-haul Truck-LPG</t>
  </si>
  <si>
    <t>Mobile-Motor Home-LPG</t>
  </si>
  <si>
    <t>Mobile-Combination Short-haul Truck-LPG</t>
  </si>
  <si>
    <t>Mobile-Combination Long-haul Truck-LPG</t>
  </si>
  <si>
    <t>Mobile-Motorcycle-E85</t>
  </si>
  <si>
    <t>Mobile-Passenger Car-E85</t>
  </si>
  <si>
    <t>Mobile-Passenger Truck-E85</t>
  </si>
  <si>
    <t>Mobile-Light Commercial Truck-E85</t>
  </si>
  <si>
    <t>Mobile-Intercity Bus-E85</t>
  </si>
  <si>
    <t>Mobile-Transit Bus-E85</t>
  </si>
  <si>
    <t>Mobile-School Bus-E85</t>
  </si>
  <si>
    <t>Mobile-Refuse Truck-E85</t>
  </si>
  <si>
    <t>Mobile-Single Unit Short-haul Truck-E85</t>
  </si>
  <si>
    <t>Mobile-Single Unit Long-haul Truck-E85</t>
  </si>
  <si>
    <t>Mobile-Motor Home-E85</t>
  </si>
  <si>
    <t>Mobile-Combination Short-haul Truck-E85</t>
  </si>
  <si>
    <t>Mobile-Combination Long-haul Truck-E85</t>
  </si>
  <si>
    <t>Mobile-Motorcycle-Electric</t>
  </si>
  <si>
    <t>Mobile-Passenger Car-Electric</t>
  </si>
  <si>
    <t>Mobile-Passenger Truck-Electric</t>
  </si>
  <si>
    <t>Mobile-Light Commercial Truck-Electric</t>
  </si>
  <si>
    <t>Mobile-Intercity Bus-Electric</t>
  </si>
  <si>
    <t>Mobile-Transit Bus-Electric</t>
  </si>
  <si>
    <t>Mobile-School Bus-Electric</t>
  </si>
  <si>
    <t>Mobile-Refuse Truck-Electric</t>
  </si>
  <si>
    <t>Mobile-Single Unit Short-haul Truck-Electric</t>
  </si>
  <si>
    <t>Mobile-Single Unit Long-haul Truck-Electric</t>
  </si>
  <si>
    <t>Mobile-Motor Home-Electric</t>
  </si>
  <si>
    <t>Mobile-Combination Short-haul Truck-Electric</t>
  </si>
  <si>
    <t>Mobile-Combination Long-haul Truck-Electric</t>
  </si>
  <si>
    <t>OR_CNG</t>
  </si>
  <si>
    <t>onroad - compressed natural gas</t>
  </si>
  <si>
    <t>2401200000</t>
  </si>
  <si>
    <t>Other Special Purpose Coatings /Total: All Solvent Types</t>
  </si>
  <si>
    <t>Electronic &amp; Other Electrical /Total: All Solvent Types</t>
  </si>
  <si>
    <t>2401065000</t>
  </si>
  <si>
    <t>No Perchloroethylene</t>
  </si>
  <si>
    <t>2810030000</t>
  </si>
  <si>
    <t>Structure Fires</t>
  </si>
  <si>
    <t>2325000000</t>
  </si>
  <si>
    <t>Mining &amp;Quarrying</t>
  </si>
  <si>
    <t xml:space="preserve">2501050120 </t>
  </si>
  <si>
    <t>Gasoline Distribution Stage I; Tank Trucks in Transit</t>
  </si>
  <si>
    <t>Gasoline Distribution Stage I; Bulk Plants</t>
  </si>
  <si>
    <t>2501060051</t>
  </si>
  <si>
    <t>Gasoline Distribution Stage I; Gasoline Service Station Unloading Submerged filling</t>
  </si>
  <si>
    <t>2501060052</t>
  </si>
  <si>
    <t>Gasoline Distribution Stage I; Gasoline Service Station Unloading Splash filling</t>
  </si>
  <si>
    <t>2501060053</t>
  </si>
  <si>
    <t>Gasoline Distribution Stage I; Gasoline Service Station Unloading Balanced Submerged filling</t>
  </si>
  <si>
    <t>2501060201</t>
  </si>
  <si>
    <t>Gasoline Distribution Stage I; Underground storage tank, breathing and emptying</t>
  </si>
  <si>
    <t>2501060100</t>
  </si>
  <si>
    <t>Gas Stations - Stage 2: Total</t>
  </si>
  <si>
    <t>Monikas 2011 SCC_CODE</t>
  </si>
  <si>
    <t>Surrogate Processes</t>
  </si>
  <si>
    <t>2850001000</t>
  </si>
  <si>
    <t>move from A_MISCPOP</t>
  </si>
  <si>
    <t>A_DWELLINGS</t>
  </si>
  <si>
    <t>A_MINES</t>
  </si>
  <si>
    <t>area - mining &amp; quarrying</t>
  </si>
  <si>
    <t>LU categories 23,24 (med &amp; high intensity developed)</t>
  </si>
  <si>
    <t>moved from A_SURFCOAT</t>
  </si>
  <si>
    <t>2401085000</t>
  </si>
  <si>
    <t>Surface Coating /Railroad /Total: All Solvent Types</t>
  </si>
  <si>
    <t>Surface Coating /Aircraft /Total: All Solvent Types</t>
  </si>
  <si>
    <t>Surface Coating /Marine /Total: All Solvent Types</t>
  </si>
  <si>
    <t>major waterways and port shapefile</t>
  </si>
  <si>
    <t>Mixed, Retail, and Other Commercial/Institutional land use in metro - outstate LU categories 23,24 (med &amp; high intensity developed)</t>
  </si>
  <si>
    <t>adjusted surrgoate to include institutional</t>
  </si>
  <si>
    <t>undeveloped land</t>
  </si>
  <si>
    <t>land area minus developed land area (same as above)</t>
  </si>
  <si>
    <t>Single family households in undeveloped land (all categories except 21,22,23,24)</t>
  </si>
  <si>
    <t>move from A_PETRTRAN</t>
  </si>
  <si>
    <t>Single family households</t>
  </si>
  <si>
    <t>single family household surrogate</t>
  </si>
  <si>
    <t>Single family households + campgrounds</t>
  </si>
  <si>
    <t>single family household + campground surrogate</t>
  </si>
  <si>
    <t>single family household in undeveloped surrogate</t>
  </si>
  <si>
    <t>Wood - Outdoor wood burning device, NEC (fire-pits, chimeas,etc)</t>
  </si>
  <si>
    <t>Mixed, Retail, and Other Commercial/Institutional/Industrial in metro - outstate LU categories 23,24 (med &amp; high intensity developed)</t>
  </si>
  <si>
    <t>Water surface area, minus Minneapolis and St. Paul lakes.</t>
  </si>
  <si>
    <t>subtract Minneapolis and St. Paul lakes from surrogate</t>
  </si>
  <si>
    <t>undeveloped land and developed low intensity, and developed open space</t>
  </si>
  <si>
    <t>med&amp;hi intensity developed outstate;  + combine reported construction in metro</t>
  </si>
  <si>
    <t>removed commercial/industrial METRO from surrogate</t>
  </si>
  <si>
    <t>Institutional &amp; Industrial in metro - outstate LU categories 23,24 (med &amp; high intensity developed)</t>
  </si>
  <si>
    <t>added institutional to METRO surrogate</t>
  </si>
  <si>
    <t>removed industrial, added institutional, retail, and mixed commercial to surrogate</t>
  </si>
  <si>
    <t>new -not used- Total VOCs only</t>
  </si>
  <si>
    <t>-2420000000</t>
  </si>
  <si>
    <t>Category SCC</t>
  </si>
  <si>
    <t>Event</t>
  </si>
  <si>
    <t>20200401</t>
  </si>
  <si>
    <t>30500261</t>
  </si>
  <si>
    <t>30500262</t>
  </si>
  <si>
    <t>20200102</t>
  </si>
  <si>
    <t>30500290</t>
  </si>
  <si>
    <t>10200501</t>
  </si>
  <si>
    <t>30502503</t>
  </si>
  <si>
    <t>30501050</t>
  </si>
  <si>
    <t>30500206</t>
  </si>
  <si>
    <t>30500255</t>
  </si>
  <si>
    <t>30500213</t>
  </si>
  <si>
    <t>30500203</t>
  </si>
  <si>
    <t>30502006</t>
  </si>
  <si>
    <t>30503811</t>
  </si>
  <si>
    <t>30502002</t>
  </si>
  <si>
    <t>30510399</t>
  </si>
  <si>
    <t>30502001</t>
  </si>
  <si>
    <t>30502005</t>
  </si>
  <si>
    <t>30510298</t>
  </si>
  <si>
    <t xml:space="preserve">30510199 </t>
  </si>
  <si>
    <t>30502007</t>
  </si>
  <si>
    <t>30500207</t>
  </si>
  <si>
    <t>30500209</t>
  </si>
  <si>
    <t>30502504</t>
  </si>
  <si>
    <t>20201001</t>
  </si>
  <si>
    <t>30504025</t>
  </si>
  <si>
    <t>30510299</t>
  </si>
  <si>
    <t>30500208</t>
  </si>
  <si>
    <t>Agricultural Field Burning - whole field set on fire</t>
  </si>
  <si>
    <t>Subtract med and Hi intensity developed from land area.</t>
  </si>
  <si>
    <t>APT_TRI</t>
  </si>
  <si>
    <t>allocated point - TRI sources</t>
  </si>
  <si>
    <t>area - portables</t>
  </si>
  <si>
    <t>CMV</t>
  </si>
  <si>
    <t>Rail</t>
  </si>
  <si>
    <t>apportion by construction projects in METRO, Medium High Development Outstate</t>
  </si>
  <si>
    <t>area - feedlots</t>
  </si>
  <si>
    <t>area - miscellaneous vehicle ownership</t>
  </si>
  <si>
    <t>frx_vehicles</t>
  </si>
  <si>
    <t>census</t>
  </si>
  <si>
    <t>census and residential wood survey</t>
  </si>
  <si>
    <t>Frx_Comm_InstMETRO_Frx_Med_High</t>
  </si>
  <si>
    <t>fraction undeveloped land</t>
  </si>
  <si>
    <t>fraction housholds</t>
  </si>
  <si>
    <t>Events</t>
  </si>
  <si>
    <t>Frx_Comm_Inst_Ind_METRO_Frx_med_hi_development_Outstate</t>
  </si>
  <si>
    <t>A_PORTABLES</t>
  </si>
  <si>
    <t>Frx_constr_METRO_Frx_Med_High_Outstate</t>
  </si>
  <si>
    <t>Frx_Boat_Water</t>
  </si>
  <si>
    <t>modeled with locomotives</t>
  </si>
  <si>
    <t>Frx_Low_OpenSpace</t>
  </si>
  <si>
    <t>Frx_Low_Med_OpenSpace</t>
  </si>
  <si>
    <t>check Access queries do these agree: SCC category, fraction chosen as a field, fraction in the builder equation:Non Road and Area.</t>
  </si>
  <si>
    <t>SCC Descriptions</t>
  </si>
  <si>
    <t>2425000000</t>
  </si>
  <si>
    <t>30500258</t>
  </si>
  <si>
    <t>30500214</t>
  </si>
  <si>
    <t>Diesel Source</t>
  </si>
  <si>
    <t>Source Category</t>
  </si>
  <si>
    <t>NO2 Frx</t>
  </si>
  <si>
    <t>Diesel PM Frx</t>
  </si>
  <si>
    <t>Health services - Dental Alloy Production</t>
  </si>
  <si>
    <t>Airports</t>
  </si>
  <si>
    <t>Subcategories</t>
  </si>
  <si>
    <t>Surrogate for apportioning</t>
  </si>
  <si>
    <t>On-Road</t>
  </si>
  <si>
    <t>Non-Road</t>
  </si>
  <si>
    <t>NR_PORTABLE</t>
  </si>
  <si>
    <t>Allocated-Point</t>
  </si>
  <si>
    <t>Gas-Stations</t>
  </si>
  <si>
    <t>nonroad - portables</t>
  </si>
  <si>
    <t>Frx construction in METRO / Frx med &amp;hi intensity development outstate</t>
  </si>
  <si>
    <t>Acronym for Surrogate</t>
  </si>
  <si>
    <t>frx_airports</t>
  </si>
  <si>
    <t>frx_total_land</t>
  </si>
  <si>
    <t>Frx Commercial/Institutional in METRO / Frx med &amp; hi development</t>
  </si>
  <si>
    <t>frx_med_hi_devel</t>
  </si>
  <si>
    <t>Frx_Vehicles</t>
  </si>
  <si>
    <t>frx_SFHHs_in_undeveloped</t>
  </si>
  <si>
    <t>Frx_Commercial_Industrial_Institutional_in_METRO / Frx_med_hi_development_outstate</t>
  </si>
  <si>
    <t>Frx_Low_Density_OpenSpace</t>
  </si>
  <si>
    <t>Frx_Low_Medium_Density_OpenSpace</t>
  </si>
  <si>
    <t>Frx Industrial/Institutional in METRO / Frx med &amp; hi development outstate</t>
  </si>
  <si>
    <t>2501055120</t>
  </si>
  <si>
    <t>2280002200</t>
  </si>
  <si>
    <t>2270008005</t>
  </si>
  <si>
    <t>Int Comb /Comm-Inst /Natural Gas /Reciprocating</t>
  </si>
  <si>
    <t>Fabricated Metal /Other Not Classified</t>
  </si>
  <si>
    <t>Misc Manuf / Indus Processes /Other Not Classified</t>
  </si>
  <si>
    <t>Chem Manuf /Paint Manuf /General Mixing and Handling</t>
  </si>
  <si>
    <t>Chem Manuf /Organic Fertilizer /General: Mixing/Handling</t>
  </si>
  <si>
    <t>Chem Manuf /Pharmaceutical Prod /Fugitive emissions</t>
  </si>
  <si>
    <t>Chem Manuf /General Processes /Pump Seals: Light Liquid/Gas Stream</t>
  </si>
  <si>
    <t>Chem Manuf /Other Not Classified /Specify in Comments Field</t>
  </si>
  <si>
    <t>Food&amp;Agric /Feed Manuf /General **</t>
  </si>
  <si>
    <t>Primary Metals /Other Not Classified</t>
  </si>
  <si>
    <t>Concrete Batching /Other Not Classified</t>
  </si>
  <si>
    <t>Stone Quarrying &amp; Processing /Cut Stone: General</t>
  </si>
  <si>
    <t>Rubber and Plastic Prods /Other Fabricated Plastics /Other Not Classified</t>
  </si>
  <si>
    <t>Electroplating Operations /Other Not Classified</t>
  </si>
  <si>
    <t>Fabricated Metal /Machining Operations /See Comment **</t>
  </si>
  <si>
    <t>Electrical Equip /Electrical Switch Manuf /Electrical Switch Manufacture: Overall Process</t>
  </si>
  <si>
    <t>Electrical Equip /Manufacturing - General /Circuit Board Manufacturing</t>
  </si>
  <si>
    <t>Electrical Equip /Semiconductor Manuf /Miscellaneous Operations: General: Specify Material</t>
  </si>
  <si>
    <t>Electrical Equip /Other Not Classified</t>
  </si>
  <si>
    <t>Degreasing : Trichloroethylene: Open-top Vapor Degreasing</t>
  </si>
  <si>
    <t>Surface Coating /Miscellaneous /Specify in Comments Field</t>
  </si>
  <si>
    <t>Waste Disp-Govt /Landfill Dump /Gas Collection System: Other</t>
  </si>
  <si>
    <t>Waste Disp-Govt /Landfill Dump /Waste Gas Destruction: Waste Gas Flares</t>
  </si>
  <si>
    <t>Railroad Equipment /Diesel /Yard Locomotives</t>
  </si>
  <si>
    <t>area - composting, animal cremation, waste disposal</t>
  </si>
  <si>
    <t>Waste disposal - scrap and waste - Toal: All processes</t>
  </si>
  <si>
    <t>Waste disposal - scrap and waste - Shredding</t>
  </si>
  <si>
    <t>new 2011</t>
  </si>
  <si>
    <t>2461022000</t>
  </si>
  <si>
    <t>Misc Non-industrial: Commercial /Emulsified Asphalt /Total: All Solvent Types</t>
  </si>
  <si>
    <t>-2650000000</t>
  </si>
  <si>
    <t>-2650000002</t>
  </si>
  <si>
    <t>Commercial/Institutional/Industrial in metro - outstate LU categories 23,24 (med &amp; high intensity developed)</t>
  </si>
  <si>
    <t>Industrial/Commercial/Institutional land use in metro - outstate LU categories 23,24 (med &amp; high intensity developed)</t>
  </si>
  <si>
    <t>2810001000</t>
  </si>
  <si>
    <t>APT_WILDFIRE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</si>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</sst>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trike/>
      <sz val="11"/>
      <color theme="1"/>
      <name val="Calibri"/>
      <family val="2"/>
      <scheme val="minor"/>
    </font>
    <font>
      <b/>
      <sz val="8"/>
      <color rgb="FF000000"/>
      <name val="Lucida Sans"/>
      <family val="2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rgb="FFCFD4D8"/>
      </right>
      <top/>
      <bottom style="medium">
        <color rgb="FFCFD4D8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  <xf numFmtId="0" fontId="23" fillId="0" borderId="0"/>
    <xf numFmtId="0" fontId="30" fillId="0" borderId="0"/>
  </cellStyleXfs>
  <cellXfs count="171">
    <xf numFmtId="0" fontId="0" fillId="0" borderId="0" xfId="0"/>
    <xf numFmtId="0" fontId="18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2" fillId="0" borderId="0" xfId="42" applyAlignment="1">
      <alignment wrapText="1"/>
    </xf>
    <xf numFmtId="0" fontId="22" fillId="0" borderId="0" xfId="42" applyFont="1" applyAlignment="1">
      <alignment wrapText="1"/>
    </xf>
    <xf numFmtId="0" fontId="22" fillId="0" borderId="0" xfId="42"/>
    <xf numFmtId="0" fontId="23" fillId="0" borderId="0" xfId="43"/>
    <xf numFmtId="0" fontId="23" fillId="44" borderId="0" xfId="43" applyFill="1"/>
    <xf numFmtId="3" fontId="23" fillId="44" borderId="0" xfId="43" applyNumberFormat="1" applyFill="1"/>
    <xf numFmtId="164" fontId="23" fillId="44" borderId="0" xfId="43" applyNumberFormat="1" applyFill="1"/>
    <xf numFmtId="3" fontId="23" fillId="0" borderId="0" xfId="43" applyNumberFormat="1"/>
    <xf numFmtId="164" fontId="23" fillId="0" borderId="0" xfId="43" applyNumberFormat="1"/>
    <xf numFmtId="0" fontId="24" fillId="0" borderId="0" xfId="43" applyFont="1"/>
    <xf numFmtId="0" fontId="23" fillId="34" borderId="0" xfId="43" applyFill="1"/>
    <xf numFmtId="0" fontId="25" fillId="34" borderId="0" xfId="43" applyFont="1" applyFill="1"/>
    <xf numFmtId="3" fontId="23" fillId="34" borderId="0" xfId="43" applyNumberFormat="1" applyFill="1"/>
    <xf numFmtId="164" fontId="23" fillId="34" borderId="0" xfId="43" applyNumberFormat="1" applyFill="1"/>
    <xf numFmtId="0" fontId="23" fillId="0" borderId="0" xfId="43" applyAlignment="1">
      <alignment wrapText="1"/>
    </xf>
    <xf numFmtId="0" fontId="23" fillId="43" borderId="0" xfId="43" applyFill="1" applyAlignment="1">
      <alignment wrapText="1"/>
    </xf>
    <xf numFmtId="3" fontId="23" fillId="43" borderId="0" xfId="43" applyNumberFormat="1" applyFill="1"/>
    <xf numFmtId="164" fontId="23" fillId="43" borderId="0" xfId="43" applyNumberFormat="1" applyFill="1"/>
    <xf numFmtId="0" fontId="26" fillId="0" borderId="0" xfId="43" applyFont="1"/>
    <xf numFmtId="0" fontId="25" fillId="0" borderId="0" xfId="43" quotePrefix="1" applyNumberFormat="1" applyFont="1"/>
    <xf numFmtId="0" fontId="25" fillId="43" borderId="0" xfId="43" quotePrefix="1" applyNumberFormat="1" applyFont="1" applyFill="1"/>
    <xf numFmtId="0" fontId="0" fillId="0" borderId="0" xfId="0" applyFill="1"/>
    <xf numFmtId="0" fontId="21" fillId="0" borderId="0" xfId="0" applyFont="1" applyFill="1"/>
    <xf numFmtId="0" fontId="21" fillId="0" borderId="0" xfId="41" applyFont="1" applyFill="1"/>
    <xf numFmtId="0" fontId="21" fillId="0" borderId="0" xfId="6" applyFont="1" applyFill="1"/>
    <xf numFmtId="0" fontId="21" fillId="0" borderId="0" xfId="8" applyFont="1" applyFill="1"/>
    <xf numFmtId="0" fontId="21" fillId="0" borderId="0" xfId="7" applyFont="1" applyFill="1"/>
    <xf numFmtId="0" fontId="21" fillId="0" borderId="0" xfId="20" applyFont="1" applyFill="1"/>
    <xf numFmtId="0" fontId="16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wrapText="1"/>
    </xf>
    <xf numFmtId="0" fontId="28" fillId="0" borderId="0" xfId="0" applyFont="1" applyFill="1"/>
    <xf numFmtId="0" fontId="21" fillId="0" borderId="0" xfId="0" applyFont="1" applyAlignment="1"/>
    <xf numFmtId="0" fontId="21" fillId="39" borderId="10" xfId="0" applyFont="1" applyFill="1" applyBorder="1" applyAlignment="1"/>
    <xf numFmtId="0" fontId="21" fillId="45" borderId="10" xfId="0" applyFont="1" applyFill="1" applyBorder="1" applyAlignment="1"/>
    <xf numFmtId="0" fontId="0" fillId="39" borderId="10" xfId="0" applyFill="1" applyBorder="1" applyAlignment="1"/>
    <xf numFmtId="0" fontId="21" fillId="33" borderId="10" xfId="0" applyFont="1" applyFill="1" applyBorder="1" applyAlignment="1"/>
    <xf numFmtId="0" fontId="0" fillId="33" borderId="10" xfId="0" applyFill="1" applyBorder="1" applyAlignment="1"/>
    <xf numFmtId="0" fontId="21" fillId="36" borderId="10" xfId="0" applyFont="1" applyFill="1" applyBorder="1" applyAlignment="1"/>
    <xf numFmtId="0" fontId="0" fillId="36" borderId="10" xfId="0" applyFill="1" applyBorder="1" applyAlignment="1"/>
    <xf numFmtId="0" fontId="28" fillId="47" borderId="1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8" fillId="47" borderId="11" xfId="0" applyFont="1" applyFill="1" applyBorder="1" applyAlignment="1">
      <alignment horizontal="center" vertical="center"/>
    </xf>
    <xf numFmtId="0" fontId="21" fillId="48" borderId="10" xfId="0" applyFont="1" applyFill="1" applyBorder="1" applyAlignment="1"/>
    <xf numFmtId="0" fontId="21" fillId="38" borderId="10" xfId="0" applyFont="1" applyFill="1" applyBorder="1" applyAlignment="1"/>
    <xf numFmtId="0" fontId="21" fillId="46" borderId="10" xfId="0" applyFont="1" applyFill="1" applyBorder="1" applyAlignment="1"/>
    <xf numFmtId="0" fontId="21" fillId="42" borderId="10" xfId="0" applyFont="1" applyFill="1" applyBorder="1" applyAlignment="1"/>
    <xf numFmtId="0" fontId="21" fillId="32" borderId="10" xfId="41" applyFont="1" applyBorder="1" applyAlignment="1"/>
    <xf numFmtId="0" fontId="0" fillId="38" borderId="10" xfId="0" applyFill="1" applyBorder="1" applyAlignment="1"/>
    <xf numFmtId="0" fontId="21" fillId="2" borderId="10" xfId="6" applyFont="1" applyBorder="1" applyAlignment="1"/>
    <xf numFmtId="0" fontId="21" fillId="3" borderId="10" xfId="7" applyFont="1" applyBorder="1" applyAlignment="1"/>
    <xf numFmtId="0" fontId="21" fillId="11" borderId="10" xfId="20" applyFont="1" applyBorder="1" applyAlignment="1"/>
    <xf numFmtId="0" fontId="21" fillId="37" borderId="10" xfId="0" applyFont="1" applyFill="1" applyBorder="1" applyAlignment="1"/>
    <xf numFmtId="0" fontId="0" fillId="37" borderId="10" xfId="0" applyFill="1" applyBorder="1" applyAlignment="1"/>
    <xf numFmtId="0" fontId="21" fillId="39" borderId="10" xfId="8" applyFont="1" applyFill="1" applyBorder="1" applyAlignment="1"/>
    <xf numFmtId="0" fontId="21" fillId="35" borderId="10" xfId="0" applyFont="1" applyFill="1" applyBorder="1" applyAlignment="1"/>
    <xf numFmtId="0" fontId="0" fillId="40" borderId="10" xfId="0" applyFill="1" applyBorder="1" applyAlignment="1"/>
    <xf numFmtId="0" fontId="21" fillId="40" borderId="10" xfId="0" applyFont="1" applyFill="1" applyBorder="1" applyAlignment="1"/>
    <xf numFmtId="0" fontId="0" fillId="35" borderId="10" xfId="0" applyFill="1" applyBorder="1" applyAlignment="1"/>
    <xf numFmtId="0" fontId="21" fillId="34" borderId="10" xfId="0" applyFont="1" applyFill="1" applyBorder="1" applyAlignment="1"/>
    <xf numFmtId="0" fontId="0" fillId="34" borderId="10" xfId="0" applyFill="1" applyBorder="1" applyAlignment="1"/>
    <xf numFmtId="0" fontId="0" fillId="42" borderId="10" xfId="0" applyFill="1" applyBorder="1" applyAlignment="1"/>
    <xf numFmtId="0" fontId="21" fillId="41" borderId="10" xfId="0" applyFont="1" applyFill="1" applyBorder="1" applyAlignment="1"/>
    <xf numFmtId="0" fontId="0" fillId="41" borderId="10" xfId="0" applyFill="1" applyBorder="1" applyAlignment="1"/>
    <xf numFmtId="0" fontId="0" fillId="45" borderId="10" xfId="0" applyFill="1" applyBorder="1" applyAlignment="1"/>
    <xf numFmtId="0" fontId="28" fillId="0" borderId="11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/>
    <xf numFmtId="0" fontId="21" fillId="0" borderId="10" xfId="41" applyFont="1" applyFill="1" applyBorder="1" applyAlignment="1"/>
    <xf numFmtId="0" fontId="27" fillId="0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0" fontId="21" fillId="48" borderId="10" xfId="0" applyFont="1" applyFill="1" applyBorder="1" applyAlignment="1">
      <alignment horizontal="center"/>
    </xf>
    <xf numFmtId="0" fontId="21" fillId="45" borderId="10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0" fontId="21" fillId="36" borderId="10" xfId="0" applyFont="1" applyFill="1" applyBorder="1" applyAlignment="1">
      <alignment horizontal="center"/>
    </xf>
    <xf numFmtId="0" fontId="21" fillId="46" borderId="10" xfId="0" applyFont="1" applyFill="1" applyBorder="1" applyAlignment="1">
      <alignment horizontal="center"/>
    </xf>
    <xf numFmtId="0" fontId="21" fillId="42" borderId="10" xfId="0" applyFont="1" applyFill="1" applyBorder="1" applyAlignment="1">
      <alignment horizontal="center"/>
    </xf>
    <xf numFmtId="0" fontId="21" fillId="2" borderId="10" xfId="6" applyFont="1" applyBorder="1" applyAlignment="1">
      <alignment horizontal="center"/>
    </xf>
    <xf numFmtId="0" fontId="21" fillId="3" borderId="10" xfId="7" applyFont="1" applyBorder="1" applyAlignment="1">
      <alignment horizontal="center"/>
    </xf>
    <xf numFmtId="0" fontId="21" fillId="11" borderId="10" xfId="20" applyFont="1" applyBorder="1" applyAlignment="1">
      <alignment horizontal="center"/>
    </xf>
    <xf numFmtId="0" fontId="21" fillId="37" borderId="10" xfId="0" applyFon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21" fillId="41" borderId="10" xfId="0" applyFont="1" applyFill="1" applyBorder="1" applyAlignment="1">
      <alignment horizontal="center"/>
    </xf>
    <xf numFmtId="0" fontId="21" fillId="39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0" fillId="38" borderId="0" xfId="0" applyFill="1"/>
    <xf numFmtId="0" fontId="21" fillId="38" borderId="0" xfId="0" applyFont="1" applyFill="1"/>
    <xf numFmtId="0" fontId="0" fillId="49" borderId="0" xfId="0" applyFill="1"/>
    <xf numFmtId="0" fontId="21" fillId="47" borderId="10" xfId="0" applyFont="1" applyFill="1" applyBorder="1" applyAlignment="1"/>
    <xf numFmtId="0" fontId="21" fillId="47" borderId="10" xfId="0" applyFont="1" applyFill="1" applyBorder="1" applyAlignment="1">
      <alignment horizontal="center"/>
    </xf>
    <xf numFmtId="49" fontId="28" fillId="47" borderId="11" xfId="0" applyNumberFormat="1" applyFont="1" applyFill="1" applyBorder="1" applyAlignment="1">
      <alignment horizontal="center" vertical="center" wrapText="1"/>
    </xf>
    <xf numFmtId="49" fontId="21" fillId="38" borderId="10" xfId="0" applyNumberFormat="1" applyFont="1" applyFill="1" applyBorder="1" applyAlignment="1">
      <alignment horizontal="center"/>
    </xf>
    <xf numFmtId="49" fontId="21" fillId="48" borderId="10" xfId="0" applyNumberFormat="1" applyFont="1" applyFill="1" applyBorder="1" applyAlignment="1">
      <alignment horizontal="center"/>
    </xf>
    <xf numFmtId="49" fontId="21" fillId="45" borderId="10" xfId="0" applyNumberFormat="1" applyFont="1" applyFill="1" applyBorder="1" applyAlignment="1">
      <alignment horizontal="center"/>
    </xf>
    <xf numFmtId="49" fontId="21" fillId="33" borderId="10" xfId="0" applyNumberFormat="1" applyFont="1" applyFill="1" applyBorder="1" applyAlignment="1">
      <alignment horizontal="center"/>
    </xf>
    <xf numFmtId="49" fontId="21" fillId="36" borderId="10" xfId="0" applyNumberFormat="1" applyFont="1" applyFill="1" applyBorder="1" applyAlignment="1">
      <alignment horizontal="center"/>
    </xf>
    <xf numFmtId="49" fontId="21" fillId="46" borderId="10" xfId="0" applyNumberFormat="1" applyFont="1" applyFill="1" applyBorder="1" applyAlignment="1">
      <alignment horizontal="center"/>
    </xf>
    <xf numFmtId="49" fontId="21" fillId="42" borderId="10" xfId="0" applyNumberFormat="1" applyFont="1" applyFill="1" applyBorder="1" applyAlignment="1">
      <alignment horizontal="center"/>
    </xf>
    <xf numFmtId="49" fontId="21" fillId="32" borderId="10" xfId="41" applyNumberFormat="1" applyFont="1" applyBorder="1" applyAlignment="1">
      <alignment horizontal="center"/>
    </xf>
    <xf numFmtId="49" fontId="21" fillId="2" borderId="10" xfId="6" applyNumberFormat="1" applyFont="1" applyBorder="1" applyAlignment="1">
      <alignment horizontal="center"/>
    </xf>
    <xf numFmtId="49" fontId="21" fillId="3" borderId="10" xfId="7" applyNumberFormat="1" applyFont="1" applyBorder="1" applyAlignment="1">
      <alignment horizontal="center"/>
    </xf>
    <xf numFmtId="49" fontId="21" fillId="11" borderId="10" xfId="20" applyNumberFormat="1" applyFont="1" applyBorder="1" applyAlignment="1">
      <alignment horizontal="center"/>
    </xf>
    <xf numFmtId="49" fontId="21" fillId="37" borderId="10" xfId="0" applyNumberFormat="1" applyFont="1" applyFill="1" applyBorder="1" applyAlignment="1">
      <alignment horizontal="center"/>
    </xf>
    <xf numFmtId="49" fontId="0" fillId="38" borderId="10" xfId="0" applyNumberFormat="1" applyFill="1" applyBorder="1" applyAlignment="1">
      <alignment horizontal="center"/>
    </xf>
    <xf numFmtId="49" fontId="0" fillId="39" borderId="10" xfId="0" applyNumberFormat="1" applyFill="1" applyBorder="1" applyAlignment="1">
      <alignment horizontal="center"/>
    </xf>
    <xf numFmtId="49" fontId="21" fillId="35" borderId="10" xfId="0" applyNumberFormat="1" applyFont="1" applyFill="1" applyBorder="1" applyAlignment="1">
      <alignment horizontal="center"/>
    </xf>
    <xf numFmtId="49" fontId="0" fillId="36" borderId="10" xfId="0" applyNumberFormat="1" applyFill="1" applyBorder="1" applyAlignment="1">
      <alignment horizontal="center"/>
    </xf>
    <xf numFmtId="49" fontId="0" fillId="40" borderId="10" xfId="0" applyNumberFormat="1" applyFill="1" applyBorder="1" applyAlignment="1">
      <alignment horizontal="center"/>
    </xf>
    <xf numFmtId="49" fontId="21" fillId="34" borderId="10" xfId="0" applyNumberFormat="1" applyFont="1" applyFill="1" applyBorder="1" applyAlignment="1">
      <alignment horizontal="center"/>
    </xf>
    <xf numFmtId="49" fontId="0" fillId="35" borderId="10" xfId="0" applyNumberFormat="1" applyFill="1" applyBorder="1" applyAlignment="1">
      <alignment horizontal="center"/>
    </xf>
    <xf numFmtId="49" fontId="21" fillId="41" borderId="10" xfId="0" applyNumberFormat="1" applyFont="1" applyFill="1" applyBorder="1" applyAlignment="1">
      <alignment horizontal="center"/>
    </xf>
    <xf numFmtId="49" fontId="21" fillId="39" borderId="10" xfId="0" applyNumberFormat="1" applyFont="1" applyFill="1" applyBorder="1" applyAlignment="1">
      <alignment horizontal="center"/>
    </xf>
    <xf numFmtId="49" fontId="21" fillId="0" borderId="0" xfId="0" applyNumberFormat="1" applyFont="1" applyAlignment="1">
      <alignment horizontal="center"/>
    </xf>
    <xf numFmtId="49" fontId="28" fillId="47" borderId="11" xfId="0" applyNumberFormat="1" applyFont="1" applyFill="1" applyBorder="1" applyAlignment="1">
      <alignment horizontal="center" vertical="center"/>
    </xf>
    <xf numFmtId="49" fontId="0" fillId="37" borderId="10" xfId="0" applyNumberFormat="1" applyFill="1" applyBorder="1" applyAlignment="1">
      <alignment horizontal="center"/>
    </xf>
    <xf numFmtId="49" fontId="21" fillId="39" borderId="10" xfId="8" applyNumberFormat="1" applyFont="1" applyFill="1" applyBorder="1" applyAlignment="1">
      <alignment horizontal="center"/>
    </xf>
    <xf numFmtId="49" fontId="21" fillId="47" borderId="10" xfId="0" applyNumberFormat="1" applyFont="1" applyFill="1" applyBorder="1" applyAlignment="1">
      <alignment horizontal="center"/>
    </xf>
    <xf numFmtId="49" fontId="0" fillId="47" borderId="10" xfId="0" applyNumberFormat="1" applyFill="1" applyBorder="1" applyAlignment="1">
      <alignment horizontal="center"/>
    </xf>
    <xf numFmtId="49" fontId="0" fillId="33" borderId="10" xfId="0" applyNumberFormat="1" applyFill="1" applyBorder="1" applyAlignment="1">
      <alignment horizontal="center"/>
    </xf>
    <xf numFmtId="49" fontId="0" fillId="34" borderId="10" xfId="0" applyNumberFormat="1" applyFill="1" applyBorder="1" applyAlignment="1">
      <alignment horizontal="center"/>
    </xf>
    <xf numFmtId="49" fontId="0" fillId="42" borderId="10" xfId="0" applyNumberFormat="1" applyFill="1" applyBorder="1" applyAlignment="1">
      <alignment horizontal="center"/>
    </xf>
    <xf numFmtId="49" fontId="0" fillId="41" borderId="10" xfId="0" applyNumberFormat="1" applyFill="1" applyBorder="1" applyAlignment="1">
      <alignment horizontal="center"/>
    </xf>
    <xf numFmtId="49" fontId="0" fillId="45" borderId="10" xfId="0" applyNumberFormat="1" applyFill="1" applyBorder="1" applyAlignment="1">
      <alignment horizontal="center"/>
    </xf>
    <xf numFmtId="0" fontId="21" fillId="35" borderId="12" xfId="0" applyFont="1" applyFill="1" applyBorder="1" applyAlignment="1"/>
    <xf numFmtId="49" fontId="21" fillId="35" borderId="12" xfId="0" applyNumberFormat="1" applyFont="1" applyFill="1" applyBorder="1" applyAlignment="1">
      <alignment horizontal="center"/>
    </xf>
    <xf numFmtId="49" fontId="0" fillId="35" borderId="12" xfId="0" applyNumberFormat="1" applyFill="1" applyBorder="1" applyAlignment="1">
      <alignment horizontal="center"/>
    </xf>
    <xf numFmtId="0" fontId="0" fillId="35" borderId="12" xfId="0" applyFill="1" applyBorder="1" applyAlignment="1"/>
    <xf numFmtId="0" fontId="30" fillId="0" borderId="0" xfId="44"/>
    <xf numFmtId="0" fontId="30" fillId="34" borderId="0" xfId="44" applyFill="1"/>
    <xf numFmtId="0" fontId="30" fillId="34" borderId="0" xfId="44" applyFill="1" applyAlignment="1">
      <alignment horizontal="center"/>
    </xf>
    <xf numFmtId="0" fontId="30" fillId="0" borderId="0" xfId="44" applyAlignment="1">
      <alignment horizontal="center"/>
    </xf>
    <xf numFmtId="0" fontId="0" fillId="0" borderId="0" xfId="0" applyAlignment="1">
      <alignment horizontal="center"/>
    </xf>
    <xf numFmtId="0" fontId="21" fillId="35" borderId="12" xfId="0" applyFont="1" applyFill="1" applyBorder="1" applyAlignment="1">
      <alignment horizontal="center"/>
    </xf>
    <xf numFmtId="0" fontId="21" fillId="32" borderId="10" xfId="41" applyFont="1" applyBorder="1" applyAlignment="1">
      <alignment horizontal="center" vertical="center" wrapText="1"/>
    </xf>
    <xf numFmtId="0" fontId="0" fillId="43" borderId="0" xfId="0" applyFill="1"/>
    <xf numFmtId="0" fontId="21" fillId="50" borderId="10" xfId="0" applyFont="1" applyFill="1" applyBorder="1" applyAlignment="1">
      <alignment horizontal="center"/>
    </xf>
    <xf numFmtId="49" fontId="21" fillId="50" borderId="10" xfId="0" applyNumberFormat="1" applyFont="1" applyFill="1" applyBorder="1" applyAlignment="1">
      <alignment horizontal="center"/>
    </xf>
    <xf numFmtId="0" fontId="21" fillId="50" borderId="10" xfId="0" applyFont="1" applyFill="1" applyBorder="1" applyAlignment="1"/>
    <xf numFmtId="0" fontId="21" fillId="38" borderId="10" xfId="0" applyFont="1" applyFill="1" applyBorder="1" applyAlignment="1">
      <alignment vertical="center"/>
    </xf>
    <xf numFmtId="49" fontId="0" fillId="48" borderId="10" xfId="0" applyNumberFormat="1" applyFill="1" applyBorder="1" applyAlignment="1">
      <alignment horizontal="center"/>
    </xf>
    <xf numFmtId="49" fontId="21" fillId="36" borderId="10" xfId="0" applyNumberFormat="1" applyFont="1" applyFill="1" applyBorder="1" applyAlignment="1">
      <alignment horizontal="center" wrapText="1"/>
    </xf>
    <xf numFmtId="0" fontId="31" fillId="0" borderId="0" xfId="0" applyFont="1" applyFill="1"/>
    <xf numFmtId="0" fontId="31" fillId="0" borderId="0" xfId="0" applyFont="1"/>
    <xf numFmtId="0" fontId="21" fillId="40" borderId="10" xfId="0" applyFont="1" applyFill="1" applyBorder="1" applyAlignment="1">
      <alignment horizontal="center"/>
    </xf>
    <xf numFmtId="0" fontId="21" fillId="32" borderId="10" xfId="41" applyFont="1" applyBorder="1" applyAlignment="1">
      <alignment horizontal="center"/>
    </xf>
    <xf numFmtId="0" fontId="21" fillId="39" borderId="10" xfId="8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2" fontId="21" fillId="35" borderId="10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32" fillId="43" borderId="13" xfId="0" applyFont="1" applyFill="1" applyBorder="1" applyAlignment="1">
      <alignment horizontal="center" vertical="center"/>
    </xf>
    <xf numFmtId="2" fontId="21" fillId="38" borderId="10" xfId="0" applyNumberFormat="1" applyFont="1" applyFill="1" applyBorder="1" applyAlignment="1">
      <alignment horizontal="center"/>
    </xf>
    <xf numFmtId="2" fontId="21" fillId="35" borderId="12" xfId="0" applyNumberFormat="1" applyFont="1" applyFill="1" applyBorder="1" applyAlignment="1">
      <alignment horizontal="center"/>
    </xf>
    <xf numFmtId="0" fontId="21" fillId="51" borderId="10" xfId="0" applyFont="1" applyFill="1" applyBorder="1" applyAlignment="1">
      <alignment horizontal="center"/>
    </xf>
    <xf numFmtId="49" fontId="21" fillId="51" borderId="10" xfId="0" applyNumberFormat="1" applyFont="1" applyFill="1" applyBorder="1" applyAlignment="1">
      <alignment horizontal="center"/>
    </xf>
    <xf numFmtId="0" fontId="21" fillId="51" borderId="10" xfId="0" applyFont="1" applyFill="1" applyBorder="1" applyAlignment="1"/>
    <xf numFmtId="0" fontId="21" fillId="51" borderId="0" xfId="0" applyFont="1" applyFill="1" applyAlignment="1">
      <alignment wrapText="1"/>
    </xf>
    <xf numFmtId="49" fontId="0" fillId="36" borderId="10" xfId="0" applyNumberFormat="1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21" fillId="52" borderId="10" xfId="0" applyFont="1" applyFill="1" applyBorder="1" applyAlignment="1"/>
    <xf numFmtId="0" fontId="21" fillId="39" borderId="10" xfId="0" applyFont="1" applyFill="1" applyBorder="1" applyAlignment="1">
      <alignment horizontal="center" vertical="center" wrapText="1"/>
    </xf>
    <xf numFmtId="0" fontId="21" fillId="38" borderId="10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824863</xdr:colOff>
      <xdr:row>49</xdr:row>
      <xdr:rowOff>178493</xdr:rowOff>
    </xdr:from>
    <xdr:ext cx="7852411" cy="12429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1929763" y="8389043"/>
              <a:ext cx="7852411" cy="12429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/>
                      </a:rPr>
                      <m:t>𝒃𝒍𝒐𝒄𝒌</m:t>
                    </m:r>
                    <m:r>
                      <a:rPr lang="en-US" sz="1400" b="1" i="1">
                        <a:latin typeface="Cambria Math"/>
                      </a:rPr>
                      <m:t> </m:t>
                    </m:r>
                    <m:r>
                      <a:rPr lang="en-US" sz="1400" b="1" i="1">
                        <a:latin typeface="Cambria Math"/>
                      </a:rPr>
                      <m:t>𝒈𝒓𝒐𝒖𝒑</m:t>
                    </m:r>
                    <m:r>
                      <a:rPr lang="en-US" sz="1400" b="1" i="1">
                        <a:latin typeface="Cambria Math"/>
                      </a:rPr>
                      <m:t> </m:t>
                    </m:r>
                    <m:r>
                      <a:rPr lang="en-US" sz="1400" b="1" i="1">
                        <a:latin typeface="Cambria Math"/>
                      </a:rPr>
                      <m:t>𝒆𝒎𝒊𝒔𝒔𝒊𝒐𝒏𝒔</m:t>
                    </m:r>
                    <m:r>
                      <a:rPr lang="en-US" sz="1400" b="1" i="1">
                        <a:latin typeface="Cambria Math"/>
                      </a:rPr>
                      <m:t>=</m:t>
                    </m:r>
                    <m:r>
                      <a:rPr lang="en-US" sz="1400" b="1" i="1">
                        <a:latin typeface="Cambria Math"/>
                      </a:rPr>
                      <m:t>𝒄𝒐𝒖𝒏𝒕𝒚</m:t>
                    </m:r>
                    <m:r>
                      <a:rPr lang="en-US" sz="1400" b="1" i="1">
                        <a:latin typeface="Cambria Math"/>
                      </a:rPr>
                      <m:t> </m:t>
                    </m:r>
                    <m:r>
                      <a:rPr lang="en-US" sz="1400" b="1" i="1">
                        <a:latin typeface="Cambria Math"/>
                      </a:rPr>
                      <m:t>𝒆𝒎𝒊𝒔𝒔𝒊𝒐𝒏𝒔</m:t>
                    </m:r>
                    <m:r>
                      <a:rPr lang="en-US" sz="1400" b="1" i="1">
                        <a:latin typeface="Cambria Math"/>
                      </a:rPr>
                      <m:t> ∗ 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/>
                          </a:rPr>
                          <m:t>𝒔𝒖𝒓𝒓𝒐𝒈𝒂𝒕𝒆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𝒗𝒂𝒍𝒖𝒆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𝒊𝒏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𝒃𝒍𝒐𝒄𝒌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𝒈𝒓𝒐𝒖𝒑</m:t>
                        </m:r>
                      </m:num>
                      <m:den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400" b="1" i="1">
                                <a:latin typeface="Cambria Math"/>
                              </a:rPr>
                              <m:t>(</m:t>
                            </m:r>
                          </m:e>
                        </m:nary>
                        <m:r>
                          <a:rPr lang="en-US" sz="1400" b="1" i="1">
                            <a:latin typeface="Cambria Math"/>
                          </a:rPr>
                          <m:t>𝒔𝒖𝒓𝒓𝒐𝒈𝒂𝒕𝒆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𝒗𝒂𝒍𝒖𝒆𝒔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𝒊𝒏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𝒄𝒐𝒖𝒏𝒕𝒚</m:t>
                        </m:r>
                        <m:r>
                          <a:rPr lang="en-US" sz="1400" b="1" i="1">
                            <a:latin typeface="Cambria Math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400" b="1" i="1">
                <a:latin typeface="+mn-lt"/>
              </a:endParaRPr>
            </a:p>
            <a:p>
              <a:pPr algn="l"/>
              <a:r>
                <a:rPr lang="en-US" sz="14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	</a:t>
              </a: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∑</m:t>
                    </m:r>
                    <m:d>
                      <m:d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  </m:t>
                        </m:r>
                        <m:f>
                          <m:f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𝒔𝒖𝒓𝒓𝒐𝒈𝒂𝒕𝒆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𝒗𝒂𝒍𝒖𝒆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𝒊𝒏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𝒃𝒍𝒐𝒄𝒌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𝒈𝒓𝒐𝒖𝒑</m:t>
                            </m:r>
                          </m:num>
                          <m:den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</m:e>
                            </m:nary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𝒔𝒖𝒓𝒓𝒐𝒈𝒂𝒕𝒆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𝒗𝒂𝒍𝒖𝒆𝒔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𝒊𝒏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𝒄𝒐𝒖𝒏𝒕𝒚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  </m:t>
                        </m:r>
                      </m:e>
                    </m:d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𝒔𝒖𝒎𝒎𝒆𝒅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𝒐𝒗𝒆𝒓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𝒂𝒍𝒍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𝑩𝑮𝒔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𝒊𝒏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𝒂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𝒄𝒐𝒖𝒏𝒕𝒚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𝒘𝒊𝒍𝒍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𝒖𝒔𝒖𝒂𝒍𝒍𝒚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𝟏</m:t>
                    </m:r>
                  </m:oMath>
                </m:oMathPara>
              </a14:m>
              <a:endParaRPr lang="en-US" sz="1400" b="1">
                <a:latin typeface="+mn-lt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929763" y="8389043"/>
              <a:ext cx="7852411" cy="12429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lang="en-US" sz="1400" b="1" i="0">
                  <a:latin typeface="Cambria Math"/>
                </a:rPr>
                <a:t>𝒃𝒍𝒐𝒄𝒌 𝒈𝒓𝒐𝒖𝒑 𝒆𝒎𝒊𝒔𝒔𝒊𝒐𝒏𝒔=𝒄𝒐𝒖𝒏𝒕𝒚 𝒆𝒎𝒊𝒔𝒔𝒊𝒐𝒏𝒔 ∗  (𝒔𝒖𝒓𝒓𝒐𝒈𝒂𝒕𝒆 𝒗𝒂𝒍𝒖𝒆 𝒊𝒏 𝒃𝒍𝒐𝒄𝒌 𝒈𝒓𝒐𝒖𝒑)/(∑▒( 𝒔𝒖𝒓𝒓𝒐𝒈𝒂𝒕𝒆 𝒗𝒂𝒍𝒖𝒆𝒔 𝒊𝒏 𝒄𝒐𝒖𝒏𝒕𝒚))</a:t>
              </a:r>
              <a:endParaRPr lang="en-US" sz="1400" b="1" i="1">
                <a:latin typeface="+mn-lt"/>
              </a:endParaRPr>
            </a:p>
            <a:p>
              <a:pPr algn="l"/>
              <a:r>
                <a:rPr lang="en-US" sz="14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	</a:t>
              </a:r>
            </a:p>
            <a:p>
              <a:pPr algn="l"/>
              <a:r>
                <a:rPr lang="en-US" sz="14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∑(   (𝒔𝒖𝒓𝒓𝒐𝒈𝒂𝒕𝒆 𝒗𝒂𝒍𝒖𝒆 𝒊𝒏 𝒃𝒍𝒐𝒄𝒌 𝒈𝒓𝒐𝒖𝒑)/(∑▒( 𝒔𝒖𝒓𝒓𝒐𝒈𝒂𝒕𝒆 𝒗𝒂𝒍𝒖𝒆𝒔 𝒊𝒏 𝒄𝒐𝒖𝒏𝒕𝒚))    )𝒔𝒖𝒎𝒎𝒆𝒅 𝒐𝒗𝒆𝒓 𝒂𝒍𝒍 𝑩𝑮𝒔 𝒊𝒏 𝒂 𝒄𝒐𝒖𝒏𝒕𝒚 𝒘𝒊𝒍𝒍 𝒖𝒔𝒖𝒂𝒍𝒍𝒚=𝟏</a:t>
              </a:r>
              <a:endParaRPr lang="en-US" sz="1400" b="1">
                <a:latin typeface="+mn-lt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824863</xdr:colOff>
      <xdr:row>42</xdr:row>
      <xdr:rowOff>178493</xdr:rowOff>
    </xdr:from>
    <xdr:ext cx="7852411" cy="12429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824863" y="7226993"/>
              <a:ext cx="7852411" cy="12429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/>
                      </a:rPr>
                      <m:t>𝒃𝒍𝒐𝒄𝒌</m:t>
                    </m:r>
                    <m:r>
                      <a:rPr lang="en-US" sz="1400" b="1" i="1">
                        <a:latin typeface="Cambria Math"/>
                      </a:rPr>
                      <m:t> </m:t>
                    </m:r>
                    <m:r>
                      <a:rPr lang="en-US" sz="1400" b="1" i="1">
                        <a:latin typeface="Cambria Math"/>
                      </a:rPr>
                      <m:t>𝒈𝒓𝒐𝒖𝒑</m:t>
                    </m:r>
                    <m:r>
                      <a:rPr lang="en-US" sz="1400" b="1" i="1">
                        <a:latin typeface="Cambria Math"/>
                      </a:rPr>
                      <m:t> </m:t>
                    </m:r>
                    <m:r>
                      <a:rPr lang="en-US" sz="1400" b="1" i="1">
                        <a:latin typeface="Cambria Math"/>
                      </a:rPr>
                      <m:t>𝒆𝒎𝒊𝒔𝒔𝒊𝒐𝒏𝒔</m:t>
                    </m:r>
                    <m:r>
                      <a:rPr lang="en-US" sz="1400" b="1" i="1">
                        <a:latin typeface="Cambria Math"/>
                      </a:rPr>
                      <m:t>=</m:t>
                    </m:r>
                    <m:r>
                      <a:rPr lang="en-US" sz="1400" b="1" i="1">
                        <a:latin typeface="Cambria Math"/>
                      </a:rPr>
                      <m:t>𝒄𝒐𝒖𝒏𝒕𝒚</m:t>
                    </m:r>
                    <m:r>
                      <a:rPr lang="en-US" sz="1400" b="1" i="1">
                        <a:latin typeface="Cambria Math"/>
                      </a:rPr>
                      <m:t> </m:t>
                    </m:r>
                    <m:r>
                      <a:rPr lang="en-US" sz="1400" b="1" i="1">
                        <a:latin typeface="Cambria Math"/>
                      </a:rPr>
                      <m:t>𝒆𝒎𝒊𝒔𝒔𝒊𝒐𝒏𝒔</m:t>
                    </m:r>
                    <m:r>
                      <a:rPr lang="en-US" sz="1400" b="1" i="1">
                        <a:latin typeface="Cambria Math"/>
                      </a:rPr>
                      <m:t> ∗ 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/>
                          </a:rPr>
                          <m:t>𝒔𝒖𝒓𝒓𝒐𝒈𝒂𝒕𝒆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𝒗𝒂𝒍𝒖𝒆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𝒊𝒏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𝒃𝒍𝒐𝒄𝒌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𝒈𝒓𝒐𝒖𝒑</m:t>
                        </m:r>
                      </m:num>
                      <m:den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400" b="1" i="1">
                                <a:latin typeface="Cambria Math"/>
                              </a:rPr>
                              <m:t>(</m:t>
                            </m:r>
                          </m:e>
                        </m:nary>
                        <m:r>
                          <a:rPr lang="en-US" sz="1400" b="1" i="1">
                            <a:latin typeface="Cambria Math"/>
                          </a:rPr>
                          <m:t>𝒔𝒖𝒓𝒓𝒐𝒈𝒂𝒕𝒆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𝒗𝒂𝒍𝒖𝒆𝒔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𝒊𝒏</m:t>
                        </m:r>
                        <m:r>
                          <a:rPr lang="en-US" sz="1400" b="1" i="1">
                            <a:latin typeface="Cambria Math"/>
                          </a:rPr>
                          <m:t> </m:t>
                        </m:r>
                        <m:r>
                          <a:rPr lang="en-US" sz="1400" b="1" i="1">
                            <a:latin typeface="Cambria Math"/>
                          </a:rPr>
                          <m:t>𝒄𝒐𝒖𝒏𝒕𝒚</m:t>
                        </m:r>
                        <m:r>
                          <a:rPr lang="en-US" sz="1400" b="1" i="1">
                            <a:latin typeface="Cambria Math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400" b="1" i="1">
                <a:latin typeface="+mn-lt"/>
              </a:endParaRPr>
            </a:p>
            <a:p>
              <a:pPr algn="l"/>
              <a:r>
                <a:rPr lang="en-US" sz="14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	</a:t>
              </a: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∑</m:t>
                    </m:r>
                    <m:d>
                      <m:dPr>
                        <m:ctrlP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  </m:t>
                        </m:r>
                        <m:f>
                          <m:fPr>
                            <m:ctrlP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𝒔𝒖𝒓𝒓𝒐𝒈𝒂𝒕𝒆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𝒗𝒂𝒍𝒖𝒆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𝒊𝒏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𝒃𝒍𝒐𝒄𝒌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𝒈𝒓𝒐𝒖𝒑</m:t>
                            </m:r>
                          </m:num>
                          <m:den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</m:e>
                            </m:nary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𝒔𝒖𝒓𝒓𝒐𝒈𝒂𝒕𝒆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𝒗𝒂𝒍𝒖𝒆𝒔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𝒊𝒏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𝒄𝒐𝒖𝒏𝒕𝒚</m:t>
                            </m:r>
                            <m:r>
                              <a:rPr lang="en-US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  <m:r>
                          <a:rPr lang="en-US" sz="14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  </m:t>
                        </m:r>
                      </m:e>
                    </m:d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𝒔𝒖𝒎𝒎𝒆𝒅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𝒐𝒗𝒆𝒓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𝒂𝒍𝒍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𝑩𝑮𝒔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𝒊𝒏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𝒂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𝒄𝒐𝒖𝒏𝒕𝒚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𝒘𝒊𝒍𝒍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𝒖𝒔𝒖𝒂𝒍𝒍𝒚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4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𝟏</m:t>
                    </m:r>
                  </m:oMath>
                </m:oMathPara>
              </a14:m>
              <a:endParaRPr lang="en-US" sz="1400" b="1">
                <a:latin typeface="+mn-lt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824863" y="7226993"/>
              <a:ext cx="7852411" cy="12429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lang="en-US" sz="1400" b="1" i="0">
                  <a:latin typeface="+mn-lt"/>
                </a:rPr>
                <a:t>𝒃𝒍𝒐𝒄𝒌 𝒈𝒓𝒐𝒖𝒑 𝒆𝒎𝒊𝒔𝒔𝒊𝒐𝒏𝒔=𝒄𝒐𝒖𝒏𝒕𝒚 𝒆𝒎𝒊𝒔𝒔𝒊𝒐𝒏𝒔 ∗  (𝒔𝒖𝒓𝒓𝒐𝒈𝒂𝒕𝒆 𝒗𝒂𝒍𝒖𝒆 𝒊𝒏 𝒃𝒍𝒐𝒄𝒌 𝒈𝒓𝒐𝒖𝒑)/(∑▒( 𝒔𝒖𝒓𝒓𝒐𝒈𝒂𝒕𝒆 𝒗𝒂𝒍𝒖𝒆𝒔 𝒊𝒏 𝒄𝒐𝒖𝒏𝒕𝒚))</a:t>
              </a:r>
              <a:endParaRPr lang="en-US" sz="1400" b="1" i="1">
                <a:latin typeface="+mn-lt"/>
              </a:endParaRPr>
            </a:p>
            <a:p>
              <a:pPr algn="l"/>
              <a:r>
                <a:rPr lang="en-US" sz="14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	</a:t>
              </a:r>
            </a:p>
            <a:p>
              <a:pPr algn="l"/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 (𝒔𝒖𝒓𝒓𝒐𝒈𝒂𝒕𝒆 𝒗𝒂𝒍𝒖𝒆 𝒊𝒏 𝒃𝒍𝒐𝒄𝒌 𝒈𝒓𝒐𝒖𝒑)/(∑▒( 𝒔𝒖𝒓𝒓𝒐𝒈𝒂𝒕𝒆 𝒗𝒂𝒍𝒖𝒆𝒔 𝒊𝒏 𝒄𝒐𝒖𝒏𝒕𝒚))    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)𝒔𝒖𝒎𝒎𝒆𝒅 𝒐𝒗𝒆𝒓 𝒂𝒍𝒍 𝑩𝑮𝒔 𝒊𝒏 𝒂 𝒄𝒐𝒖𝒏𝒕𝒚 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𝒘𝒊𝒍𝒍 𝒖𝒔𝒖𝒂𝒍𝒍𝒚=𝟏</a:t>
              </a:r>
              <a:endParaRPr lang="en-US" sz="1400" b="1">
                <a:latin typeface="+mn-lt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22"/>
  <sheetViews>
    <sheetView tabSelected="1" zoomScale="89" zoomScaleNormal="89" workbookViewId="0">
      <pane ySplit="1" topLeftCell="A35" activePane="bottomLeft" state="frozen"/>
      <selection pane="bottomLeft" activeCell="F42" sqref="F42"/>
    </sheetView>
  </sheetViews>
  <sheetFormatPr defaultRowHeight="19.5" customHeight="1" x14ac:dyDescent="0.25"/>
  <cols>
    <col min="1" max="1" width="20" style="93" customWidth="1"/>
    <col min="2" max="2" width="14.42578125" style="121" customWidth="1"/>
    <col min="3" max="3" width="50.28515625" style="36" customWidth="1"/>
    <col min="4" max="4" width="13" style="121" customWidth="1"/>
    <col min="5" max="5" width="47.5703125" style="36" customWidth="1"/>
    <col min="6" max="6" width="48" style="36" customWidth="1"/>
    <col min="7" max="7" width="9.140625" style="93" customWidth="1"/>
    <col min="8" max="8" width="10.7109375" style="93" customWidth="1"/>
    <col min="9" max="9" width="11.42578125" style="93" customWidth="1"/>
    <col min="10" max="10" width="14.85546875" style="36" customWidth="1"/>
    <col min="11" max="11" width="46.85546875" style="158" customWidth="1"/>
    <col min="12" max="16384" width="9.140625" style="36"/>
  </cols>
  <sheetData>
    <row r="1" spans="1:11" s="45" customFormat="1" ht="33.75" customHeight="1" x14ac:dyDescent="0.25">
      <c r="A1" s="44" t="s">
        <v>1772</v>
      </c>
      <c r="B1" s="99" t="s">
        <v>2029</v>
      </c>
      <c r="C1" s="46" t="s">
        <v>1243</v>
      </c>
      <c r="D1" s="122" t="s">
        <v>1670</v>
      </c>
      <c r="E1" s="46" t="s">
        <v>2094</v>
      </c>
      <c r="F1" s="44" t="s">
        <v>2095</v>
      </c>
      <c r="G1" s="44" t="s">
        <v>2090</v>
      </c>
      <c r="H1" s="99" t="s">
        <v>2088</v>
      </c>
      <c r="I1" s="99" t="s">
        <v>2091</v>
      </c>
      <c r="J1" s="99" t="s">
        <v>2089</v>
      </c>
      <c r="K1" s="157" t="s">
        <v>2103</v>
      </c>
    </row>
    <row r="2" spans="1:11" ht="19.5" customHeight="1" x14ac:dyDescent="0.25">
      <c r="A2" s="81"/>
      <c r="B2" s="106" t="s">
        <v>2061</v>
      </c>
      <c r="C2" s="50" t="s">
        <v>2062</v>
      </c>
      <c r="D2" s="106">
        <v>20300201</v>
      </c>
      <c r="E2" s="50" t="s">
        <v>2117</v>
      </c>
      <c r="F2" s="50" t="s">
        <v>1693</v>
      </c>
      <c r="G2" s="81">
        <v>0.8</v>
      </c>
      <c r="H2" s="81" t="b">
        <v>0</v>
      </c>
      <c r="I2" s="81">
        <v>1</v>
      </c>
      <c r="J2" s="106" t="s">
        <v>2099</v>
      </c>
      <c r="K2" s="158" t="s">
        <v>1256</v>
      </c>
    </row>
    <row r="3" spans="1:11" ht="19.5" customHeight="1" x14ac:dyDescent="0.25">
      <c r="A3" s="81"/>
      <c r="B3" s="106" t="s">
        <v>2061</v>
      </c>
      <c r="C3" s="50" t="s">
        <v>2062</v>
      </c>
      <c r="D3" s="106">
        <v>30101401</v>
      </c>
      <c r="E3" s="50" t="s">
        <v>2120</v>
      </c>
      <c r="F3" s="50" t="s">
        <v>1693</v>
      </c>
      <c r="G3" s="81">
        <v>0.8</v>
      </c>
      <c r="H3" s="81" t="b">
        <v>0</v>
      </c>
      <c r="I3" s="81">
        <v>1</v>
      </c>
      <c r="J3" s="106" t="s">
        <v>2099</v>
      </c>
      <c r="K3" s="158" t="s">
        <v>1256</v>
      </c>
    </row>
    <row r="4" spans="1:11" ht="19.5" customHeight="1" x14ac:dyDescent="0.25">
      <c r="A4" s="81"/>
      <c r="B4" s="106" t="s">
        <v>2061</v>
      </c>
      <c r="C4" s="50" t="s">
        <v>2062</v>
      </c>
      <c r="D4" s="106">
        <v>30104501</v>
      </c>
      <c r="E4" s="50" t="s">
        <v>2121</v>
      </c>
      <c r="F4" s="50" t="s">
        <v>1693</v>
      </c>
      <c r="G4" s="81">
        <v>0.8</v>
      </c>
      <c r="H4" s="81" t="b">
        <v>0</v>
      </c>
      <c r="I4" s="81">
        <v>1</v>
      </c>
      <c r="J4" s="106" t="s">
        <v>2099</v>
      </c>
      <c r="K4" s="158" t="s">
        <v>1256</v>
      </c>
    </row>
    <row r="5" spans="1:11" ht="19.5" customHeight="1" x14ac:dyDescent="0.25">
      <c r="A5" s="81"/>
      <c r="B5" s="106" t="s">
        <v>2061</v>
      </c>
      <c r="C5" s="50" t="s">
        <v>2062</v>
      </c>
      <c r="D5" s="106">
        <v>30106023</v>
      </c>
      <c r="E5" s="50" t="s">
        <v>2122</v>
      </c>
      <c r="F5" s="50" t="s">
        <v>1693</v>
      </c>
      <c r="G5" s="81">
        <v>0.8</v>
      </c>
      <c r="H5" s="81" t="b">
        <v>0</v>
      </c>
      <c r="I5" s="81">
        <v>1</v>
      </c>
      <c r="J5" s="106" t="s">
        <v>2099</v>
      </c>
      <c r="K5" s="158" t="s">
        <v>1256</v>
      </c>
    </row>
    <row r="6" spans="1:11" ht="19.5" customHeight="1" x14ac:dyDescent="0.25">
      <c r="A6" s="81"/>
      <c r="B6" s="106" t="s">
        <v>2061</v>
      </c>
      <c r="C6" s="50" t="s">
        <v>2062</v>
      </c>
      <c r="D6" s="106">
        <v>30180008</v>
      </c>
      <c r="E6" s="50" t="s">
        <v>2123</v>
      </c>
      <c r="F6" s="50" t="s">
        <v>1693</v>
      </c>
      <c r="G6" s="81">
        <v>0.8</v>
      </c>
      <c r="H6" s="81" t="b">
        <v>0</v>
      </c>
      <c r="I6" s="81">
        <v>1</v>
      </c>
      <c r="J6" s="106" t="s">
        <v>2099</v>
      </c>
      <c r="K6" s="158" t="s">
        <v>1256</v>
      </c>
    </row>
    <row r="7" spans="1:11" ht="19.5" customHeight="1" x14ac:dyDescent="0.25">
      <c r="A7" s="81"/>
      <c r="B7" s="106" t="s">
        <v>2061</v>
      </c>
      <c r="C7" s="50" t="s">
        <v>2062</v>
      </c>
      <c r="D7" s="106">
        <v>30199998</v>
      </c>
      <c r="E7" s="50" t="s">
        <v>2124</v>
      </c>
      <c r="F7" s="50" t="s">
        <v>1693</v>
      </c>
      <c r="G7" s="81">
        <v>0.8</v>
      </c>
      <c r="H7" s="81" t="b">
        <v>0</v>
      </c>
      <c r="I7" s="81">
        <v>1</v>
      </c>
      <c r="J7" s="106" t="s">
        <v>2099</v>
      </c>
      <c r="K7" s="158" t="s">
        <v>1256</v>
      </c>
    </row>
    <row r="8" spans="1:11" ht="19.5" customHeight="1" x14ac:dyDescent="0.25">
      <c r="A8" s="81"/>
      <c r="B8" s="106" t="s">
        <v>2061</v>
      </c>
      <c r="C8" s="50" t="s">
        <v>2062</v>
      </c>
      <c r="D8" s="106">
        <v>30200801</v>
      </c>
      <c r="E8" s="50" t="s">
        <v>2125</v>
      </c>
      <c r="F8" s="50" t="s">
        <v>1693</v>
      </c>
      <c r="G8" s="81">
        <v>0.8</v>
      </c>
      <c r="H8" s="81" t="b">
        <v>0</v>
      </c>
      <c r="I8" s="81">
        <v>1</v>
      </c>
      <c r="J8" s="106" t="s">
        <v>2099</v>
      </c>
      <c r="K8" s="158" t="s">
        <v>1256</v>
      </c>
    </row>
    <row r="9" spans="1:11" ht="19.5" customHeight="1" x14ac:dyDescent="0.25">
      <c r="A9" s="81"/>
      <c r="B9" s="106" t="s">
        <v>2061</v>
      </c>
      <c r="C9" s="50" t="s">
        <v>2062</v>
      </c>
      <c r="D9" s="106">
        <v>30399999</v>
      </c>
      <c r="E9" s="50" t="s">
        <v>2126</v>
      </c>
      <c r="F9" s="50" t="s">
        <v>1693</v>
      </c>
      <c r="G9" s="81">
        <v>0.8</v>
      </c>
      <c r="H9" s="81" t="b">
        <v>0</v>
      </c>
      <c r="I9" s="81">
        <v>1</v>
      </c>
      <c r="J9" s="106" t="s">
        <v>2099</v>
      </c>
      <c r="K9" s="158" t="s">
        <v>1256</v>
      </c>
    </row>
    <row r="10" spans="1:11" ht="19.5" customHeight="1" x14ac:dyDescent="0.25">
      <c r="A10" s="81"/>
      <c r="B10" s="106" t="s">
        <v>2061</v>
      </c>
      <c r="C10" s="50" t="s">
        <v>2062</v>
      </c>
      <c r="D10" s="106">
        <v>30501199</v>
      </c>
      <c r="E10" s="50" t="s">
        <v>2127</v>
      </c>
      <c r="F10" s="50" t="s">
        <v>1693</v>
      </c>
      <c r="G10" s="81">
        <v>0.8</v>
      </c>
      <c r="H10" s="81" t="b">
        <v>0</v>
      </c>
      <c r="I10" s="81">
        <v>1</v>
      </c>
      <c r="J10" s="106" t="s">
        <v>2099</v>
      </c>
      <c r="K10" s="158" t="s">
        <v>1256</v>
      </c>
    </row>
    <row r="11" spans="1:11" ht="19.5" customHeight="1" x14ac:dyDescent="0.25">
      <c r="A11" s="81"/>
      <c r="B11" s="106" t="s">
        <v>2061</v>
      </c>
      <c r="C11" s="50" t="s">
        <v>2062</v>
      </c>
      <c r="D11" s="106">
        <v>30502008</v>
      </c>
      <c r="E11" s="50" t="s">
        <v>2128</v>
      </c>
      <c r="F11" s="50" t="s">
        <v>1693</v>
      </c>
      <c r="G11" s="81">
        <v>0.8</v>
      </c>
      <c r="H11" s="81" t="b">
        <v>0</v>
      </c>
      <c r="I11" s="81">
        <v>1</v>
      </c>
      <c r="J11" s="106" t="s">
        <v>2099</v>
      </c>
      <c r="K11" s="158" t="s">
        <v>1256</v>
      </c>
    </row>
    <row r="12" spans="1:11" ht="19.5" customHeight="1" x14ac:dyDescent="0.25">
      <c r="A12" s="81"/>
      <c r="B12" s="106" t="s">
        <v>2061</v>
      </c>
      <c r="C12" s="50" t="s">
        <v>2062</v>
      </c>
      <c r="D12" s="106">
        <v>30800699</v>
      </c>
      <c r="E12" s="50" t="s">
        <v>2129</v>
      </c>
      <c r="F12" s="50" t="s">
        <v>1693</v>
      </c>
      <c r="G12" s="81">
        <v>0.8</v>
      </c>
      <c r="H12" s="81" t="b">
        <v>0</v>
      </c>
      <c r="I12" s="81">
        <v>1</v>
      </c>
      <c r="J12" s="106" t="s">
        <v>2099</v>
      </c>
      <c r="K12" s="158" t="s">
        <v>1256</v>
      </c>
    </row>
    <row r="13" spans="1:11" ht="19.5" customHeight="1" x14ac:dyDescent="0.25">
      <c r="A13" s="81"/>
      <c r="B13" s="106" t="s">
        <v>2061</v>
      </c>
      <c r="C13" s="50" t="s">
        <v>2062</v>
      </c>
      <c r="D13" s="106">
        <v>30901098</v>
      </c>
      <c r="E13" s="50" t="s">
        <v>2130</v>
      </c>
      <c r="F13" s="50" t="s">
        <v>1693</v>
      </c>
      <c r="G13" s="81">
        <v>0.8</v>
      </c>
      <c r="H13" s="81" t="b">
        <v>0</v>
      </c>
      <c r="I13" s="81">
        <v>1</v>
      </c>
      <c r="J13" s="106" t="s">
        <v>2099</v>
      </c>
      <c r="K13" s="158" t="s">
        <v>1256</v>
      </c>
    </row>
    <row r="14" spans="1:11" ht="19.5" customHeight="1" x14ac:dyDescent="0.25">
      <c r="A14" s="81"/>
      <c r="B14" s="106" t="s">
        <v>2061</v>
      </c>
      <c r="C14" s="50" t="s">
        <v>2062</v>
      </c>
      <c r="D14" s="106">
        <v>30903099</v>
      </c>
      <c r="E14" s="50" t="s">
        <v>2131</v>
      </c>
      <c r="F14" s="50" t="s">
        <v>1693</v>
      </c>
      <c r="G14" s="81">
        <v>0.8</v>
      </c>
      <c r="H14" s="81" t="b">
        <v>0</v>
      </c>
      <c r="I14" s="81">
        <v>1</v>
      </c>
      <c r="J14" s="106" t="s">
        <v>2099</v>
      </c>
      <c r="K14" s="158" t="s">
        <v>1256</v>
      </c>
    </row>
    <row r="15" spans="1:11" ht="19.5" customHeight="1" x14ac:dyDescent="0.25">
      <c r="A15" s="81"/>
      <c r="B15" s="106" t="s">
        <v>2061</v>
      </c>
      <c r="C15" s="50" t="s">
        <v>2062</v>
      </c>
      <c r="D15" s="106">
        <v>30999999</v>
      </c>
      <c r="E15" s="50" t="s">
        <v>2118</v>
      </c>
      <c r="F15" s="50" t="s">
        <v>1693</v>
      </c>
      <c r="G15" s="81">
        <v>0.8</v>
      </c>
      <c r="H15" s="81" t="b">
        <v>0</v>
      </c>
      <c r="I15" s="81">
        <v>1</v>
      </c>
      <c r="J15" s="106" t="s">
        <v>2099</v>
      </c>
      <c r="K15" s="158" t="s">
        <v>1256</v>
      </c>
    </row>
    <row r="16" spans="1:11" ht="19.5" customHeight="1" x14ac:dyDescent="0.25">
      <c r="A16" s="81"/>
      <c r="B16" s="106" t="s">
        <v>2061</v>
      </c>
      <c r="C16" s="50" t="s">
        <v>2062</v>
      </c>
      <c r="D16" s="106">
        <v>31300500</v>
      </c>
      <c r="E16" s="50" t="s">
        <v>2132</v>
      </c>
      <c r="F16" s="50" t="s">
        <v>1693</v>
      </c>
      <c r="G16" s="81">
        <v>0.8</v>
      </c>
      <c r="H16" s="81" t="b">
        <v>0</v>
      </c>
      <c r="I16" s="81">
        <v>1</v>
      </c>
      <c r="J16" s="106" t="s">
        <v>2099</v>
      </c>
      <c r="K16" s="158" t="s">
        <v>1256</v>
      </c>
    </row>
    <row r="17" spans="1:11" ht="19.5" customHeight="1" x14ac:dyDescent="0.25">
      <c r="A17" s="81"/>
      <c r="B17" s="106" t="s">
        <v>2061</v>
      </c>
      <c r="C17" s="50" t="s">
        <v>2062</v>
      </c>
      <c r="D17" s="106">
        <v>31303001</v>
      </c>
      <c r="E17" s="50" t="s">
        <v>2133</v>
      </c>
      <c r="F17" s="50" t="s">
        <v>1693</v>
      </c>
      <c r="G17" s="81">
        <v>0.8</v>
      </c>
      <c r="H17" s="81" t="b">
        <v>0</v>
      </c>
      <c r="I17" s="81">
        <v>1</v>
      </c>
      <c r="J17" s="106" t="s">
        <v>2099</v>
      </c>
      <c r="K17" s="158" t="s">
        <v>1256</v>
      </c>
    </row>
    <row r="18" spans="1:11" ht="19.5" customHeight="1" x14ac:dyDescent="0.25">
      <c r="A18" s="81"/>
      <c r="B18" s="106" t="s">
        <v>2061</v>
      </c>
      <c r="C18" s="50" t="s">
        <v>2062</v>
      </c>
      <c r="D18" s="106">
        <v>31306599</v>
      </c>
      <c r="E18" s="50" t="s">
        <v>2134</v>
      </c>
      <c r="F18" s="50" t="s">
        <v>1693</v>
      </c>
      <c r="G18" s="81">
        <v>0.8</v>
      </c>
      <c r="H18" s="81" t="b">
        <v>0</v>
      </c>
      <c r="I18" s="81">
        <v>1</v>
      </c>
      <c r="J18" s="106" t="s">
        <v>2099</v>
      </c>
      <c r="K18" s="158" t="s">
        <v>1256</v>
      </c>
    </row>
    <row r="19" spans="1:11" ht="19.5" customHeight="1" x14ac:dyDescent="0.25">
      <c r="A19" s="81"/>
      <c r="B19" s="106" t="s">
        <v>2061</v>
      </c>
      <c r="C19" s="50" t="s">
        <v>2062</v>
      </c>
      <c r="D19" s="106">
        <v>31399999</v>
      </c>
      <c r="E19" s="50" t="s">
        <v>2135</v>
      </c>
      <c r="F19" s="50" t="s">
        <v>1693</v>
      </c>
      <c r="G19" s="81">
        <v>0.8</v>
      </c>
      <c r="H19" s="81" t="b">
        <v>0</v>
      </c>
      <c r="I19" s="81">
        <v>1</v>
      </c>
      <c r="J19" s="106" t="s">
        <v>2099</v>
      </c>
      <c r="K19" s="158" t="s">
        <v>1256</v>
      </c>
    </row>
    <row r="20" spans="1:11" ht="19.5" customHeight="1" x14ac:dyDescent="0.25">
      <c r="A20" s="81"/>
      <c r="B20" s="106" t="s">
        <v>2061</v>
      </c>
      <c r="C20" s="50" t="s">
        <v>2062</v>
      </c>
      <c r="D20" s="106">
        <v>39999999</v>
      </c>
      <c r="E20" s="50" t="s">
        <v>2119</v>
      </c>
      <c r="F20" s="50" t="s">
        <v>1693</v>
      </c>
      <c r="G20" s="81">
        <v>0.8</v>
      </c>
      <c r="H20" s="81" t="b">
        <v>0</v>
      </c>
      <c r="I20" s="81">
        <v>1</v>
      </c>
      <c r="J20" s="106" t="s">
        <v>2099</v>
      </c>
      <c r="K20" s="158" t="s">
        <v>1256</v>
      </c>
    </row>
    <row r="21" spans="1:11" ht="19.5" customHeight="1" x14ac:dyDescent="0.25">
      <c r="A21" s="81"/>
      <c r="B21" s="106" t="s">
        <v>2061</v>
      </c>
      <c r="C21" s="50" t="s">
        <v>2062</v>
      </c>
      <c r="D21" s="106">
        <v>40100205</v>
      </c>
      <c r="E21" s="50" t="s">
        <v>2136</v>
      </c>
      <c r="F21" s="50" t="s">
        <v>1693</v>
      </c>
      <c r="G21" s="81">
        <v>0.8</v>
      </c>
      <c r="H21" s="81" t="b">
        <v>0</v>
      </c>
      <c r="I21" s="81">
        <v>1</v>
      </c>
      <c r="J21" s="106" t="s">
        <v>2099</v>
      </c>
      <c r="K21" s="158" t="s">
        <v>1256</v>
      </c>
    </row>
    <row r="22" spans="1:11" ht="19.5" customHeight="1" x14ac:dyDescent="0.25">
      <c r="A22" s="81"/>
      <c r="B22" s="106" t="s">
        <v>2061</v>
      </c>
      <c r="C22" s="50" t="s">
        <v>2062</v>
      </c>
      <c r="D22" s="106">
        <v>40299998</v>
      </c>
      <c r="E22" s="50" t="s">
        <v>2137</v>
      </c>
      <c r="F22" s="50" t="s">
        <v>1693</v>
      </c>
      <c r="G22" s="81">
        <v>0.8</v>
      </c>
      <c r="H22" s="81" t="b">
        <v>0</v>
      </c>
      <c r="I22" s="81">
        <v>1</v>
      </c>
      <c r="J22" s="106" t="s">
        <v>2099</v>
      </c>
      <c r="K22" s="158" t="s">
        <v>1256</v>
      </c>
    </row>
    <row r="23" spans="1:11" ht="19.5" customHeight="1" x14ac:dyDescent="0.25">
      <c r="A23" s="81"/>
      <c r="B23" s="106" t="s">
        <v>2061</v>
      </c>
      <c r="C23" s="50" t="s">
        <v>2062</v>
      </c>
      <c r="D23" s="106">
        <v>50100406</v>
      </c>
      <c r="E23" s="50" t="s">
        <v>2138</v>
      </c>
      <c r="F23" s="50" t="s">
        <v>1693</v>
      </c>
      <c r="G23" s="81">
        <v>0.8</v>
      </c>
      <c r="H23" s="81" t="b">
        <v>0</v>
      </c>
      <c r="I23" s="81">
        <v>1</v>
      </c>
      <c r="J23" s="106" t="s">
        <v>2099</v>
      </c>
      <c r="K23" s="158" t="s">
        <v>1256</v>
      </c>
    </row>
    <row r="24" spans="1:11" ht="19.5" customHeight="1" x14ac:dyDescent="0.25">
      <c r="A24" s="81"/>
      <c r="B24" s="106" t="s">
        <v>2061</v>
      </c>
      <c r="C24" s="50" t="s">
        <v>2062</v>
      </c>
      <c r="D24" s="106">
        <v>50100410</v>
      </c>
      <c r="E24" s="50" t="s">
        <v>2139</v>
      </c>
      <c r="F24" s="50" t="s">
        <v>1693</v>
      </c>
      <c r="G24" s="81">
        <v>0.8</v>
      </c>
      <c r="H24" s="81" t="b">
        <v>0</v>
      </c>
      <c r="I24" s="81">
        <v>1</v>
      </c>
      <c r="J24" s="106" t="s">
        <v>2099</v>
      </c>
      <c r="K24" s="158" t="s">
        <v>1256</v>
      </c>
    </row>
    <row r="25" spans="1:11" ht="19.5" customHeight="1" x14ac:dyDescent="0.25">
      <c r="A25" s="162"/>
      <c r="B25" s="163" t="s">
        <v>1786</v>
      </c>
      <c r="C25" s="164" t="s">
        <v>1699</v>
      </c>
      <c r="D25" s="163">
        <v>40100101</v>
      </c>
      <c r="E25" s="164" t="s">
        <v>1256</v>
      </c>
      <c r="F25" s="164" t="s">
        <v>1693</v>
      </c>
      <c r="G25" s="162">
        <v>0.8</v>
      </c>
      <c r="H25" s="162" t="b">
        <v>0</v>
      </c>
      <c r="I25" s="162">
        <v>1</v>
      </c>
      <c r="J25" s="163" t="s">
        <v>2099</v>
      </c>
      <c r="K25" s="165" t="s">
        <v>1256</v>
      </c>
    </row>
    <row r="26" spans="1:11" ht="19.5" customHeight="1" x14ac:dyDescent="0.25">
      <c r="A26" s="75"/>
      <c r="B26" s="101" t="s">
        <v>1787</v>
      </c>
      <c r="C26" s="47" t="s">
        <v>1695</v>
      </c>
      <c r="D26" s="101">
        <v>31502101</v>
      </c>
      <c r="E26" s="47" t="s">
        <v>1256</v>
      </c>
      <c r="F26" s="47" t="s">
        <v>1694</v>
      </c>
      <c r="G26" s="75">
        <v>0.8</v>
      </c>
      <c r="H26" s="75" t="b">
        <v>0</v>
      </c>
      <c r="I26" s="75">
        <v>1</v>
      </c>
      <c r="J26" s="101" t="s">
        <v>2099</v>
      </c>
      <c r="K26" s="158" t="s">
        <v>1256</v>
      </c>
    </row>
    <row r="27" spans="1:11" ht="19.5" customHeight="1" x14ac:dyDescent="0.25">
      <c r="A27" s="76"/>
      <c r="B27" s="102" t="s">
        <v>1859</v>
      </c>
      <c r="C27" s="38" t="s">
        <v>1696</v>
      </c>
      <c r="D27" s="102">
        <v>50100701</v>
      </c>
      <c r="E27" s="38" t="s">
        <v>1256</v>
      </c>
      <c r="F27" s="38" t="s">
        <v>1693</v>
      </c>
      <c r="G27" s="76">
        <v>0.8</v>
      </c>
      <c r="H27" s="76" t="b">
        <v>0</v>
      </c>
      <c r="I27" s="76">
        <v>1</v>
      </c>
      <c r="J27" s="102" t="s">
        <v>2099</v>
      </c>
      <c r="K27" s="158" t="s">
        <v>1256</v>
      </c>
    </row>
    <row r="28" spans="1:11" ht="19.5" customHeight="1" x14ac:dyDescent="0.25">
      <c r="A28" s="77"/>
      <c r="B28" s="103" t="s">
        <v>1860</v>
      </c>
      <c r="C28" s="40" t="s">
        <v>1697</v>
      </c>
      <c r="D28" s="103">
        <v>50100402</v>
      </c>
      <c r="E28" s="40" t="s">
        <v>1256</v>
      </c>
      <c r="F28" s="40" t="s">
        <v>1760</v>
      </c>
      <c r="G28" s="77">
        <v>0.8</v>
      </c>
      <c r="H28" s="77" t="b">
        <v>0</v>
      </c>
      <c r="I28" s="77">
        <v>1</v>
      </c>
      <c r="J28" s="103" t="s">
        <v>2099</v>
      </c>
      <c r="K28" s="158" t="s">
        <v>1256</v>
      </c>
    </row>
    <row r="29" spans="1:11" ht="19.5" customHeight="1" x14ac:dyDescent="0.25">
      <c r="A29" s="80"/>
      <c r="B29" s="105" t="s">
        <v>1858</v>
      </c>
      <c r="C29" s="49" t="s">
        <v>1746</v>
      </c>
      <c r="D29" s="105">
        <v>31301200</v>
      </c>
      <c r="E29" s="49" t="s">
        <v>1256</v>
      </c>
      <c r="F29" s="49" t="s">
        <v>1694</v>
      </c>
      <c r="G29" s="80">
        <v>0.8</v>
      </c>
      <c r="H29" s="80" t="b">
        <v>0</v>
      </c>
      <c r="I29" s="80">
        <v>1</v>
      </c>
      <c r="J29" s="105" t="s">
        <v>2099</v>
      </c>
      <c r="K29" s="158" t="s">
        <v>1256</v>
      </c>
    </row>
    <row r="30" spans="1:11" ht="19.5" customHeight="1" x14ac:dyDescent="0.25">
      <c r="A30" s="90"/>
      <c r="B30" s="118" t="s">
        <v>2152</v>
      </c>
      <c r="C30" s="62" t="s">
        <v>1456</v>
      </c>
      <c r="D30" s="118" t="s">
        <v>2151</v>
      </c>
      <c r="E30" s="62" t="s">
        <v>271</v>
      </c>
      <c r="F30" s="59" t="s">
        <v>1693</v>
      </c>
      <c r="G30" s="74">
        <v>0.75</v>
      </c>
      <c r="H30" s="74" t="b">
        <v>0</v>
      </c>
      <c r="I30" s="74">
        <v>1</v>
      </c>
      <c r="J30" s="118" t="s">
        <v>2030</v>
      </c>
      <c r="K30" s="158" t="s">
        <v>1256</v>
      </c>
    </row>
    <row r="31" spans="1:11" ht="19.5" customHeight="1" x14ac:dyDescent="0.25">
      <c r="A31" s="90"/>
      <c r="B31" s="118" t="s">
        <v>2153</v>
      </c>
      <c r="C31" s="62" t="s">
        <v>1456</v>
      </c>
      <c r="D31" s="118">
        <v>2810015000</v>
      </c>
      <c r="E31" s="62" t="s">
        <v>274</v>
      </c>
      <c r="F31" s="59" t="s">
        <v>1693</v>
      </c>
      <c r="G31" s="74">
        <v>0.75</v>
      </c>
      <c r="H31" s="74" t="b">
        <v>0</v>
      </c>
      <c r="I31" s="74">
        <v>1</v>
      </c>
      <c r="J31" s="118" t="s">
        <v>2030</v>
      </c>
      <c r="K31" s="158" t="s">
        <v>1256</v>
      </c>
    </row>
    <row r="32" spans="1:11" ht="19.5" customHeight="1" x14ac:dyDescent="0.25">
      <c r="A32" s="87"/>
      <c r="B32" s="113" t="s">
        <v>1733</v>
      </c>
      <c r="C32" s="39" t="s">
        <v>1301</v>
      </c>
      <c r="D32" s="113">
        <v>2280002100</v>
      </c>
      <c r="E32" s="37" t="s">
        <v>1304</v>
      </c>
      <c r="F32" s="37" t="s">
        <v>2005</v>
      </c>
      <c r="G32" s="92">
        <v>0.5</v>
      </c>
      <c r="H32" s="92" t="b">
        <v>1</v>
      </c>
      <c r="I32" s="92">
        <v>1</v>
      </c>
      <c r="J32" s="113" t="s">
        <v>2064</v>
      </c>
      <c r="K32" s="158" t="s">
        <v>1683</v>
      </c>
    </row>
    <row r="33" spans="1:11" ht="19.5" customHeight="1" x14ac:dyDescent="0.25">
      <c r="A33" s="87"/>
      <c r="B33" s="113" t="s">
        <v>1733</v>
      </c>
      <c r="C33" s="39" t="s">
        <v>1301</v>
      </c>
      <c r="D33" s="113" t="s">
        <v>2115</v>
      </c>
      <c r="E33" s="37" t="s">
        <v>1303</v>
      </c>
      <c r="F33" s="37" t="s">
        <v>2005</v>
      </c>
      <c r="G33" s="92">
        <v>0.5</v>
      </c>
      <c r="H33" s="92" t="b">
        <v>1</v>
      </c>
      <c r="I33" s="92">
        <v>1</v>
      </c>
      <c r="J33" s="113" t="s">
        <v>2064</v>
      </c>
      <c r="K33" s="158" t="s">
        <v>1683</v>
      </c>
    </row>
    <row r="34" spans="1:11" ht="19.5" customHeight="1" x14ac:dyDescent="0.25">
      <c r="A34" s="87"/>
      <c r="B34" s="113" t="s">
        <v>1733</v>
      </c>
      <c r="C34" s="39" t="s">
        <v>1301</v>
      </c>
      <c r="D34" s="113">
        <v>2280003100</v>
      </c>
      <c r="E34" s="37" t="s">
        <v>1305</v>
      </c>
      <c r="F34" s="37" t="s">
        <v>2005</v>
      </c>
      <c r="G34" s="92">
        <v>0.5</v>
      </c>
      <c r="H34" s="92" t="b">
        <v>1</v>
      </c>
      <c r="I34" s="92">
        <v>1</v>
      </c>
      <c r="J34" s="113" t="s">
        <v>2064</v>
      </c>
      <c r="K34" s="158" t="s">
        <v>1683</v>
      </c>
    </row>
    <row r="35" spans="1:11" ht="19.5" customHeight="1" x14ac:dyDescent="0.25">
      <c r="A35" s="87" t="s">
        <v>2000</v>
      </c>
      <c r="B35" s="113" t="s">
        <v>1733</v>
      </c>
      <c r="C35" s="39" t="s">
        <v>1301</v>
      </c>
      <c r="D35" s="113">
        <v>2401080000</v>
      </c>
      <c r="E35" s="37" t="s">
        <v>2004</v>
      </c>
      <c r="F35" s="37" t="s">
        <v>2005</v>
      </c>
      <c r="G35" s="92">
        <v>0.5</v>
      </c>
      <c r="H35" s="92" t="b">
        <v>0</v>
      </c>
      <c r="I35" s="92">
        <v>1</v>
      </c>
      <c r="J35" s="113" t="s">
        <v>2064</v>
      </c>
      <c r="K35" s="158" t="s">
        <v>1683</v>
      </c>
    </row>
    <row r="36" spans="1:11" ht="19.5" customHeight="1" x14ac:dyDescent="0.25">
      <c r="A36" s="87"/>
      <c r="B36" s="113" t="s">
        <v>1733</v>
      </c>
      <c r="C36" s="39" t="s">
        <v>1301</v>
      </c>
      <c r="D36" s="113">
        <v>2280003200</v>
      </c>
      <c r="E36" s="37" t="s">
        <v>1306</v>
      </c>
      <c r="F36" s="37" t="s">
        <v>2005</v>
      </c>
      <c r="G36" s="92">
        <v>0.5</v>
      </c>
      <c r="H36" s="92" t="b">
        <v>1</v>
      </c>
      <c r="I36" s="92">
        <v>1</v>
      </c>
      <c r="J36" s="113" t="s">
        <v>2064</v>
      </c>
      <c r="K36" s="158" t="s">
        <v>1683</v>
      </c>
    </row>
    <row r="37" spans="1:11" ht="19.5" customHeight="1" x14ac:dyDescent="0.25">
      <c r="A37" s="88"/>
      <c r="B37" s="115" t="s">
        <v>1735</v>
      </c>
      <c r="C37" s="43" t="s">
        <v>1434</v>
      </c>
      <c r="D37" s="115">
        <v>2285002006</v>
      </c>
      <c r="E37" s="43" t="s">
        <v>280</v>
      </c>
      <c r="F37" s="42" t="s">
        <v>1519</v>
      </c>
      <c r="G37" s="79">
        <v>0.33</v>
      </c>
      <c r="H37" s="79" t="b">
        <v>1</v>
      </c>
      <c r="I37" s="79">
        <v>1</v>
      </c>
      <c r="J37" s="115" t="s">
        <v>2065</v>
      </c>
      <c r="K37" s="158" t="s">
        <v>1685</v>
      </c>
    </row>
    <row r="38" spans="1:11" ht="19.5" customHeight="1" x14ac:dyDescent="0.25">
      <c r="A38" s="88"/>
      <c r="B38" s="115" t="s">
        <v>1735</v>
      </c>
      <c r="C38" s="43" t="s">
        <v>1434</v>
      </c>
      <c r="D38" s="115">
        <v>2285002007</v>
      </c>
      <c r="E38" s="43" t="s">
        <v>283</v>
      </c>
      <c r="F38" s="42" t="s">
        <v>1519</v>
      </c>
      <c r="G38" s="79">
        <v>0.33</v>
      </c>
      <c r="H38" s="79" t="b">
        <v>1</v>
      </c>
      <c r="I38" s="79">
        <v>1</v>
      </c>
      <c r="J38" s="115" t="s">
        <v>2065</v>
      </c>
      <c r="K38" s="158" t="s">
        <v>1685</v>
      </c>
    </row>
    <row r="39" spans="1:11" ht="19.5" customHeight="1" x14ac:dyDescent="0.25">
      <c r="A39" s="88"/>
      <c r="B39" s="115" t="s">
        <v>1735</v>
      </c>
      <c r="C39" s="43" t="s">
        <v>1434</v>
      </c>
      <c r="D39" s="115">
        <v>2285002015</v>
      </c>
      <c r="E39" s="43" t="s">
        <v>1457</v>
      </c>
      <c r="F39" s="42" t="s">
        <v>1519</v>
      </c>
      <c r="G39" s="79">
        <v>0.33</v>
      </c>
      <c r="H39" s="79" t="b">
        <v>1</v>
      </c>
      <c r="I39" s="79">
        <v>1</v>
      </c>
      <c r="J39" s="115" t="s">
        <v>2065</v>
      </c>
      <c r="K39" s="158" t="s">
        <v>1685</v>
      </c>
    </row>
    <row r="40" spans="1:11" ht="19.5" customHeight="1" x14ac:dyDescent="0.25">
      <c r="A40" s="88"/>
      <c r="B40" s="115" t="s">
        <v>1735</v>
      </c>
      <c r="C40" s="43" t="s">
        <v>1434</v>
      </c>
      <c r="D40" s="115">
        <v>2285004015</v>
      </c>
      <c r="E40" s="43" t="s">
        <v>1458</v>
      </c>
      <c r="F40" s="42" t="s">
        <v>1519</v>
      </c>
      <c r="G40" s="79">
        <v>0.33</v>
      </c>
      <c r="H40" s="79" t="b">
        <v>0</v>
      </c>
      <c r="I40" s="79">
        <v>1</v>
      </c>
      <c r="J40" s="115" t="s">
        <v>2065</v>
      </c>
      <c r="K40" s="158" t="s">
        <v>1685</v>
      </c>
    </row>
    <row r="41" spans="1:11" ht="19.5" customHeight="1" x14ac:dyDescent="0.25">
      <c r="A41" s="88"/>
      <c r="B41" s="115" t="s">
        <v>1735</v>
      </c>
      <c r="C41" s="43" t="s">
        <v>1434</v>
      </c>
      <c r="D41" s="115">
        <v>2285006015</v>
      </c>
      <c r="E41" s="167" t="s">
        <v>1459</v>
      </c>
      <c r="F41" s="42" t="s">
        <v>1519</v>
      </c>
      <c r="G41" s="79">
        <v>0.33</v>
      </c>
      <c r="H41" s="79" t="b">
        <v>0</v>
      </c>
      <c r="I41" s="79">
        <v>1</v>
      </c>
      <c r="J41" s="115" t="s">
        <v>2065</v>
      </c>
      <c r="K41" s="158" t="s">
        <v>1685</v>
      </c>
    </row>
    <row r="42" spans="1:11" ht="19.5" customHeight="1" x14ac:dyDescent="0.25">
      <c r="A42" s="115"/>
      <c r="B42" s="115" t="s">
        <v>1735</v>
      </c>
      <c r="C42" s="166" t="s">
        <v>1434</v>
      </c>
      <c r="D42" s="115">
        <v>28500201</v>
      </c>
      <c r="E42" s="166" t="s">
        <v>2140</v>
      </c>
      <c r="F42" s="166" t="s">
        <v>1519</v>
      </c>
      <c r="G42" s="115">
        <v>0.33</v>
      </c>
      <c r="H42" s="115" t="b">
        <v>1</v>
      </c>
      <c r="I42" s="115">
        <v>1</v>
      </c>
      <c r="J42" s="115" t="s">
        <v>2065</v>
      </c>
      <c r="K42" s="158" t="s">
        <v>1685</v>
      </c>
    </row>
    <row r="43" spans="1:11" ht="19.5" customHeight="1" x14ac:dyDescent="0.25">
      <c r="A43" s="115" t="s">
        <v>2000</v>
      </c>
      <c r="B43" s="115" t="s">
        <v>1735</v>
      </c>
      <c r="C43" s="166" t="s">
        <v>1434</v>
      </c>
      <c r="D43" s="115" t="s">
        <v>2001</v>
      </c>
      <c r="E43" s="166" t="s">
        <v>2002</v>
      </c>
      <c r="F43" s="166" t="s">
        <v>1519</v>
      </c>
      <c r="G43" s="115">
        <v>0.33</v>
      </c>
      <c r="H43" s="115" t="b">
        <v>0</v>
      </c>
      <c r="I43" s="115">
        <v>1</v>
      </c>
      <c r="J43" s="115" t="s">
        <v>2065</v>
      </c>
      <c r="K43" s="158" t="s">
        <v>1685</v>
      </c>
    </row>
    <row r="44" spans="1:11" ht="19.5" customHeight="1" x14ac:dyDescent="0.25">
      <c r="A44" s="77" t="s">
        <v>2011</v>
      </c>
      <c r="B44" s="103" t="s">
        <v>1857</v>
      </c>
      <c r="C44" s="40" t="s">
        <v>1856</v>
      </c>
      <c r="D44" s="127">
        <v>2501011014</v>
      </c>
      <c r="E44" s="40" t="s">
        <v>1278</v>
      </c>
      <c r="F44" s="40" t="s">
        <v>1693</v>
      </c>
      <c r="G44" s="77">
        <v>0.75</v>
      </c>
      <c r="H44" s="77" t="b">
        <v>0</v>
      </c>
      <c r="I44" s="77">
        <v>1</v>
      </c>
      <c r="J44" s="103" t="s">
        <v>2100</v>
      </c>
      <c r="K44" s="158" t="s">
        <v>1256</v>
      </c>
    </row>
    <row r="45" spans="1:11" ht="19.5" customHeight="1" x14ac:dyDescent="0.25">
      <c r="A45" s="77" t="s">
        <v>2011</v>
      </c>
      <c r="B45" s="103" t="s">
        <v>1857</v>
      </c>
      <c r="C45" s="40" t="s">
        <v>1856</v>
      </c>
      <c r="D45" s="127">
        <v>2501011015</v>
      </c>
      <c r="E45" s="40" t="s">
        <v>1283</v>
      </c>
      <c r="F45" s="40" t="s">
        <v>1693</v>
      </c>
      <c r="G45" s="77">
        <v>0.75</v>
      </c>
      <c r="H45" s="77" t="b">
        <v>0</v>
      </c>
      <c r="I45" s="77">
        <v>1</v>
      </c>
      <c r="J45" s="103" t="s">
        <v>2100</v>
      </c>
      <c r="K45" s="158" t="s">
        <v>1256</v>
      </c>
    </row>
    <row r="46" spans="1:11" ht="19.5" customHeight="1" x14ac:dyDescent="0.25">
      <c r="A46" s="77" t="s">
        <v>2011</v>
      </c>
      <c r="B46" s="103" t="s">
        <v>1857</v>
      </c>
      <c r="C46" s="40" t="s">
        <v>1856</v>
      </c>
      <c r="D46" s="127">
        <v>2501012014</v>
      </c>
      <c r="E46" s="40" t="s">
        <v>1282</v>
      </c>
      <c r="F46" s="40" t="s">
        <v>1693</v>
      </c>
      <c r="G46" s="77">
        <v>0.75</v>
      </c>
      <c r="H46" s="77" t="b">
        <v>0</v>
      </c>
      <c r="I46" s="77">
        <v>1</v>
      </c>
      <c r="J46" s="103" t="s">
        <v>2100</v>
      </c>
      <c r="K46" s="158" t="s">
        <v>1256</v>
      </c>
    </row>
    <row r="47" spans="1:11" ht="19.5" customHeight="1" x14ac:dyDescent="0.25">
      <c r="A47" s="77" t="s">
        <v>2011</v>
      </c>
      <c r="B47" s="103" t="s">
        <v>1857</v>
      </c>
      <c r="C47" s="40" t="s">
        <v>1856</v>
      </c>
      <c r="D47" s="127">
        <v>2501012015</v>
      </c>
      <c r="E47" s="40" t="s">
        <v>1284</v>
      </c>
      <c r="F47" s="40" t="s">
        <v>1693</v>
      </c>
      <c r="G47" s="77">
        <v>0.75</v>
      </c>
      <c r="H47" s="77" t="b">
        <v>0</v>
      </c>
      <c r="I47" s="77">
        <v>1</v>
      </c>
      <c r="J47" s="103" t="s">
        <v>2100</v>
      </c>
      <c r="K47" s="158" t="s">
        <v>1256</v>
      </c>
    </row>
    <row r="48" spans="1:11" ht="19.5" customHeight="1" x14ac:dyDescent="0.25">
      <c r="A48" s="77" t="s">
        <v>1885</v>
      </c>
      <c r="B48" s="103" t="s">
        <v>1857</v>
      </c>
      <c r="C48" s="40" t="s">
        <v>1856</v>
      </c>
      <c r="D48" s="127" t="s">
        <v>1861</v>
      </c>
      <c r="E48" s="41" t="s">
        <v>1862</v>
      </c>
      <c r="F48" s="40" t="s">
        <v>1693</v>
      </c>
      <c r="G48" s="77">
        <v>0.75</v>
      </c>
      <c r="H48" s="77" t="b">
        <v>1</v>
      </c>
      <c r="I48" s="77">
        <v>1</v>
      </c>
      <c r="J48" s="103" t="s">
        <v>2100</v>
      </c>
      <c r="K48" s="158" t="s">
        <v>1256</v>
      </c>
    </row>
    <row r="49" spans="1:11" ht="19.5" customHeight="1" x14ac:dyDescent="0.25">
      <c r="A49" s="77" t="s">
        <v>1885</v>
      </c>
      <c r="B49" s="103" t="s">
        <v>1857</v>
      </c>
      <c r="C49" s="40" t="s">
        <v>1856</v>
      </c>
      <c r="D49" s="127" t="s">
        <v>1855</v>
      </c>
      <c r="E49" s="41" t="s">
        <v>1854</v>
      </c>
      <c r="F49" s="40" t="s">
        <v>1693</v>
      </c>
      <c r="G49" s="77">
        <v>0.75</v>
      </c>
      <c r="H49" s="77" t="b">
        <v>1</v>
      </c>
      <c r="I49" s="77">
        <v>1</v>
      </c>
      <c r="J49" s="103" t="s">
        <v>2100</v>
      </c>
      <c r="K49" s="158" t="s">
        <v>1256</v>
      </c>
    </row>
    <row r="50" spans="1:11" ht="19.5" customHeight="1" x14ac:dyDescent="0.25">
      <c r="A50" s="77" t="s">
        <v>1885</v>
      </c>
      <c r="B50" s="103" t="s">
        <v>1857</v>
      </c>
      <c r="C50" s="40" t="s">
        <v>1856</v>
      </c>
      <c r="D50" s="127" t="s">
        <v>1868</v>
      </c>
      <c r="E50" s="41" t="s">
        <v>1865</v>
      </c>
      <c r="F50" s="40" t="s">
        <v>1693</v>
      </c>
      <c r="G50" s="77">
        <v>0.75</v>
      </c>
      <c r="H50" s="77" t="b">
        <v>1</v>
      </c>
      <c r="I50" s="77">
        <v>1</v>
      </c>
      <c r="J50" s="103" t="s">
        <v>2100</v>
      </c>
      <c r="K50" s="158" t="s">
        <v>1256</v>
      </c>
    </row>
    <row r="51" spans="1:11" ht="19.5" customHeight="1" x14ac:dyDescent="0.25">
      <c r="A51" s="77" t="s">
        <v>2011</v>
      </c>
      <c r="B51" s="103" t="s">
        <v>1857</v>
      </c>
      <c r="C51" s="40" t="s">
        <v>1856</v>
      </c>
      <c r="D51" s="127" t="s">
        <v>1863</v>
      </c>
      <c r="E51" s="41" t="s">
        <v>1864</v>
      </c>
      <c r="F51" s="40" t="s">
        <v>1693</v>
      </c>
      <c r="G51" s="77">
        <v>0.75</v>
      </c>
      <c r="H51" s="77" t="b">
        <v>0</v>
      </c>
      <c r="I51" s="77">
        <v>1</v>
      </c>
      <c r="J51" s="103" t="s">
        <v>2100</v>
      </c>
      <c r="K51" s="158" t="s">
        <v>1256</v>
      </c>
    </row>
    <row r="52" spans="1:11" ht="19.5" customHeight="1" x14ac:dyDescent="0.25">
      <c r="A52" s="77" t="s">
        <v>2011</v>
      </c>
      <c r="B52" s="103" t="s">
        <v>1857</v>
      </c>
      <c r="C52" s="40" t="s">
        <v>1856</v>
      </c>
      <c r="D52" s="127" t="s">
        <v>1990</v>
      </c>
      <c r="E52" s="41" t="s">
        <v>1991</v>
      </c>
      <c r="F52" s="40" t="s">
        <v>1693</v>
      </c>
      <c r="G52" s="77">
        <v>0.75</v>
      </c>
      <c r="H52" s="77" t="b">
        <v>0</v>
      </c>
      <c r="I52" s="77">
        <v>1</v>
      </c>
      <c r="J52" s="103" t="s">
        <v>2100</v>
      </c>
      <c r="K52" s="158" t="s">
        <v>1256</v>
      </c>
    </row>
    <row r="53" spans="1:11" ht="19.5" customHeight="1" x14ac:dyDescent="0.25">
      <c r="A53" s="77" t="s">
        <v>1885</v>
      </c>
      <c r="B53" s="103" t="s">
        <v>1857</v>
      </c>
      <c r="C53" s="40" t="s">
        <v>1856</v>
      </c>
      <c r="D53" s="127" t="s">
        <v>1979</v>
      </c>
      <c r="E53" s="41" t="s">
        <v>1980</v>
      </c>
      <c r="F53" s="40" t="s">
        <v>1693</v>
      </c>
      <c r="G53" s="77">
        <v>0.75</v>
      </c>
      <c r="H53" s="77" t="b">
        <v>0</v>
      </c>
      <c r="I53" s="77">
        <v>1</v>
      </c>
      <c r="J53" s="103" t="s">
        <v>2100</v>
      </c>
      <c r="K53" s="158" t="s">
        <v>1256</v>
      </c>
    </row>
    <row r="54" spans="1:11" ht="19.5" customHeight="1" x14ac:dyDescent="0.25">
      <c r="A54" s="77" t="s">
        <v>1885</v>
      </c>
      <c r="B54" s="103" t="s">
        <v>1857</v>
      </c>
      <c r="C54" s="40" t="s">
        <v>1856</v>
      </c>
      <c r="D54" s="127" t="s">
        <v>2114</v>
      </c>
      <c r="E54" s="41" t="s">
        <v>1981</v>
      </c>
      <c r="F54" s="40" t="s">
        <v>1693</v>
      </c>
      <c r="G54" s="77">
        <v>0.75</v>
      </c>
      <c r="H54" s="77" t="b">
        <v>0</v>
      </c>
      <c r="I54" s="77">
        <v>1</v>
      </c>
      <c r="J54" s="103" t="s">
        <v>2100</v>
      </c>
      <c r="K54" s="158" t="s">
        <v>1256</v>
      </c>
    </row>
    <row r="55" spans="1:11" ht="19.5" customHeight="1" x14ac:dyDescent="0.25">
      <c r="A55" s="77" t="s">
        <v>2011</v>
      </c>
      <c r="B55" s="103" t="s">
        <v>1857</v>
      </c>
      <c r="C55" s="40" t="s">
        <v>1856</v>
      </c>
      <c r="D55" s="127" t="s">
        <v>1982</v>
      </c>
      <c r="E55" s="41" t="s">
        <v>1983</v>
      </c>
      <c r="F55" s="40" t="s">
        <v>1693</v>
      </c>
      <c r="G55" s="77">
        <v>0.75</v>
      </c>
      <c r="H55" s="77" t="b">
        <v>0</v>
      </c>
      <c r="I55" s="77">
        <v>1</v>
      </c>
      <c r="J55" s="103" t="s">
        <v>2100</v>
      </c>
      <c r="K55" s="158" t="s">
        <v>1256</v>
      </c>
    </row>
    <row r="56" spans="1:11" ht="19.5" customHeight="1" x14ac:dyDescent="0.25">
      <c r="A56" s="77" t="s">
        <v>1885</v>
      </c>
      <c r="B56" s="103" t="s">
        <v>1857</v>
      </c>
      <c r="C56" s="40" t="s">
        <v>1856</v>
      </c>
      <c r="D56" s="127" t="s">
        <v>1984</v>
      </c>
      <c r="E56" s="41" t="s">
        <v>1985</v>
      </c>
      <c r="F56" s="40" t="s">
        <v>1693</v>
      </c>
      <c r="G56" s="77">
        <v>0.75</v>
      </c>
      <c r="H56" s="77" t="b">
        <v>0</v>
      </c>
      <c r="I56" s="77">
        <v>1</v>
      </c>
      <c r="J56" s="103" t="s">
        <v>2100</v>
      </c>
      <c r="K56" s="158" t="s">
        <v>1256</v>
      </c>
    </row>
    <row r="57" spans="1:11" ht="19.5" customHeight="1" x14ac:dyDescent="0.25">
      <c r="A57" s="77" t="s">
        <v>1885</v>
      </c>
      <c r="B57" s="103" t="s">
        <v>1857</v>
      </c>
      <c r="C57" s="40" t="s">
        <v>1856</v>
      </c>
      <c r="D57" s="127" t="s">
        <v>1986</v>
      </c>
      <c r="E57" s="41" t="s">
        <v>1987</v>
      </c>
      <c r="F57" s="40" t="s">
        <v>1693</v>
      </c>
      <c r="G57" s="77">
        <v>0.75</v>
      </c>
      <c r="H57" s="77" t="b">
        <v>0</v>
      </c>
      <c r="I57" s="77">
        <v>1</v>
      </c>
      <c r="J57" s="103" t="s">
        <v>2100</v>
      </c>
      <c r="K57" s="158" t="s">
        <v>1256</v>
      </c>
    </row>
    <row r="58" spans="1:11" ht="19.5" customHeight="1" x14ac:dyDescent="0.25">
      <c r="A58" s="77" t="s">
        <v>1885</v>
      </c>
      <c r="B58" s="103" t="s">
        <v>1857</v>
      </c>
      <c r="C58" s="40" t="s">
        <v>1856</v>
      </c>
      <c r="D58" s="127" t="s">
        <v>1988</v>
      </c>
      <c r="E58" s="41" t="s">
        <v>1989</v>
      </c>
      <c r="F58" s="40" t="s">
        <v>1693</v>
      </c>
      <c r="G58" s="77">
        <v>0.75</v>
      </c>
      <c r="H58" s="77" t="b">
        <v>0</v>
      </c>
      <c r="I58" s="77">
        <v>1</v>
      </c>
      <c r="J58" s="103" t="s">
        <v>2100</v>
      </c>
      <c r="K58" s="158" t="s">
        <v>1256</v>
      </c>
    </row>
    <row r="59" spans="1:11" ht="19.5" customHeight="1" x14ac:dyDescent="0.25">
      <c r="A59" s="77" t="s">
        <v>2011</v>
      </c>
      <c r="B59" s="103" t="s">
        <v>1857</v>
      </c>
      <c r="C59" s="40" t="s">
        <v>1856</v>
      </c>
      <c r="D59" s="127" t="s">
        <v>1867</v>
      </c>
      <c r="E59" s="41" t="s">
        <v>1866</v>
      </c>
      <c r="F59" s="40" t="s">
        <v>1693</v>
      </c>
      <c r="G59" s="77">
        <v>0.75</v>
      </c>
      <c r="H59" s="77" t="b">
        <v>0</v>
      </c>
      <c r="I59" s="77">
        <v>1</v>
      </c>
      <c r="J59" s="103" t="s">
        <v>2100</v>
      </c>
      <c r="K59" s="158" t="s">
        <v>1256</v>
      </c>
    </row>
    <row r="60" spans="1:11" ht="19.5" customHeight="1" x14ac:dyDescent="0.25">
      <c r="A60" s="77" t="s">
        <v>1885</v>
      </c>
      <c r="B60" s="103" t="s">
        <v>1857</v>
      </c>
      <c r="C60" s="40" t="s">
        <v>1856</v>
      </c>
      <c r="D60" s="103">
        <v>2201000062</v>
      </c>
      <c r="E60" s="40" t="s">
        <v>1873</v>
      </c>
      <c r="F60" s="40" t="s">
        <v>1693</v>
      </c>
      <c r="G60" s="77">
        <v>0.75</v>
      </c>
      <c r="H60" s="77" t="b">
        <v>0</v>
      </c>
      <c r="I60" s="77">
        <v>1</v>
      </c>
      <c r="J60" s="103" t="s">
        <v>2100</v>
      </c>
      <c r="K60" s="158" t="s">
        <v>1256</v>
      </c>
    </row>
    <row r="61" spans="1:11" ht="19.5" customHeight="1" x14ac:dyDescent="0.25">
      <c r="A61" s="77" t="s">
        <v>1885</v>
      </c>
      <c r="B61" s="103" t="s">
        <v>1857</v>
      </c>
      <c r="C61" s="40" t="s">
        <v>1856</v>
      </c>
      <c r="D61" s="103">
        <v>2202000062</v>
      </c>
      <c r="E61" s="40" t="s">
        <v>1872</v>
      </c>
      <c r="F61" s="40" t="s">
        <v>1693</v>
      </c>
      <c r="G61" s="77">
        <v>0.75</v>
      </c>
      <c r="H61" s="77" t="b">
        <v>1</v>
      </c>
      <c r="I61" s="77">
        <v>1</v>
      </c>
      <c r="J61" s="103" t="s">
        <v>2100</v>
      </c>
      <c r="K61" s="158" t="s">
        <v>1256</v>
      </c>
    </row>
    <row r="62" spans="1:11" ht="19.5" customHeight="1" x14ac:dyDescent="0.25">
      <c r="A62" s="77" t="s">
        <v>1885</v>
      </c>
      <c r="B62" s="103" t="s">
        <v>1857</v>
      </c>
      <c r="C62" s="40" t="s">
        <v>1856</v>
      </c>
      <c r="D62" s="103">
        <v>2203000062</v>
      </c>
      <c r="E62" s="40" t="s">
        <v>1871</v>
      </c>
      <c r="F62" s="40" t="s">
        <v>1693</v>
      </c>
      <c r="G62" s="77">
        <v>0.75</v>
      </c>
      <c r="H62" s="77" t="b">
        <v>0</v>
      </c>
      <c r="I62" s="77">
        <v>1</v>
      </c>
      <c r="J62" s="103" t="s">
        <v>2100</v>
      </c>
      <c r="K62" s="158" t="s">
        <v>1256</v>
      </c>
    </row>
    <row r="63" spans="1:11" ht="19.5" customHeight="1" x14ac:dyDescent="0.25">
      <c r="A63" s="77" t="s">
        <v>1885</v>
      </c>
      <c r="B63" s="103" t="s">
        <v>1857</v>
      </c>
      <c r="C63" s="40" t="s">
        <v>1856</v>
      </c>
      <c r="D63" s="103">
        <v>2204000062</v>
      </c>
      <c r="E63" s="40" t="s">
        <v>1870</v>
      </c>
      <c r="F63" s="40" t="s">
        <v>1693</v>
      </c>
      <c r="G63" s="77">
        <v>0.75</v>
      </c>
      <c r="H63" s="77" t="b">
        <v>0</v>
      </c>
      <c r="I63" s="77">
        <v>1</v>
      </c>
      <c r="J63" s="103" t="s">
        <v>2100</v>
      </c>
      <c r="K63" s="158" t="s">
        <v>1256</v>
      </c>
    </row>
    <row r="64" spans="1:11" ht="19.5" customHeight="1" x14ac:dyDescent="0.25">
      <c r="A64" s="77" t="s">
        <v>1885</v>
      </c>
      <c r="B64" s="103" t="s">
        <v>1857</v>
      </c>
      <c r="C64" s="40" t="s">
        <v>1856</v>
      </c>
      <c r="D64" s="103">
        <v>2205000062</v>
      </c>
      <c r="E64" s="40" t="s">
        <v>1869</v>
      </c>
      <c r="F64" s="40" t="s">
        <v>1693</v>
      </c>
      <c r="G64" s="77">
        <v>0.75</v>
      </c>
      <c r="H64" s="77" t="b">
        <v>0</v>
      </c>
      <c r="I64" s="77">
        <v>1</v>
      </c>
      <c r="J64" s="103" t="s">
        <v>2100</v>
      </c>
      <c r="K64" s="158" t="s">
        <v>1256</v>
      </c>
    </row>
    <row r="65" spans="1:11" ht="19.5" customHeight="1" x14ac:dyDescent="0.25">
      <c r="A65" s="142"/>
      <c r="B65" s="107" t="s">
        <v>1748</v>
      </c>
      <c r="C65" s="51" t="s">
        <v>1747</v>
      </c>
      <c r="D65" s="107">
        <v>2265008005</v>
      </c>
      <c r="E65" s="51" t="s">
        <v>1235</v>
      </c>
      <c r="F65" s="51" t="s">
        <v>1693</v>
      </c>
      <c r="G65" s="153">
        <v>0.75</v>
      </c>
      <c r="H65" s="153" t="b">
        <v>0</v>
      </c>
      <c r="I65" s="153">
        <v>1</v>
      </c>
      <c r="J65" s="107" t="s">
        <v>2093</v>
      </c>
      <c r="K65" s="158" t="s">
        <v>2104</v>
      </c>
    </row>
    <row r="66" spans="1:11" ht="19.5" customHeight="1" x14ac:dyDescent="0.25">
      <c r="A66" s="142"/>
      <c r="B66" s="107" t="s">
        <v>1748</v>
      </c>
      <c r="C66" s="51" t="s">
        <v>1747</v>
      </c>
      <c r="D66" s="107">
        <v>2267008005</v>
      </c>
      <c r="E66" s="51" t="s">
        <v>1236</v>
      </c>
      <c r="F66" s="51" t="s">
        <v>1693</v>
      </c>
      <c r="G66" s="153">
        <v>0.75</v>
      </c>
      <c r="H66" s="153" t="b">
        <v>0</v>
      </c>
      <c r="I66" s="153">
        <v>1</v>
      </c>
      <c r="J66" s="107" t="s">
        <v>2093</v>
      </c>
      <c r="K66" s="158" t="s">
        <v>2104</v>
      </c>
    </row>
    <row r="67" spans="1:11" ht="19.5" customHeight="1" x14ac:dyDescent="0.25">
      <c r="A67" s="142"/>
      <c r="B67" s="107" t="s">
        <v>1748</v>
      </c>
      <c r="C67" s="51" t="s">
        <v>1747</v>
      </c>
      <c r="D67" s="107">
        <v>2268008005</v>
      </c>
      <c r="E67" s="51" t="s">
        <v>1237</v>
      </c>
      <c r="F67" s="51" t="s">
        <v>1693</v>
      </c>
      <c r="G67" s="153">
        <v>0.75</v>
      </c>
      <c r="H67" s="153" t="b">
        <v>0</v>
      </c>
      <c r="I67" s="153">
        <v>1</v>
      </c>
      <c r="J67" s="107" t="s">
        <v>2093</v>
      </c>
      <c r="K67" s="158" t="s">
        <v>2104</v>
      </c>
    </row>
    <row r="68" spans="1:11" ht="19.5" customHeight="1" x14ac:dyDescent="0.25">
      <c r="A68" s="142"/>
      <c r="B68" s="107" t="s">
        <v>1748</v>
      </c>
      <c r="C68" s="51" t="s">
        <v>1747</v>
      </c>
      <c r="D68" s="107" t="s">
        <v>2116</v>
      </c>
      <c r="E68" s="51" t="s">
        <v>1238</v>
      </c>
      <c r="F68" s="51" t="s">
        <v>1693</v>
      </c>
      <c r="G68" s="153">
        <v>0.75</v>
      </c>
      <c r="H68" s="153" t="b">
        <v>1</v>
      </c>
      <c r="I68" s="153">
        <v>1</v>
      </c>
      <c r="J68" s="107" t="s">
        <v>2093</v>
      </c>
      <c r="K68" s="158" t="s">
        <v>2104</v>
      </c>
    </row>
    <row r="69" spans="1:11" ht="19.5" customHeight="1" x14ac:dyDescent="0.25">
      <c r="A69" s="142"/>
      <c r="B69" s="107" t="s">
        <v>1748</v>
      </c>
      <c r="C69" s="51" t="s">
        <v>1747</v>
      </c>
      <c r="D69" s="107">
        <v>2275001000</v>
      </c>
      <c r="E69" s="51" t="s">
        <v>17</v>
      </c>
      <c r="F69" s="51" t="s">
        <v>1693</v>
      </c>
      <c r="G69" s="153">
        <v>0.75</v>
      </c>
      <c r="H69" s="153" t="b">
        <v>0</v>
      </c>
      <c r="I69" s="153">
        <v>1</v>
      </c>
      <c r="J69" s="107" t="s">
        <v>2093</v>
      </c>
      <c r="K69" s="158" t="s">
        <v>2104</v>
      </c>
    </row>
    <row r="70" spans="1:11" ht="19.5" customHeight="1" x14ac:dyDescent="0.25">
      <c r="A70" s="142"/>
      <c r="B70" s="107" t="s">
        <v>1748</v>
      </c>
      <c r="C70" s="51" t="s">
        <v>1747</v>
      </c>
      <c r="D70" s="107">
        <v>2275020000</v>
      </c>
      <c r="E70" s="51" t="s">
        <v>20</v>
      </c>
      <c r="F70" s="51" t="s">
        <v>1693</v>
      </c>
      <c r="G70" s="153">
        <v>0.75</v>
      </c>
      <c r="H70" s="153" t="b">
        <v>0</v>
      </c>
      <c r="I70" s="153">
        <v>1</v>
      </c>
      <c r="J70" s="107" t="s">
        <v>2093</v>
      </c>
      <c r="K70" s="158" t="s">
        <v>2104</v>
      </c>
    </row>
    <row r="71" spans="1:11" ht="19.5" customHeight="1" x14ac:dyDescent="0.25">
      <c r="A71" s="142"/>
      <c r="B71" s="107" t="s">
        <v>1748</v>
      </c>
      <c r="C71" s="51" t="s">
        <v>1747</v>
      </c>
      <c r="D71" s="107">
        <v>2275050011</v>
      </c>
      <c r="E71" s="51" t="s">
        <v>1239</v>
      </c>
      <c r="F71" s="51" t="s">
        <v>1693</v>
      </c>
      <c r="G71" s="153">
        <v>0.75</v>
      </c>
      <c r="H71" s="153" t="b">
        <v>0</v>
      </c>
      <c r="I71" s="153">
        <v>1</v>
      </c>
      <c r="J71" s="107" t="s">
        <v>2093</v>
      </c>
      <c r="K71" s="158" t="s">
        <v>2104</v>
      </c>
    </row>
    <row r="72" spans="1:11" ht="19.5" customHeight="1" x14ac:dyDescent="0.25">
      <c r="A72" s="142"/>
      <c r="B72" s="107" t="s">
        <v>1748</v>
      </c>
      <c r="C72" s="51" t="s">
        <v>1747</v>
      </c>
      <c r="D72" s="107">
        <v>2275050012</v>
      </c>
      <c r="E72" s="51" t="s">
        <v>1240</v>
      </c>
      <c r="F72" s="51" t="s">
        <v>1693</v>
      </c>
      <c r="G72" s="153">
        <v>0.75</v>
      </c>
      <c r="H72" s="153" t="b">
        <v>0</v>
      </c>
      <c r="I72" s="153">
        <v>1</v>
      </c>
      <c r="J72" s="107" t="s">
        <v>2093</v>
      </c>
      <c r="K72" s="158" t="s">
        <v>2104</v>
      </c>
    </row>
    <row r="73" spans="1:11" ht="19.5" customHeight="1" x14ac:dyDescent="0.25">
      <c r="A73" s="142"/>
      <c r="B73" s="107" t="s">
        <v>1748</v>
      </c>
      <c r="C73" s="51" t="s">
        <v>1747</v>
      </c>
      <c r="D73" s="107">
        <v>2275060011</v>
      </c>
      <c r="E73" s="51" t="s">
        <v>1241</v>
      </c>
      <c r="F73" s="51" t="s">
        <v>1693</v>
      </c>
      <c r="G73" s="153">
        <v>0.75</v>
      </c>
      <c r="H73" s="153" t="b">
        <v>0</v>
      </c>
      <c r="I73" s="153">
        <v>1</v>
      </c>
      <c r="J73" s="107" t="s">
        <v>2093</v>
      </c>
      <c r="K73" s="158" t="s">
        <v>2104</v>
      </c>
    </row>
    <row r="74" spans="1:11" ht="19.5" customHeight="1" x14ac:dyDescent="0.25">
      <c r="A74" s="142"/>
      <c r="B74" s="107" t="s">
        <v>1748</v>
      </c>
      <c r="C74" s="51" t="s">
        <v>1747</v>
      </c>
      <c r="D74" s="107">
        <v>2275060012</v>
      </c>
      <c r="E74" s="51" t="s">
        <v>1242</v>
      </c>
      <c r="F74" s="51" t="s">
        <v>1693</v>
      </c>
      <c r="G74" s="153">
        <v>0.75</v>
      </c>
      <c r="H74" s="153" t="b">
        <v>0</v>
      </c>
      <c r="I74" s="153">
        <v>1</v>
      </c>
      <c r="J74" s="107" t="s">
        <v>2093</v>
      </c>
      <c r="K74" s="158" t="s">
        <v>2104</v>
      </c>
    </row>
    <row r="75" spans="1:11" ht="19.5" customHeight="1" x14ac:dyDescent="0.25">
      <c r="A75" s="142"/>
      <c r="B75" s="107" t="s">
        <v>1748</v>
      </c>
      <c r="C75" s="51" t="s">
        <v>1747</v>
      </c>
      <c r="D75" s="107">
        <v>2275070000</v>
      </c>
      <c r="E75" s="51" t="s">
        <v>26</v>
      </c>
      <c r="F75" s="51" t="s">
        <v>1693</v>
      </c>
      <c r="G75" s="153">
        <v>0.75</v>
      </c>
      <c r="H75" s="153" t="b">
        <v>0</v>
      </c>
      <c r="I75" s="153">
        <v>1</v>
      </c>
      <c r="J75" s="107" t="s">
        <v>2093</v>
      </c>
      <c r="K75" s="158" t="s">
        <v>2104</v>
      </c>
    </row>
    <row r="76" spans="1:11" ht="19.5" customHeight="1" x14ac:dyDescent="0.25">
      <c r="A76" s="142"/>
      <c r="B76" s="107" t="s">
        <v>1748</v>
      </c>
      <c r="C76" s="51" t="s">
        <v>1747</v>
      </c>
      <c r="D76" s="112">
        <v>2501080050</v>
      </c>
      <c r="E76" s="48" t="s">
        <v>1285</v>
      </c>
      <c r="F76" s="51" t="s">
        <v>1693</v>
      </c>
      <c r="G76" s="153">
        <v>0.75</v>
      </c>
      <c r="H76" s="153" t="b">
        <v>0</v>
      </c>
      <c r="I76" s="153">
        <v>1</v>
      </c>
      <c r="J76" s="107" t="s">
        <v>2093</v>
      </c>
      <c r="K76" s="158" t="s">
        <v>2104</v>
      </c>
    </row>
    <row r="77" spans="1:11" ht="19.5" customHeight="1" x14ac:dyDescent="0.25">
      <c r="A77" s="142" t="s">
        <v>2000</v>
      </c>
      <c r="B77" s="107" t="s">
        <v>1748</v>
      </c>
      <c r="C77" s="51" t="s">
        <v>1747</v>
      </c>
      <c r="D77" s="112">
        <v>2401075000</v>
      </c>
      <c r="E77" s="48" t="s">
        <v>2003</v>
      </c>
      <c r="F77" s="51" t="s">
        <v>1693</v>
      </c>
      <c r="G77" s="153">
        <v>0.75</v>
      </c>
      <c r="H77" s="153" t="b">
        <v>0</v>
      </c>
      <c r="I77" s="153">
        <v>1</v>
      </c>
      <c r="J77" s="107" t="s">
        <v>2093</v>
      </c>
      <c r="K77" s="158" t="s">
        <v>2104</v>
      </c>
    </row>
    <row r="78" spans="1:11" ht="19.5" customHeight="1" x14ac:dyDescent="0.25">
      <c r="A78" s="142"/>
      <c r="B78" s="107" t="s">
        <v>1748</v>
      </c>
      <c r="C78" s="51" t="s">
        <v>1747</v>
      </c>
      <c r="D78" s="112">
        <v>2501080100</v>
      </c>
      <c r="E78" s="48" t="s">
        <v>1286</v>
      </c>
      <c r="F78" s="51" t="s">
        <v>1693</v>
      </c>
      <c r="G78" s="153">
        <v>0.75</v>
      </c>
      <c r="H78" s="153" t="b">
        <v>0</v>
      </c>
      <c r="I78" s="153">
        <v>1</v>
      </c>
      <c r="J78" s="107" t="s">
        <v>2093</v>
      </c>
      <c r="K78" s="158" t="s">
        <v>2104</v>
      </c>
    </row>
    <row r="79" spans="1:11" ht="19.5" customHeight="1" x14ac:dyDescent="0.25">
      <c r="A79" s="142"/>
      <c r="B79" s="107" t="s">
        <v>1748</v>
      </c>
      <c r="C79" s="51" t="s">
        <v>1747</v>
      </c>
      <c r="D79" s="107">
        <v>2275087000</v>
      </c>
      <c r="E79" s="51" t="s">
        <v>27</v>
      </c>
      <c r="F79" s="51" t="s">
        <v>1693</v>
      </c>
      <c r="G79" s="153">
        <v>0.75</v>
      </c>
      <c r="H79" s="153" t="b">
        <v>0</v>
      </c>
      <c r="I79" s="153">
        <v>1</v>
      </c>
      <c r="J79" s="107" t="s">
        <v>2093</v>
      </c>
      <c r="K79" s="158" t="s">
        <v>2104</v>
      </c>
    </row>
    <row r="80" spans="1:11" ht="19.5" customHeight="1" x14ac:dyDescent="0.25">
      <c r="A80" s="79"/>
      <c r="B80" s="104" t="s">
        <v>2098</v>
      </c>
      <c r="C80" s="42" t="s">
        <v>2101</v>
      </c>
      <c r="D80" s="149" t="s">
        <v>2058</v>
      </c>
      <c r="E80" s="42" t="s">
        <v>1713</v>
      </c>
      <c r="F80" s="42" t="s">
        <v>2066</v>
      </c>
      <c r="G80" s="79">
        <v>0.75</v>
      </c>
      <c r="H80" s="79" t="b">
        <v>0</v>
      </c>
      <c r="I80" s="79">
        <v>1</v>
      </c>
      <c r="J80" s="104" t="s">
        <v>2097</v>
      </c>
      <c r="K80" s="36" t="s">
        <v>2102</v>
      </c>
    </row>
    <row r="81" spans="1:11" ht="19.5" customHeight="1" x14ac:dyDescent="0.25">
      <c r="A81" s="79"/>
      <c r="B81" s="104" t="s">
        <v>2098</v>
      </c>
      <c r="C81" s="42" t="s">
        <v>2101</v>
      </c>
      <c r="D81" s="104" t="s">
        <v>2031</v>
      </c>
      <c r="E81" s="42" t="s">
        <v>1713</v>
      </c>
      <c r="F81" s="42" t="s">
        <v>2066</v>
      </c>
      <c r="G81" s="79">
        <v>0.75</v>
      </c>
      <c r="H81" s="79" t="b">
        <v>1</v>
      </c>
      <c r="I81" s="79">
        <v>1</v>
      </c>
      <c r="J81" s="104" t="s">
        <v>2097</v>
      </c>
      <c r="K81" s="36" t="s">
        <v>2102</v>
      </c>
    </row>
    <row r="82" spans="1:11" ht="19.5" customHeight="1" x14ac:dyDescent="0.25">
      <c r="A82" s="79"/>
      <c r="B82" s="104" t="s">
        <v>2098</v>
      </c>
      <c r="C82" s="42" t="s">
        <v>2101</v>
      </c>
      <c r="D82" s="104" t="s">
        <v>2032</v>
      </c>
      <c r="E82" s="42" t="s">
        <v>1713</v>
      </c>
      <c r="F82" s="42" t="s">
        <v>2066</v>
      </c>
      <c r="G82" s="79">
        <v>0.75</v>
      </c>
      <c r="H82" s="79" t="b">
        <v>0</v>
      </c>
      <c r="I82" s="79">
        <v>1</v>
      </c>
      <c r="J82" s="104" t="s">
        <v>2097</v>
      </c>
      <c r="K82" s="36" t="s">
        <v>2102</v>
      </c>
    </row>
    <row r="83" spans="1:11" ht="19.5" customHeight="1" x14ac:dyDescent="0.25">
      <c r="A83" s="79"/>
      <c r="B83" s="104" t="s">
        <v>2098</v>
      </c>
      <c r="C83" s="42" t="s">
        <v>2101</v>
      </c>
      <c r="D83" s="104" t="s">
        <v>2033</v>
      </c>
      <c r="E83" s="42" t="s">
        <v>1713</v>
      </c>
      <c r="F83" s="42" t="s">
        <v>2066</v>
      </c>
      <c r="G83" s="79">
        <v>0.75</v>
      </c>
      <c r="H83" s="79" t="b">
        <v>0</v>
      </c>
      <c r="I83" s="79">
        <v>1</v>
      </c>
      <c r="J83" s="104" t="s">
        <v>2097</v>
      </c>
      <c r="K83" s="36" t="s">
        <v>2102</v>
      </c>
    </row>
    <row r="84" spans="1:11" ht="19.5" customHeight="1" x14ac:dyDescent="0.25">
      <c r="A84" s="79"/>
      <c r="B84" s="104" t="s">
        <v>2098</v>
      </c>
      <c r="C84" s="42" t="s">
        <v>2101</v>
      </c>
      <c r="D84" s="104" t="s">
        <v>2036</v>
      </c>
      <c r="E84" s="42" t="s">
        <v>1713</v>
      </c>
      <c r="F84" s="42" t="s">
        <v>2066</v>
      </c>
      <c r="G84" s="79">
        <v>0.75</v>
      </c>
      <c r="H84" s="79" t="b">
        <v>1</v>
      </c>
      <c r="I84" s="79">
        <v>1</v>
      </c>
      <c r="J84" s="104" t="s">
        <v>2097</v>
      </c>
      <c r="K84" s="36" t="s">
        <v>2102</v>
      </c>
    </row>
    <row r="85" spans="1:11" ht="19.5" customHeight="1" x14ac:dyDescent="0.25">
      <c r="A85" s="79"/>
      <c r="B85" s="104" t="s">
        <v>2098</v>
      </c>
      <c r="C85" s="42" t="s">
        <v>2101</v>
      </c>
      <c r="D85" s="104" t="s">
        <v>2034</v>
      </c>
      <c r="E85" s="42" t="s">
        <v>1713</v>
      </c>
      <c r="F85" s="42" t="s">
        <v>2066</v>
      </c>
      <c r="G85" s="79">
        <v>0.75</v>
      </c>
      <c r="H85" s="79" t="b">
        <v>1</v>
      </c>
      <c r="I85" s="79">
        <v>1</v>
      </c>
      <c r="J85" s="104" t="s">
        <v>2097</v>
      </c>
      <c r="K85" s="36" t="s">
        <v>2102</v>
      </c>
    </row>
    <row r="86" spans="1:11" ht="19.5" customHeight="1" x14ac:dyDescent="0.25">
      <c r="A86" s="79"/>
      <c r="B86" s="104" t="s">
        <v>2098</v>
      </c>
      <c r="C86" s="42" t="s">
        <v>2101</v>
      </c>
      <c r="D86" s="104" t="s">
        <v>2035</v>
      </c>
      <c r="E86" s="42" t="s">
        <v>1713</v>
      </c>
      <c r="F86" s="42" t="s">
        <v>2066</v>
      </c>
      <c r="G86" s="79">
        <v>0.75</v>
      </c>
      <c r="H86" s="79" t="b">
        <v>0</v>
      </c>
      <c r="I86" s="79">
        <v>1</v>
      </c>
      <c r="J86" s="104" t="s">
        <v>2097</v>
      </c>
      <c r="K86" s="36" t="s">
        <v>2102</v>
      </c>
    </row>
    <row r="87" spans="1:11" ht="19.5" customHeight="1" x14ac:dyDescent="0.25">
      <c r="A87" s="79"/>
      <c r="B87" s="104" t="s">
        <v>2098</v>
      </c>
      <c r="C87" s="42" t="s">
        <v>2101</v>
      </c>
      <c r="D87" s="104" t="s">
        <v>2087</v>
      </c>
      <c r="E87" s="42" t="s">
        <v>1713</v>
      </c>
      <c r="F87" s="42" t="s">
        <v>2066</v>
      </c>
      <c r="G87" s="79">
        <v>0.75</v>
      </c>
      <c r="H87" s="79" t="b">
        <v>0</v>
      </c>
      <c r="I87" s="79">
        <v>1</v>
      </c>
      <c r="J87" s="104" t="s">
        <v>2097</v>
      </c>
      <c r="K87" s="36" t="s">
        <v>2102</v>
      </c>
    </row>
    <row r="88" spans="1:11" ht="19.5" customHeight="1" x14ac:dyDescent="0.25">
      <c r="A88" s="79"/>
      <c r="B88" s="104" t="s">
        <v>2098</v>
      </c>
      <c r="C88" s="42" t="s">
        <v>2101</v>
      </c>
      <c r="D88" s="104" t="s">
        <v>2037</v>
      </c>
      <c r="E88" s="42" t="s">
        <v>1713</v>
      </c>
      <c r="F88" s="42" t="s">
        <v>2066</v>
      </c>
      <c r="G88" s="79">
        <v>0.75</v>
      </c>
      <c r="H88" s="79" t="b">
        <v>0</v>
      </c>
      <c r="I88" s="79">
        <v>1</v>
      </c>
      <c r="J88" s="104" t="s">
        <v>2097</v>
      </c>
      <c r="K88" s="36" t="s">
        <v>2102</v>
      </c>
    </row>
    <row r="89" spans="1:11" ht="19.5" customHeight="1" x14ac:dyDescent="0.25">
      <c r="A89" s="79"/>
      <c r="B89" s="104" t="s">
        <v>2098</v>
      </c>
      <c r="C89" s="42" t="s">
        <v>2101</v>
      </c>
      <c r="D89" s="104" t="s">
        <v>2038</v>
      </c>
      <c r="E89" s="42" t="s">
        <v>1713</v>
      </c>
      <c r="F89" s="42" t="s">
        <v>2066</v>
      </c>
      <c r="G89" s="79">
        <v>0.75</v>
      </c>
      <c r="H89" s="79" t="b">
        <v>0</v>
      </c>
      <c r="I89" s="79">
        <v>1</v>
      </c>
      <c r="J89" s="104" t="s">
        <v>2097</v>
      </c>
      <c r="K89" s="36" t="s">
        <v>2102</v>
      </c>
    </row>
    <row r="90" spans="1:11" ht="19.5" customHeight="1" x14ac:dyDescent="0.25">
      <c r="A90" s="79"/>
      <c r="B90" s="104" t="s">
        <v>2098</v>
      </c>
      <c r="C90" s="42" t="s">
        <v>2101</v>
      </c>
      <c r="D90" s="104" t="s">
        <v>2039</v>
      </c>
      <c r="E90" s="42" t="s">
        <v>1713</v>
      </c>
      <c r="F90" s="42" t="s">
        <v>2066</v>
      </c>
      <c r="G90" s="79">
        <v>0.75</v>
      </c>
      <c r="H90" s="79" t="b">
        <v>0</v>
      </c>
      <c r="I90" s="79">
        <v>1</v>
      </c>
      <c r="J90" s="104" t="s">
        <v>2097</v>
      </c>
      <c r="K90" s="36" t="s">
        <v>2102</v>
      </c>
    </row>
    <row r="91" spans="1:11" ht="19.5" customHeight="1" x14ac:dyDescent="0.25">
      <c r="A91" s="79"/>
      <c r="B91" s="104" t="s">
        <v>2098</v>
      </c>
      <c r="C91" s="42" t="s">
        <v>2101</v>
      </c>
      <c r="D91" s="104" t="s">
        <v>2040</v>
      </c>
      <c r="E91" s="42" t="s">
        <v>1713</v>
      </c>
      <c r="F91" s="42" t="s">
        <v>2066</v>
      </c>
      <c r="G91" s="79">
        <v>0.75</v>
      </c>
      <c r="H91" s="79" t="b">
        <v>0</v>
      </c>
      <c r="I91" s="79">
        <v>1</v>
      </c>
      <c r="J91" s="104" t="s">
        <v>2097</v>
      </c>
      <c r="K91" s="36" t="s">
        <v>2102</v>
      </c>
    </row>
    <row r="92" spans="1:11" ht="19.5" customHeight="1" x14ac:dyDescent="0.25">
      <c r="A92" s="79"/>
      <c r="B92" s="104" t="s">
        <v>2098</v>
      </c>
      <c r="C92" s="42" t="s">
        <v>2101</v>
      </c>
      <c r="D92" s="104" t="s">
        <v>2041</v>
      </c>
      <c r="E92" s="42" t="s">
        <v>1713</v>
      </c>
      <c r="F92" s="42" t="s">
        <v>2066</v>
      </c>
      <c r="G92" s="79">
        <v>0.75</v>
      </c>
      <c r="H92" s="79" t="b">
        <v>0</v>
      </c>
      <c r="I92" s="79">
        <v>1</v>
      </c>
      <c r="J92" s="104" t="s">
        <v>2097</v>
      </c>
      <c r="K92" s="36" t="s">
        <v>2102</v>
      </c>
    </row>
    <row r="93" spans="1:11" ht="19.5" customHeight="1" x14ac:dyDescent="0.25">
      <c r="A93" s="79"/>
      <c r="B93" s="104" t="s">
        <v>2098</v>
      </c>
      <c r="C93" s="42" t="s">
        <v>2101</v>
      </c>
      <c r="D93" s="104" t="s">
        <v>2042</v>
      </c>
      <c r="E93" s="42" t="s">
        <v>1713</v>
      </c>
      <c r="F93" s="42" t="s">
        <v>2066</v>
      </c>
      <c r="G93" s="79">
        <v>0.75</v>
      </c>
      <c r="H93" s="79" t="b">
        <v>0</v>
      </c>
      <c r="I93" s="79">
        <v>1</v>
      </c>
      <c r="J93" s="104" t="s">
        <v>2097</v>
      </c>
      <c r="K93" s="36" t="s">
        <v>2102</v>
      </c>
    </row>
    <row r="94" spans="1:11" ht="19.5" customHeight="1" x14ac:dyDescent="0.25">
      <c r="A94" s="79"/>
      <c r="B94" s="104" t="s">
        <v>2098</v>
      </c>
      <c r="C94" s="42" t="s">
        <v>2101</v>
      </c>
      <c r="D94" s="104" t="s">
        <v>2086</v>
      </c>
      <c r="E94" s="42" t="s">
        <v>1713</v>
      </c>
      <c r="F94" s="42" t="s">
        <v>2066</v>
      </c>
      <c r="G94" s="79">
        <v>0.75</v>
      </c>
      <c r="H94" s="79" t="b">
        <v>0</v>
      </c>
      <c r="I94" s="79">
        <v>1</v>
      </c>
      <c r="J94" s="104" t="s">
        <v>2097</v>
      </c>
      <c r="K94" s="36" t="s">
        <v>2102</v>
      </c>
    </row>
    <row r="95" spans="1:11" ht="19.5" customHeight="1" x14ac:dyDescent="0.25">
      <c r="A95" s="79"/>
      <c r="B95" s="104" t="s">
        <v>2098</v>
      </c>
      <c r="C95" s="42" t="s">
        <v>2101</v>
      </c>
      <c r="D95" s="104" t="s">
        <v>2043</v>
      </c>
      <c r="E95" s="42" t="s">
        <v>1713</v>
      </c>
      <c r="F95" s="42" t="s">
        <v>2066</v>
      </c>
      <c r="G95" s="79">
        <v>0.75</v>
      </c>
      <c r="H95" s="79" t="b">
        <v>0</v>
      </c>
      <c r="I95" s="79">
        <v>1</v>
      </c>
      <c r="J95" s="104" t="s">
        <v>2097</v>
      </c>
      <c r="K95" s="36" t="s">
        <v>2102</v>
      </c>
    </row>
    <row r="96" spans="1:11" ht="19.5" customHeight="1" x14ac:dyDescent="0.25">
      <c r="A96" s="79"/>
      <c r="B96" s="104" t="s">
        <v>2098</v>
      </c>
      <c r="C96" s="42" t="s">
        <v>2101</v>
      </c>
      <c r="D96" s="104" t="s">
        <v>2044</v>
      </c>
      <c r="E96" s="42" t="s">
        <v>1713</v>
      </c>
      <c r="F96" s="42" t="s">
        <v>2066</v>
      </c>
      <c r="G96" s="79">
        <v>0.75</v>
      </c>
      <c r="H96" s="79" t="b">
        <v>0</v>
      </c>
      <c r="I96" s="79">
        <v>1</v>
      </c>
      <c r="J96" s="104" t="s">
        <v>2097</v>
      </c>
      <c r="K96" s="36" t="s">
        <v>2102</v>
      </c>
    </row>
    <row r="97" spans="1:11" ht="19.5" customHeight="1" x14ac:dyDescent="0.25">
      <c r="A97" s="79"/>
      <c r="B97" s="104" t="s">
        <v>2098</v>
      </c>
      <c r="C97" s="42" t="s">
        <v>2101</v>
      </c>
      <c r="D97" s="104" t="s">
        <v>2045</v>
      </c>
      <c r="E97" s="42" t="s">
        <v>1713</v>
      </c>
      <c r="F97" s="42" t="s">
        <v>2066</v>
      </c>
      <c r="G97" s="79">
        <v>0.75</v>
      </c>
      <c r="H97" s="79" t="b">
        <v>0</v>
      </c>
      <c r="I97" s="79">
        <v>1</v>
      </c>
      <c r="J97" s="104" t="s">
        <v>2097</v>
      </c>
      <c r="K97" s="36" t="s">
        <v>2102</v>
      </c>
    </row>
    <row r="98" spans="1:11" ht="19.5" customHeight="1" x14ac:dyDescent="0.25">
      <c r="A98" s="79"/>
      <c r="B98" s="104" t="s">
        <v>2098</v>
      </c>
      <c r="C98" s="42" t="s">
        <v>2101</v>
      </c>
      <c r="D98" s="104" t="s">
        <v>2046</v>
      </c>
      <c r="E98" s="42" t="s">
        <v>1713</v>
      </c>
      <c r="F98" s="42" t="s">
        <v>2066</v>
      </c>
      <c r="G98" s="79">
        <v>0.75</v>
      </c>
      <c r="H98" s="79" t="b">
        <v>0</v>
      </c>
      <c r="I98" s="79">
        <v>1</v>
      </c>
      <c r="J98" s="104" t="s">
        <v>2097</v>
      </c>
      <c r="K98" s="36" t="s">
        <v>2102</v>
      </c>
    </row>
    <row r="99" spans="1:11" ht="19.5" customHeight="1" x14ac:dyDescent="0.25">
      <c r="A99" s="79"/>
      <c r="B99" s="104" t="s">
        <v>2098</v>
      </c>
      <c r="C99" s="42" t="s">
        <v>2101</v>
      </c>
      <c r="D99" s="104" t="s">
        <v>2047</v>
      </c>
      <c r="E99" s="42" t="s">
        <v>1713</v>
      </c>
      <c r="F99" s="42" t="s">
        <v>2066</v>
      </c>
      <c r="G99" s="79">
        <v>0.75</v>
      </c>
      <c r="H99" s="79" t="b">
        <v>0</v>
      </c>
      <c r="I99" s="79">
        <v>1</v>
      </c>
      <c r="J99" s="104" t="s">
        <v>2097</v>
      </c>
      <c r="K99" s="36" t="s">
        <v>2102</v>
      </c>
    </row>
    <row r="100" spans="1:11" ht="19.5" customHeight="1" x14ac:dyDescent="0.25">
      <c r="A100" s="79"/>
      <c r="B100" s="104" t="s">
        <v>2098</v>
      </c>
      <c r="C100" s="42" t="s">
        <v>2101</v>
      </c>
      <c r="D100" s="104" t="s">
        <v>2048</v>
      </c>
      <c r="E100" s="42" t="s">
        <v>1713</v>
      </c>
      <c r="F100" s="42" t="s">
        <v>2066</v>
      </c>
      <c r="G100" s="79">
        <v>0.75</v>
      </c>
      <c r="H100" s="79" t="b">
        <v>0</v>
      </c>
      <c r="I100" s="79">
        <v>1</v>
      </c>
      <c r="J100" s="104" t="s">
        <v>2097</v>
      </c>
      <c r="K100" s="36" t="s">
        <v>2102</v>
      </c>
    </row>
    <row r="101" spans="1:11" ht="19.5" customHeight="1" x14ac:dyDescent="0.25">
      <c r="A101" s="79"/>
      <c r="B101" s="104" t="s">
        <v>2098</v>
      </c>
      <c r="C101" s="42" t="s">
        <v>2101</v>
      </c>
      <c r="D101" s="104" t="s">
        <v>2049</v>
      </c>
      <c r="E101" s="42" t="s">
        <v>1713</v>
      </c>
      <c r="F101" s="42" t="s">
        <v>2066</v>
      </c>
      <c r="G101" s="79">
        <v>0.75</v>
      </c>
      <c r="H101" s="79" t="b">
        <v>0</v>
      </c>
      <c r="I101" s="79">
        <v>1</v>
      </c>
      <c r="J101" s="104" t="s">
        <v>2097</v>
      </c>
      <c r="K101" s="36" t="s">
        <v>2102</v>
      </c>
    </row>
    <row r="102" spans="1:11" ht="19.5" customHeight="1" x14ac:dyDescent="0.25">
      <c r="A102" s="79"/>
      <c r="B102" s="104" t="s">
        <v>2098</v>
      </c>
      <c r="C102" s="42" t="s">
        <v>2101</v>
      </c>
      <c r="D102" s="104" t="s">
        <v>2050</v>
      </c>
      <c r="E102" s="42" t="s">
        <v>1713</v>
      </c>
      <c r="F102" s="42" t="s">
        <v>2066</v>
      </c>
      <c r="G102" s="79">
        <v>0.75</v>
      </c>
      <c r="H102" s="79" t="b">
        <v>0</v>
      </c>
      <c r="I102" s="79">
        <v>1</v>
      </c>
      <c r="J102" s="104" t="s">
        <v>2097</v>
      </c>
      <c r="K102" s="36" t="s">
        <v>2102</v>
      </c>
    </row>
    <row r="103" spans="1:11" ht="19.5" customHeight="1" x14ac:dyDescent="0.25">
      <c r="A103" s="79"/>
      <c r="B103" s="104" t="s">
        <v>2098</v>
      </c>
      <c r="C103" s="42" t="s">
        <v>2101</v>
      </c>
      <c r="D103" s="104" t="s">
        <v>2051</v>
      </c>
      <c r="E103" s="42" t="s">
        <v>1713</v>
      </c>
      <c r="F103" s="42" t="s">
        <v>2066</v>
      </c>
      <c r="G103" s="79">
        <v>0.75</v>
      </c>
      <c r="H103" s="79" t="b">
        <v>0</v>
      </c>
      <c r="I103" s="79">
        <v>1</v>
      </c>
      <c r="J103" s="104" t="s">
        <v>2097</v>
      </c>
      <c r="K103" s="36" t="s">
        <v>2102</v>
      </c>
    </row>
    <row r="104" spans="1:11" ht="19.5" customHeight="1" x14ac:dyDescent="0.25">
      <c r="A104" s="79"/>
      <c r="B104" s="104" t="s">
        <v>2098</v>
      </c>
      <c r="C104" s="42" t="s">
        <v>2101</v>
      </c>
      <c r="D104" s="104" t="s">
        <v>2052</v>
      </c>
      <c r="E104" s="42" t="s">
        <v>1713</v>
      </c>
      <c r="F104" s="42" t="s">
        <v>2066</v>
      </c>
      <c r="G104" s="79">
        <v>0.75</v>
      </c>
      <c r="H104" s="79" t="b">
        <v>1</v>
      </c>
      <c r="I104" s="79">
        <v>1</v>
      </c>
      <c r="J104" s="104" t="s">
        <v>2097</v>
      </c>
      <c r="K104" s="36" t="s">
        <v>2102</v>
      </c>
    </row>
    <row r="105" spans="1:11" ht="19.5" customHeight="1" x14ac:dyDescent="0.25">
      <c r="A105" s="79"/>
      <c r="B105" s="104" t="s">
        <v>2098</v>
      </c>
      <c r="C105" s="42" t="s">
        <v>2101</v>
      </c>
      <c r="D105" s="104" t="s">
        <v>2053</v>
      </c>
      <c r="E105" s="42" t="s">
        <v>1713</v>
      </c>
      <c r="F105" s="42" t="s">
        <v>2066</v>
      </c>
      <c r="G105" s="79">
        <v>0.75</v>
      </c>
      <c r="H105" s="79" t="b">
        <v>0</v>
      </c>
      <c r="I105" s="79">
        <v>1</v>
      </c>
      <c r="J105" s="104" t="s">
        <v>2097</v>
      </c>
      <c r="K105" s="36" t="s">
        <v>2102</v>
      </c>
    </row>
    <row r="106" spans="1:11" ht="19.5" customHeight="1" x14ac:dyDescent="0.25">
      <c r="A106" s="79"/>
      <c r="B106" s="104" t="s">
        <v>2098</v>
      </c>
      <c r="C106" s="42" t="s">
        <v>2101</v>
      </c>
      <c r="D106" s="104" t="s">
        <v>2054</v>
      </c>
      <c r="E106" s="42" t="s">
        <v>1713</v>
      </c>
      <c r="F106" s="42" t="s">
        <v>2066</v>
      </c>
      <c r="G106" s="79">
        <v>0.75</v>
      </c>
      <c r="H106" s="79" t="b">
        <v>0</v>
      </c>
      <c r="I106" s="79">
        <v>1</v>
      </c>
      <c r="J106" s="104" t="s">
        <v>2097</v>
      </c>
      <c r="K106" s="36" t="s">
        <v>2102</v>
      </c>
    </row>
    <row r="107" spans="1:11" ht="19.5" customHeight="1" x14ac:dyDescent="0.25">
      <c r="A107" s="79"/>
      <c r="B107" s="104" t="s">
        <v>2098</v>
      </c>
      <c r="C107" s="42" t="s">
        <v>2101</v>
      </c>
      <c r="D107" s="104" t="s">
        <v>2055</v>
      </c>
      <c r="E107" s="42" t="s">
        <v>1713</v>
      </c>
      <c r="F107" s="42" t="s">
        <v>2066</v>
      </c>
      <c r="G107" s="79">
        <v>0.75</v>
      </c>
      <c r="H107" s="79" t="b">
        <v>0</v>
      </c>
      <c r="I107" s="79">
        <v>1</v>
      </c>
      <c r="J107" s="104" t="s">
        <v>2097</v>
      </c>
      <c r="K107" s="36" t="s">
        <v>2102</v>
      </c>
    </row>
    <row r="108" spans="1:11" ht="19.5" customHeight="1" x14ac:dyDescent="0.25">
      <c r="A108" s="79"/>
      <c r="B108" s="104" t="s">
        <v>2098</v>
      </c>
      <c r="C108" s="42" t="s">
        <v>2101</v>
      </c>
      <c r="D108" s="104" t="s">
        <v>2056</v>
      </c>
      <c r="E108" s="42" t="s">
        <v>1713</v>
      </c>
      <c r="F108" s="42" t="s">
        <v>2066</v>
      </c>
      <c r="G108" s="79">
        <v>0.75</v>
      </c>
      <c r="H108" s="79" t="b">
        <v>0</v>
      </c>
      <c r="I108" s="79">
        <v>1</v>
      </c>
      <c r="J108" s="104" t="s">
        <v>2097</v>
      </c>
      <c r="K108" s="36" t="s">
        <v>2102</v>
      </c>
    </row>
    <row r="109" spans="1:11" ht="19.5" customHeight="1" x14ac:dyDescent="0.25">
      <c r="A109" s="79"/>
      <c r="B109" s="104" t="s">
        <v>2098</v>
      </c>
      <c r="C109" s="42" t="s">
        <v>2101</v>
      </c>
      <c r="D109" s="104" t="s">
        <v>2057</v>
      </c>
      <c r="E109" s="42" t="s">
        <v>1713</v>
      </c>
      <c r="F109" s="42" t="s">
        <v>2066</v>
      </c>
      <c r="G109" s="79">
        <v>0.75</v>
      </c>
      <c r="H109" s="79" t="b">
        <v>0</v>
      </c>
      <c r="I109" s="79">
        <v>1</v>
      </c>
      <c r="J109" s="104" t="s">
        <v>2097</v>
      </c>
      <c r="K109" s="36" t="s">
        <v>2102</v>
      </c>
    </row>
    <row r="110" spans="1:11" ht="19.5" customHeight="1" x14ac:dyDescent="0.25">
      <c r="A110" s="82"/>
      <c r="B110" s="108" t="s">
        <v>1715</v>
      </c>
      <c r="C110" s="53" t="s">
        <v>1244</v>
      </c>
      <c r="D110" s="108">
        <v>2102004001</v>
      </c>
      <c r="E110" s="53" t="s">
        <v>1246</v>
      </c>
      <c r="F110" s="168" t="s">
        <v>2149</v>
      </c>
      <c r="G110" s="82">
        <v>0.75</v>
      </c>
      <c r="H110" s="82" t="b">
        <v>1</v>
      </c>
      <c r="I110" s="82">
        <v>1</v>
      </c>
      <c r="J110" s="108" t="s">
        <v>56</v>
      </c>
      <c r="K110" s="36" t="s">
        <v>2110</v>
      </c>
    </row>
    <row r="111" spans="1:11" ht="19.5" customHeight="1" x14ac:dyDescent="0.25">
      <c r="A111" s="82"/>
      <c r="B111" s="108" t="s">
        <v>1715</v>
      </c>
      <c r="C111" s="53" t="s">
        <v>1244</v>
      </c>
      <c r="D111" s="108">
        <v>2102004002</v>
      </c>
      <c r="E111" s="53" t="s">
        <v>1247</v>
      </c>
      <c r="F111" s="168" t="s">
        <v>2149</v>
      </c>
      <c r="G111" s="82">
        <v>0.75</v>
      </c>
      <c r="H111" s="82" t="b">
        <v>1</v>
      </c>
      <c r="I111" s="82">
        <v>1</v>
      </c>
      <c r="J111" s="108" t="s">
        <v>56</v>
      </c>
      <c r="K111" s="36" t="s">
        <v>2110</v>
      </c>
    </row>
    <row r="112" spans="1:11" ht="19.5" customHeight="1" x14ac:dyDescent="0.25">
      <c r="A112" s="82"/>
      <c r="B112" s="108" t="s">
        <v>1715</v>
      </c>
      <c r="C112" s="53" t="s">
        <v>1244</v>
      </c>
      <c r="D112" s="108">
        <v>2102005000</v>
      </c>
      <c r="E112" s="53" t="s">
        <v>1248</v>
      </c>
      <c r="F112" s="168" t="s">
        <v>2149</v>
      </c>
      <c r="G112" s="82">
        <v>0.75</v>
      </c>
      <c r="H112" s="82" t="b">
        <v>1</v>
      </c>
      <c r="I112" s="82">
        <v>1</v>
      </c>
      <c r="J112" s="108" t="s">
        <v>56</v>
      </c>
      <c r="K112" s="36" t="s">
        <v>2110</v>
      </c>
    </row>
    <row r="113" spans="1:11" ht="19.5" customHeight="1" x14ac:dyDescent="0.25">
      <c r="A113" s="82"/>
      <c r="B113" s="108" t="s">
        <v>1715</v>
      </c>
      <c r="C113" s="53" t="s">
        <v>1244</v>
      </c>
      <c r="D113" s="108">
        <v>2102006000</v>
      </c>
      <c r="E113" s="53" t="s">
        <v>1249</v>
      </c>
      <c r="F113" s="168" t="s">
        <v>2149</v>
      </c>
      <c r="G113" s="82">
        <v>0.75</v>
      </c>
      <c r="H113" s="82" t="b">
        <v>0</v>
      </c>
      <c r="I113" s="82">
        <v>1</v>
      </c>
      <c r="J113" s="108" t="s">
        <v>56</v>
      </c>
      <c r="K113" s="36" t="s">
        <v>2110</v>
      </c>
    </row>
    <row r="114" spans="1:11" ht="19.5" customHeight="1" x14ac:dyDescent="0.25">
      <c r="A114" s="82"/>
      <c r="B114" s="108" t="s">
        <v>1715</v>
      </c>
      <c r="C114" s="53" t="s">
        <v>1244</v>
      </c>
      <c r="D114" s="108">
        <v>2102007000</v>
      </c>
      <c r="E114" s="53" t="s">
        <v>1251</v>
      </c>
      <c r="F114" s="168" t="s">
        <v>2149</v>
      </c>
      <c r="G114" s="82">
        <v>0.75</v>
      </c>
      <c r="H114" s="82" t="b">
        <v>0</v>
      </c>
      <c r="I114" s="82">
        <v>1</v>
      </c>
      <c r="J114" s="108" t="s">
        <v>56</v>
      </c>
      <c r="K114" s="36" t="s">
        <v>2110</v>
      </c>
    </row>
    <row r="115" spans="1:11" ht="19.5" customHeight="1" x14ac:dyDescent="0.25">
      <c r="A115" s="82"/>
      <c r="B115" s="108" t="s">
        <v>1715</v>
      </c>
      <c r="C115" s="53" t="s">
        <v>1244</v>
      </c>
      <c r="D115" s="108">
        <v>2102008000</v>
      </c>
      <c r="E115" s="53" t="s">
        <v>1250</v>
      </c>
      <c r="F115" s="168" t="s">
        <v>2149</v>
      </c>
      <c r="G115" s="82">
        <v>0.75</v>
      </c>
      <c r="H115" s="82" t="b">
        <v>0</v>
      </c>
      <c r="I115" s="82">
        <v>1</v>
      </c>
      <c r="J115" s="108" t="s">
        <v>56</v>
      </c>
      <c r="K115" s="36" t="s">
        <v>2110</v>
      </c>
    </row>
    <row r="116" spans="1:11" ht="19.5" customHeight="1" x14ac:dyDescent="0.25">
      <c r="A116" s="82"/>
      <c r="B116" s="108" t="s">
        <v>1715</v>
      </c>
      <c r="C116" s="53" t="s">
        <v>1244</v>
      </c>
      <c r="D116" s="108">
        <v>2102011000</v>
      </c>
      <c r="E116" s="53" t="s">
        <v>1252</v>
      </c>
      <c r="F116" s="168" t="s">
        <v>2149</v>
      </c>
      <c r="G116" s="82">
        <v>0.75</v>
      </c>
      <c r="H116" s="82" t="b">
        <v>0</v>
      </c>
      <c r="I116" s="82">
        <v>1</v>
      </c>
      <c r="J116" s="108" t="s">
        <v>56</v>
      </c>
      <c r="K116" s="36" t="s">
        <v>2110</v>
      </c>
    </row>
    <row r="117" spans="1:11" ht="19.5" customHeight="1" x14ac:dyDescent="0.25">
      <c r="A117" s="82" t="s">
        <v>1885</v>
      </c>
      <c r="B117" s="108" t="s">
        <v>1715</v>
      </c>
      <c r="C117" s="53" t="s">
        <v>1244</v>
      </c>
      <c r="D117" s="108" t="s">
        <v>1887</v>
      </c>
      <c r="E117" s="53" t="s">
        <v>1888</v>
      </c>
      <c r="F117" s="168" t="s">
        <v>2149</v>
      </c>
      <c r="G117" s="82">
        <v>0.75</v>
      </c>
      <c r="H117" s="82" t="b">
        <v>0</v>
      </c>
      <c r="I117" s="82">
        <v>1</v>
      </c>
      <c r="J117" s="108" t="s">
        <v>56</v>
      </c>
      <c r="K117" s="36" t="s">
        <v>2110</v>
      </c>
    </row>
    <row r="118" spans="1:11" ht="19.5" customHeight="1" x14ac:dyDescent="0.25">
      <c r="A118" s="82"/>
      <c r="B118" s="108" t="s">
        <v>1715</v>
      </c>
      <c r="C118" s="53" t="s">
        <v>1244</v>
      </c>
      <c r="D118" s="108">
        <v>2103004001</v>
      </c>
      <c r="E118" s="53" t="s">
        <v>1253</v>
      </c>
      <c r="F118" s="168" t="s">
        <v>2149</v>
      </c>
      <c r="G118" s="82">
        <v>0.75</v>
      </c>
      <c r="H118" s="82" t="b">
        <v>1</v>
      </c>
      <c r="I118" s="82">
        <v>1</v>
      </c>
      <c r="J118" s="108" t="s">
        <v>56</v>
      </c>
      <c r="K118" s="36" t="s">
        <v>2110</v>
      </c>
    </row>
    <row r="119" spans="1:11" ht="19.5" customHeight="1" x14ac:dyDescent="0.25">
      <c r="A119" s="82"/>
      <c r="B119" s="108" t="s">
        <v>1715</v>
      </c>
      <c r="C119" s="53" t="s">
        <v>1244</v>
      </c>
      <c r="D119" s="108">
        <v>2103004002</v>
      </c>
      <c r="E119" s="53" t="s">
        <v>1254</v>
      </c>
      <c r="F119" s="168" t="s">
        <v>2149</v>
      </c>
      <c r="G119" s="82">
        <v>0.75</v>
      </c>
      <c r="H119" s="82" t="b">
        <v>1</v>
      </c>
      <c r="I119" s="82">
        <v>1</v>
      </c>
      <c r="J119" s="108" t="s">
        <v>56</v>
      </c>
      <c r="K119" s="36" t="s">
        <v>2110</v>
      </c>
    </row>
    <row r="120" spans="1:11" ht="19.5" customHeight="1" x14ac:dyDescent="0.25">
      <c r="A120" s="82"/>
      <c r="B120" s="108" t="s">
        <v>1715</v>
      </c>
      <c r="C120" s="53" t="s">
        <v>1244</v>
      </c>
      <c r="D120" s="108">
        <v>2103005000</v>
      </c>
      <c r="E120" s="53" t="s">
        <v>1255</v>
      </c>
      <c r="F120" s="168" t="s">
        <v>2149</v>
      </c>
      <c r="G120" s="82">
        <v>0.75</v>
      </c>
      <c r="H120" s="82" t="b">
        <v>1</v>
      </c>
      <c r="I120" s="82">
        <v>1</v>
      </c>
      <c r="J120" s="108" t="s">
        <v>56</v>
      </c>
      <c r="K120" s="36" t="s">
        <v>2110</v>
      </c>
    </row>
    <row r="121" spans="1:11" ht="19.5" customHeight="1" x14ac:dyDescent="0.25">
      <c r="A121" s="82"/>
      <c r="B121" s="108" t="s">
        <v>1715</v>
      </c>
      <c r="C121" s="53" t="s">
        <v>1244</v>
      </c>
      <c r="D121" s="108">
        <v>2103006000</v>
      </c>
      <c r="E121" s="53" t="s">
        <v>1257</v>
      </c>
      <c r="F121" s="168" t="s">
        <v>2149</v>
      </c>
      <c r="G121" s="82">
        <v>0.75</v>
      </c>
      <c r="H121" s="82" t="b">
        <v>0</v>
      </c>
      <c r="I121" s="82">
        <v>1</v>
      </c>
      <c r="J121" s="108" t="s">
        <v>56</v>
      </c>
      <c r="K121" s="36" t="s">
        <v>2110</v>
      </c>
    </row>
    <row r="122" spans="1:11" ht="19.5" customHeight="1" x14ac:dyDescent="0.25">
      <c r="A122" s="82"/>
      <c r="B122" s="108" t="s">
        <v>1715</v>
      </c>
      <c r="C122" s="53" t="s">
        <v>1244</v>
      </c>
      <c r="D122" s="108">
        <v>2103007000</v>
      </c>
      <c r="E122" s="53" t="s">
        <v>1258</v>
      </c>
      <c r="F122" s="168" t="s">
        <v>2149</v>
      </c>
      <c r="G122" s="82">
        <v>0.75</v>
      </c>
      <c r="H122" s="82" t="b">
        <v>0</v>
      </c>
      <c r="I122" s="82">
        <v>1</v>
      </c>
      <c r="J122" s="108" t="s">
        <v>56</v>
      </c>
      <c r="K122" s="36" t="s">
        <v>2110</v>
      </c>
    </row>
    <row r="123" spans="1:11" ht="19.5" customHeight="1" x14ac:dyDescent="0.25">
      <c r="A123" s="82" t="s">
        <v>1885</v>
      </c>
      <c r="B123" s="108" t="s">
        <v>1715</v>
      </c>
      <c r="C123" s="53" t="s">
        <v>1244</v>
      </c>
      <c r="D123" s="108" t="s">
        <v>1886</v>
      </c>
      <c r="E123" s="53" t="s">
        <v>1889</v>
      </c>
      <c r="F123" s="168" t="s">
        <v>2149</v>
      </c>
      <c r="G123" s="82">
        <v>0.75</v>
      </c>
      <c r="H123" s="82" t="b">
        <v>0</v>
      </c>
      <c r="I123" s="82">
        <v>1</v>
      </c>
      <c r="J123" s="108" t="s">
        <v>56</v>
      </c>
      <c r="K123" s="36" t="s">
        <v>2110</v>
      </c>
    </row>
    <row r="124" spans="1:11" ht="19.5" customHeight="1" x14ac:dyDescent="0.25">
      <c r="A124" s="82"/>
      <c r="B124" s="108" t="s">
        <v>1715</v>
      </c>
      <c r="C124" s="53" t="s">
        <v>1244</v>
      </c>
      <c r="D124" s="108">
        <v>2103008000</v>
      </c>
      <c r="E124" s="53" t="s">
        <v>1259</v>
      </c>
      <c r="F124" s="168" t="s">
        <v>2149</v>
      </c>
      <c r="G124" s="82">
        <v>0.75</v>
      </c>
      <c r="H124" s="82" t="b">
        <v>0</v>
      </c>
      <c r="I124" s="82">
        <v>1</v>
      </c>
      <c r="J124" s="108" t="s">
        <v>56</v>
      </c>
      <c r="K124" s="36" t="s">
        <v>2110</v>
      </c>
    </row>
    <row r="125" spans="1:11" ht="19.5" customHeight="1" x14ac:dyDescent="0.25">
      <c r="A125" s="82"/>
      <c r="B125" s="108" t="s">
        <v>1715</v>
      </c>
      <c r="C125" s="53" t="s">
        <v>1244</v>
      </c>
      <c r="D125" s="108">
        <v>2103011000</v>
      </c>
      <c r="E125" s="53" t="s">
        <v>1260</v>
      </c>
      <c r="F125" s="168" t="s">
        <v>2149</v>
      </c>
      <c r="G125" s="82">
        <v>0.75</v>
      </c>
      <c r="H125" s="82" t="b">
        <v>0</v>
      </c>
      <c r="I125" s="82">
        <v>1</v>
      </c>
      <c r="J125" s="108" t="s">
        <v>56</v>
      </c>
      <c r="K125" s="36" t="s">
        <v>2110</v>
      </c>
    </row>
    <row r="126" spans="1:11" ht="19.5" customHeight="1" x14ac:dyDescent="0.25">
      <c r="A126" s="83"/>
      <c r="B126" s="109" t="s">
        <v>1750</v>
      </c>
      <c r="C126" s="54" t="s">
        <v>2141</v>
      </c>
      <c r="D126" s="109">
        <v>2680001000</v>
      </c>
      <c r="E126" s="54" t="s">
        <v>1448</v>
      </c>
      <c r="F126" s="54" t="s">
        <v>1450</v>
      </c>
      <c r="G126" s="83">
        <v>0.75</v>
      </c>
      <c r="H126" s="83" t="b">
        <v>0</v>
      </c>
      <c r="I126" s="83">
        <v>1</v>
      </c>
      <c r="J126" s="109" t="s">
        <v>56</v>
      </c>
      <c r="K126" s="36" t="s">
        <v>2105</v>
      </c>
    </row>
    <row r="127" spans="1:11" ht="19.5" customHeight="1" x14ac:dyDescent="0.25">
      <c r="A127" s="83"/>
      <c r="B127" s="109" t="s">
        <v>1750</v>
      </c>
      <c r="C127" s="54" t="s">
        <v>2141</v>
      </c>
      <c r="D127" s="109">
        <v>2680003000</v>
      </c>
      <c r="E127" s="54" t="s">
        <v>1449</v>
      </c>
      <c r="F127" s="54" t="s">
        <v>1450</v>
      </c>
      <c r="G127" s="83">
        <v>0.75</v>
      </c>
      <c r="H127" s="83" t="b">
        <v>0</v>
      </c>
      <c r="I127" s="83">
        <v>1</v>
      </c>
      <c r="J127" s="109" t="s">
        <v>56</v>
      </c>
      <c r="K127" s="36" t="s">
        <v>2105</v>
      </c>
    </row>
    <row r="128" spans="1:11" ht="19.5" customHeight="1" x14ac:dyDescent="0.25">
      <c r="A128" s="83" t="s">
        <v>2144</v>
      </c>
      <c r="B128" s="109" t="s">
        <v>1750</v>
      </c>
      <c r="C128" s="54" t="s">
        <v>2141</v>
      </c>
      <c r="D128" s="109" t="s">
        <v>2147</v>
      </c>
      <c r="E128" s="54" t="s">
        <v>2142</v>
      </c>
      <c r="F128" s="54" t="s">
        <v>1450</v>
      </c>
      <c r="G128" s="83">
        <v>0.75</v>
      </c>
      <c r="H128" s="83" t="b">
        <v>0</v>
      </c>
      <c r="I128" s="83">
        <v>1</v>
      </c>
      <c r="J128" s="109" t="s">
        <v>56</v>
      </c>
      <c r="K128" s="36" t="s">
        <v>2105</v>
      </c>
    </row>
    <row r="129" spans="1:11" ht="19.5" customHeight="1" x14ac:dyDescent="0.25">
      <c r="A129" s="83" t="s">
        <v>2144</v>
      </c>
      <c r="B129" s="109" t="s">
        <v>1750</v>
      </c>
      <c r="C129" s="54" t="s">
        <v>2141</v>
      </c>
      <c r="D129" s="109" t="s">
        <v>2148</v>
      </c>
      <c r="E129" s="54" t="s">
        <v>2143</v>
      </c>
      <c r="F129" s="54" t="s">
        <v>1450</v>
      </c>
      <c r="G129" s="83">
        <v>0.75</v>
      </c>
      <c r="H129" s="83" t="b">
        <v>0</v>
      </c>
      <c r="I129" s="83">
        <v>1</v>
      </c>
      <c r="J129" s="109" t="s">
        <v>56</v>
      </c>
      <c r="K129" s="36" t="s">
        <v>2105</v>
      </c>
    </row>
    <row r="130" spans="1:11" ht="19.5" customHeight="1" x14ac:dyDescent="0.25">
      <c r="A130" s="83"/>
      <c r="B130" s="109" t="s">
        <v>1750</v>
      </c>
      <c r="C130" s="54" t="s">
        <v>2141</v>
      </c>
      <c r="D130" s="109">
        <v>2810060200</v>
      </c>
      <c r="E130" s="54" t="s">
        <v>1273</v>
      </c>
      <c r="F130" s="54" t="s">
        <v>1450</v>
      </c>
      <c r="G130" s="83">
        <v>0.75</v>
      </c>
      <c r="H130" s="83" t="b">
        <v>0</v>
      </c>
      <c r="I130" s="83">
        <v>1</v>
      </c>
      <c r="J130" s="109" t="s">
        <v>56</v>
      </c>
      <c r="K130" s="36" t="s">
        <v>2105</v>
      </c>
    </row>
    <row r="131" spans="1:11" ht="19.5" customHeight="1" x14ac:dyDescent="0.25">
      <c r="A131" s="84" t="s">
        <v>2007</v>
      </c>
      <c r="B131" s="110" t="s">
        <v>1718</v>
      </c>
      <c r="C131" s="55" t="s">
        <v>1261</v>
      </c>
      <c r="D131" s="110">
        <v>2302002100</v>
      </c>
      <c r="E131" s="55" t="s">
        <v>1265</v>
      </c>
      <c r="F131" s="55" t="s">
        <v>2006</v>
      </c>
      <c r="G131" s="84">
        <v>0.75</v>
      </c>
      <c r="H131" s="84" t="b">
        <v>0</v>
      </c>
      <c r="I131" s="84">
        <v>1</v>
      </c>
      <c r="J131" s="110" t="s">
        <v>56</v>
      </c>
      <c r="K131" s="36" t="s">
        <v>2106</v>
      </c>
    </row>
    <row r="132" spans="1:11" ht="19.5" customHeight="1" x14ac:dyDescent="0.25">
      <c r="A132" s="84" t="s">
        <v>2007</v>
      </c>
      <c r="B132" s="110" t="s">
        <v>1718</v>
      </c>
      <c r="C132" s="55" t="s">
        <v>1261</v>
      </c>
      <c r="D132" s="110">
        <v>2302002200</v>
      </c>
      <c r="E132" s="55" t="s">
        <v>1266</v>
      </c>
      <c r="F132" s="55" t="s">
        <v>2006</v>
      </c>
      <c r="G132" s="84">
        <v>0.75</v>
      </c>
      <c r="H132" s="84" t="b">
        <v>0</v>
      </c>
      <c r="I132" s="84">
        <v>1</v>
      </c>
      <c r="J132" s="110" t="s">
        <v>56</v>
      </c>
      <c r="K132" s="36" t="s">
        <v>2106</v>
      </c>
    </row>
    <row r="133" spans="1:11" ht="19.5" customHeight="1" x14ac:dyDescent="0.25">
      <c r="A133" s="84" t="s">
        <v>2007</v>
      </c>
      <c r="B133" s="110" t="s">
        <v>1718</v>
      </c>
      <c r="C133" s="55" t="s">
        <v>1261</v>
      </c>
      <c r="D133" s="110">
        <v>2302003000</v>
      </c>
      <c r="E133" s="55" t="s">
        <v>1264</v>
      </c>
      <c r="F133" s="55" t="s">
        <v>2006</v>
      </c>
      <c r="G133" s="84">
        <v>0.75</v>
      </c>
      <c r="H133" s="84" t="b">
        <v>0</v>
      </c>
      <c r="I133" s="84">
        <v>1</v>
      </c>
      <c r="J133" s="110" t="s">
        <v>56</v>
      </c>
      <c r="K133" s="36" t="s">
        <v>2106</v>
      </c>
    </row>
    <row r="134" spans="1:11" ht="19.5" customHeight="1" x14ac:dyDescent="0.25">
      <c r="A134" s="84" t="s">
        <v>2007</v>
      </c>
      <c r="B134" s="110" t="s">
        <v>1718</v>
      </c>
      <c r="C134" s="55" t="s">
        <v>1261</v>
      </c>
      <c r="D134" s="110">
        <v>2302003100</v>
      </c>
      <c r="E134" s="55" t="s">
        <v>1263</v>
      </c>
      <c r="F134" s="55" t="s">
        <v>2006</v>
      </c>
      <c r="G134" s="84">
        <v>0.75</v>
      </c>
      <c r="H134" s="84" t="b">
        <v>0</v>
      </c>
      <c r="I134" s="84">
        <v>1</v>
      </c>
      <c r="J134" s="110" t="s">
        <v>56</v>
      </c>
      <c r="K134" s="36" t="s">
        <v>2106</v>
      </c>
    </row>
    <row r="135" spans="1:11" ht="19.5" customHeight="1" x14ac:dyDescent="0.25">
      <c r="A135" s="84" t="s">
        <v>2007</v>
      </c>
      <c r="B135" s="110" t="s">
        <v>1718</v>
      </c>
      <c r="C135" s="55" t="s">
        <v>1261</v>
      </c>
      <c r="D135" s="110">
        <v>2302003200</v>
      </c>
      <c r="E135" s="55" t="s">
        <v>1262</v>
      </c>
      <c r="F135" s="55" t="s">
        <v>2006</v>
      </c>
      <c r="G135" s="84">
        <v>0.75</v>
      </c>
      <c r="H135" s="84" t="b">
        <v>0</v>
      </c>
      <c r="I135" s="84">
        <v>1</v>
      </c>
      <c r="J135" s="110" t="s">
        <v>56</v>
      </c>
      <c r="K135" s="36" t="s">
        <v>2106</v>
      </c>
    </row>
    <row r="136" spans="1:11" ht="19.5" customHeight="1" x14ac:dyDescent="0.25">
      <c r="A136" s="85"/>
      <c r="B136" s="111" t="s">
        <v>1719</v>
      </c>
      <c r="C136" s="56" t="s">
        <v>1267</v>
      </c>
      <c r="D136" s="123">
        <v>2850000010</v>
      </c>
      <c r="E136" s="57" t="s">
        <v>248</v>
      </c>
      <c r="F136" s="56" t="s">
        <v>1462</v>
      </c>
      <c r="G136" s="85">
        <v>0.75</v>
      </c>
      <c r="H136" s="85" t="b">
        <v>0</v>
      </c>
      <c r="I136" s="85">
        <v>1</v>
      </c>
      <c r="J136" s="111" t="s">
        <v>56</v>
      </c>
      <c r="K136" s="36" t="s">
        <v>1676</v>
      </c>
    </row>
    <row r="137" spans="1:11" ht="19.5" customHeight="1" x14ac:dyDescent="0.25">
      <c r="A137" s="85" t="s">
        <v>1773</v>
      </c>
      <c r="B137" s="111" t="s">
        <v>1719</v>
      </c>
      <c r="C137" s="56" t="s">
        <v>1267</v>
      </c>
      <c r="D137" s="123" t="s">
        <v>1994</v>
      </c>
      <c r="E137" s="57" t="s">
        <v>2092</v>
      </c>
      <c r="F137" s="56" t="s">
        <v>1462</v>
      </c>
      <c r="G137" s="85">
        <v>0.75</v>
      </c>
      <c r="H137" s="85" t="b">
        <v>0</v>
      </c>
      <c r="I137" s="85">
        <v>1</v>
      </c>
      <c r="J137" s="111" t="s">
        <v>56</v>
      </c>
      <c r="K137" s="36" t="s">
        <v>1676</v>
      </c>
    </row>
    <row r="138" spans="1:11" ht="19.5" customHeight="1" x14ac:dyDescent="0.25">
      <c r="A138" s="86" t="s">
        <v>1773</v>
      </c>
      <c r="B138" s="112" t="s">
        <v>1720</v>
      </c>
      <c r="C138" s="52" t="s">
        <v>1706</v>
      </c>
      <c r="D138" s="112">
        <v>2311030000</v>
      </c>
      <c r="E138" s="48" t="s">
        <v>1441</v>
      </c>
      <c r="F138" s="48" t="s">
        <v>1461</v>
      </c>
      <c r="G138" s="78">
        <v>0.75</v>
      </c>
      <c r="H138" s="78" t="b">
        <v>0</v>
      </c>
      <c r="I138" s="78">
        <v>1</v>
      </c>
      <c r="J138" s="112" t="s">
        <v>56</v>
      </c>
      <c r="K138" s="36" t="s">
        <v>1704</v>
      </c>
    </row>
    <row r="139" spans="1:11" ht="19.5" customHeight="1" x14ac:dyDescent="0.25">
      <c r="A139" s="86"/>
      <c r="B139" s="112" t="s">
        <v>1720</v>
      </c>
      <c r="C139" s="52" t="s">
        <v>1706</v>
      </c>
      <c r="D139" s="112">
        <v>2525000000</v>
      </c>
      <c r="E139" s="48" t="s">
        <v>1451</v>
      </c>
      <c r="F139" s="48" t="s">
        <v>1461</v>
      </c>
      <c r="G139" s="78">
        <v>0.75</v>
      </c>
      <c r="H139" s="78" t="b">
        <v>0</v>
      </c>
      <c r="I139" s="78">
        <v>1</v>
      </c>
      <c r="J139" s="112" t="s">
        <v>56</v>
      </c>
      <c r="K139" s="36" t="s">
        <v>1704</v>
      </c>
    </row>
    <row r="140" spans="1:11" ht="19.5" customHeight="1" x14ac:dyDescent="0.25">
      <c r="A140" s="86"/>
      <c r="B140" s="112" t="s">
        <v>1720</v>
      </c>
      <c r="C140" s="52" t="s">
        <v>1706</v>
      </c>
      <c r="D140" s="112">
        <v>2461021000</v>
      </c>
      <c r="E140" s="48" t="s">
        <v>1452</v>
      </c>
      <c r="F140" s="48" t="s">
        <v>1461</v>
      </c>
      <c r="G140" s="78">
        <v>0.75</v>
      </c>
      <c r="H140" s="78" t="b">
        <v>0</v>
      </c>
      <c r="I140" s="78">
        <v>1</v>
      </c>
      <c r="J140" s="112" t="s">
        <v>56</v>
      </c>
      <c r="K140" s="36" t="s">
        <v>1704</v>
      </c>
    </row>
    <row r="141" spans="1:11" ht="19.5" customHeight="1" x14ac:dyDescent="0.25">
      <c r="A141" s="86" t="s">
        <v>2144</v>
      </c>
      <c r="B141" s="112" t="s">
        <v>1720</v>
      </c>
      <c r="C141" s="52" t="s">
        <v>1706</v>
      </c>
      <c r="D141" s="112" t="s">
        <v>2145</v>
      </c>
      <c r="E141" s="48" t="s">
        <v>2146</v>
      </c>
      <c r="F141" s="48" t="s">
        <v>1461</v>
      </c>
      <c r="G141" s="78">
        <v>0.75</v>
      </c>
      <c r="H141" s="78" t="b">
        <v>0</v>
      </c>
      <c r="I141" s="78">
        <v>1</v>
      </c>
      <c r="J141" s="112" t="s">
        <v>56</v>
      </c>
      <c r="K141" s="36" t="s">
        <v>1704</v>
      </c>
    </row>
    <row r="142" spans="1:11" ht="19.5" customHeight="1" x14ac:dyDescent="0.25">
      <c r="A142" s="86"/>
      <c r="B142" s="112" t="s">
        <v>1720</v>
      </c>
      <c r="C142" s="52" t="s">
        <v>1706</v>
      </c>
      <c r="D142" s="112">
        <v>2294000000</v>
      </c>
      <c r="E142" s="48" t="s">
        <v>1274</v>
      </c>
      <c r="F142" s="48" t="s">
        <v>1461</v>
      </c>
      <c r="G142" s="78">
        <v>0.75</v>
      </c>
      <c r="H142" s="78" t="b">
        <v>0</v>
      </c>
      <c r="I142" s="78">
        <v>1</v>
      </c>
      <c r="J142" s="112" t="s">
        <v>56</v>
      </c>
      <c r="K142" s="36" t="s">
        <v>1704</v>
      </c>
    </row>
    <row r="143" spans="1:11" ht="19.5" customHeight="1" x14ac:dyDescent="0.25">
      <c r="A143" s="86"/>
      <c r="B143" s="112" t="s">
        <v>1720</v>
      </c>
      <c r="C143" s="52" t="s">
        <v>1706</v>
      </c>
      <c r="D143" s="112">
        <v>2401008000</v>
      </c>
      <c r="E143" s="52" t="s">
        <v>1463</v>
      </c>
      <c r="F143" s="48" t="s">
        <v>1461</v>
      </c>
      <c r="G143" s="78">
        <v>0.75</v>
      </c>
      <c r="H143" s="78" t="b">
        <v>0</v>
      </c>
      <c r="I143" s="78">
        <v>1</v>
      </c>
      <c r="J143" s="112" t="s">
        <v>56</v>
      </c>
      <c r="K143" s="36" t="s">
        <v>1704</v>
      </c>
    </row>
    <row r="144" spans="1:11" ht="19.5" customHeight="1" x14ac:dyDescent="0.25">
      <c r="A144" s="86"/>
      <c r="B144" s="112" t="s">
        <v>1720</v>
      </c>
      <c r="C144" s="52" t="s">
        <v>1706</v>
      </c>
      <c r="D144" s="112">
        <v>2296000000</v>
      </c>
      <c r="E144" s="52" t="s">
        <v>1453</v>
      </c>
      <c r="F144" s="48" t="s">
        <v>1461</v>
      </c>
      <c r="G144" s="78">
        <v>0.75</v>
      </c>
      <c r="H144" s="78" t="b">
        <v>0</v>
      </c>
      <c r="I144" s="78">
        <v>1</v>
      </c>
      <c r="J144" s="112" t="s">
        <v>56</v>
      </c>
      <c r="K144" s="36" t="s">
        <v>1704</v>
      </c>
    </row>
    <row r="145" spans="1:11" ht="19.5" customHeight="1" x14ac:dyDescent="0.25">
      <c r="A145" s="87"/>
      <c r="B145" s="113" t="s">
        <v>1721</v>
      </c>
      <c r="C145" s="39" t="s">
        <v>1788</v>
      </c>
      <c r="D145" s="124">
        <v>2801000003</v>
      </c>
      <c r="E145" s="58" t="s">
        <v>1850</v>
      </c>
      <c r="F145" s="58" t="s">
        <v>1245</v>
      </c>
      <c r="G145" s="154">
        <v>0.75</v>
      </c>
      <c r="H145" s="154" t="b">
        <v>0</v>
      </c>
      <c r="I145" s="154">
        <v>1</v>
      </c>
      <c r="J145" s="113" t="s">
        <v>56</v>
      </c>
      <c r="K145" s="36" t="s">
        <v>1686</v>
      </c>
    </row>
    <row r="146" spans="1:11" ht="19.5" customHeight="1" x14ac:dyDescent="0.25">
      <c r="A146" s="87" t="s">
        <v>1885</v>
      </c>
      <c r="B146" s="113" t="s">
        <v>1721</v>
      </c>
      <c r="C146" s="39" t="s">
        <v>1788</v>
      </c>
      <c r="D146" s="124">
        <v>2801700001</v>
      </c>
      <c r="E146" s="58" t="s">
        <v>1826</v>
      </c>
      <c r="F146" s="58" t="s">
        <v>1245</v>
      </c>
      <c r="G146" s="154">
        <v>0.75</v>
      </c>
      <c r="H146" s="154" t="b">
        <v>0</v>
      </c>
      <c r="I146" s="154">
        <v>1</v>
      </c>
      <c r="J146" s="113" t="s">
        <v>56</v>
      </c>
      <c r="K146" s="36" t="s">
        <v>1686</v>
      </c>
    </row>
    <row r="147" spans="1:11" ht="19.5" customHeight="1" x14ac:dyDescent="0.25">
      <c r="A147" s="87" t="s">
        <v>1885</v>
      </c>
      <c r="B147" s="113" t="s">
        <v>1721</v>
      </c>
      <c r="C147" s="39" t="s">
        <v>1788</v>
      </c>
      <c r="D147" s="124">
        <v>2801700002</v>
      </c>
      <c r="E147" s="58" t="s">
        <v>1827</v>
      </c>
      <c r="F147" s="58" t="s">
        <v>1245</v>
      </c>
      <c r="G147" s="154">
        <v>0.75</v>
      </c>
      <c r="H147" s="154" t="b">
        <v>0</v>
      </c>
      <c r="I147" s="154">
        <v>1</v>
      </c>
      <c r="J147" s="113" t="s">
        <v>56</v>
      </c>
      <c r="K147" s="36" t="s">
        <v>1686</v>
      </c>
    </row>
    <row r="148" spans="1:11" ht="19.5" customHeight="1" x14ac:dyDescent="0.25">
      <c r="A148" s="87" t="s">
        <v>1885</v>
      </c>
      <c r="B148" s="113" t="s">
        <v>1721</v>
      </c>
      <c r="C148" s="39" t="s">
        <v>1788</v>
      </c>
      <c r="D148" s="124">
        <v>2801700003</v>
      </c>
      <c r="E148" s="58" t="s">
        <v>1828</v>
      </c>
      <c r="F148" s="58" t="s">
        <v>1245</v>
      </c>
      <c r="G148" s="154">
        <v>0.75</v>
      </c>
      <c r="H148" s="154" t="b">
        <v>0</v>
      </c>
      <c r="I148" s="154">
        <v>1</v>
      </c>
      <c r="J148" s="113" t="s">
        <v>56</v>
      </c>
      <c r="K148" s="36" t="s">
        <v>1686</v>
      </c>
    </row>
    <row r="149" spans="1:11" ht="19.5" customHeight="1" x14ac:dyDescent="0.25">
      <c r="A149" s="87" t="s">
        <v>1885</v>
      </c>
      <c r="B149" s="113" t="s">
        <v>1721</v>
      </c>
      <c r="C149" s="39" t="s">
        <v>1788</v>
      </c>
      <c r="D149" s="124">
        <v>2801700004</v>
      </c>
      <c r="E149" s="58" t="s">
        <v>1829</v>
      </c>
      <c r="F149" s="58" t="s">
        <v>1245</v>
      </c>
      <c r="G149" s="154">
        <v>0.75</v>
      </c>
      <c r="H149" s="154" t="b">
        <v>0</v>
      </c>
      <c r="I149" s="154">
        <v>1</v>
      </c>
      <c r="J149" s="113" t="s">
        <v>56</v>
      </c>
      <c r="K149" s="36" t="s">
        <v>1686</v>
      </c>
    </row>
    <row r="150" spans="1:11" ht="19.5" customHeight="1" x14ac:dyDescent="0.25">
      <c r="A150" s="87" t="s">
        <v>1885</v>
      </c>
      <c r="B150" s="113" t="s">
        <v>1721</v>
      </c>
      <c r="C150" s="39" t="s">
        <v>1788</v>
      </c>
      <c r="D150" s="124">
        <v>2801700005</v>
      </c>
      <c r="E150" s="58" t="s">
        <v>1830</v>
      </c>
      <c r="F150" s="58" t="s">
        <v>1245</v>
      </c>
      <c r="G150" s="154">
        <v>0.75</v>
      </c>
      <c r="H150" s="154" t="b">
        <v>0</v>
      </c>
      <c r="I150" s="154">
        <v>1</v>
      </c>
      <c r="J150" s="113" t="s">
        <v>56</v>
      </c>
      <c r="K150" s="36" t="s">
        <v>1686</v>
      </c>
    </row>
    <row r="151" spans="1:11" ht="19.5" customHeight="1" x14ac:dyDescent="0.25">
      <c r="A151" s="87" t="s">
        <v>1885</v>
      </c>
      <c r="B151" s="113" t="s">
        <v>1721</v>
      </c>
      <c r="C151" s="39" t="s">
        <v>1788</v>
      </c>
      <c r="D151" s="124">
        <v>2801700006</v>
      </c>
      <c r="E151" s="58" t="s">
        <v>1831</v>
      </c>
      <c r="F151" s="58" t="s">
        <v>1245</v>
      </c>
      <c r="G151" s="154">
        <v>0.75</v>
      </c>
      <c r="H151" s="154" t="b">
        <v>0</v>
      </c>
      <c r="I151" s="154">
        <v>1</v>
      </c>
      <c r="J151" s="113" t="s">
        <v>56</v>
      </c>
      <c r="K151" s="36" t="s">
        <v>1686</v>
      </c>
    </row>
    <row r="152" spans="1:11" ht="19.5" customHeight="1" x14ac:dyDescent="0.25">
      <c r="A152" s="87" t="s">
        <v>1885</v>
      </c>
      <c r="B152" s="113" t="s">
        <v>1721</v>
      </c>
      <c r="C152" s="39" t="s">
        <v>1788</v>
      </c>
      <c r="D152" s="124">
        <v>2801700007</v>
      </c>
      <c r="E152" s="58" t="s">
        <v>1832</v>
      </c>
      <c r="F152" s="58" t="s">
        <v>1245</v>
      </c>
      <c r="G152" s="154">
        <v>0.75</v>
      </c>
      <c r="H152" s="154" t="b">
        <v>0</v>
      </c>
      <c r="I152" s="154">
        <v>1</v>
      </c>
      <c r="J152" s="113" t="s">
        <v>56</v>
      </c>
      <c r="K152" s="36" t="s">
        <v>1686</v>
      </c>
    </row>
    <row r="153" spans="1:11" ht="19.5" customHeight="1" x14ac:dyDescent="0.25">
      <c r="A153" s="87" t="s">
        <v>1885</v>
      </c>
      <c r="B153" s="113" t="s">
        <v>1721</v>
      </c>
      <c r="C153" s="39" t="s">
        <v>1788</v>
      </c>
      <c r="D153" s="124">
        <v>2801700010</v>
      </c>
      <c r="E153" s="58" t="s">
        <v>1833</v>
      </c>
      <c r="F153" s="58" t="s">
        <v>1245</v>
      </c>
      <c r="G153" s="154">
        <v>0.75</v>
      </c>
      <c r="H153" s="154" t="b">
        <v>0</v>
      </c>
      <c r="I153" s="154">
        <v>1</v>
      </c>
      <c r="J153" s="113" t="s">
        <v>56</v>
      </c>
      <c r="K153" s="36" t="s">
        <v>1686</v>
      </c>
    </row>
    <row r="154" spans="1:11" ht="19.5" customHeight="1" x14ac:dyDescent="0.25">
      <c r="A154" s="87" t="s">
        <v>1885</v>
      </c>
      <c r="B154" s="113" t="s">
        <v>1721</v>
      </c>
      <c r="C154" s="39" t="s">
        <v>1788</v>
      </c>
      <c r="D154" s="124">
        <v>2801700011</v>
      </c>
      <c r="E154" s="58" t="s">
        <v>1834</v>
      </c>
      <c r="F154" s="58" t="s">
        <v>1245</v>
      </c>
      <c r="G154" s="154">
        <v>0.75</v>
      </c>
      <c r="H154" s="154" t="b">
        <v>0</v>
      </c>
      <c r="I154" s="154">
        <v>1</v>
      </c>
      <c r="J154" s="113" t="s">
        <v>56</v>
      </c>
      <c r="K154" s="36" t="s">
        <v>1686</v>
      </c>
    </row>
    <row r="155" spans="1:11" ht="19.5" customHeight="1" x14ac:dyDescent="0.25">
      <c r="A155" s="87" t="s">
        <v>1885</v>
      </c>
      <c r="B155" s="113" t="s">
        <v>1721</v>
      </c>
      <c r="C155" s="39" t="s">
        <v>1788</v>
      </c>
      <c r="D155" s="124">
        <v>2801700012</v>
      </c>
      <c r="E155" s="58" t="s">
        <v>1835</v>
      </c>
      <c r="F155" s="58" t="s">
        <v>1245</v>
      </c>
      <c r="G155" s="154">
        <v>0.75</v>
      </c>
      <c r="H155" s="154" t="b">
        <v>0</v>
      </c>
      <c r="I155" s="154">
        <v>1</v>
      </c>
      <c r="J155" s="113" t="s">
        <v>56</v>
      </c>
      <c r="K155" s="36" t="s">
        <v>1686</v>
      </c>
    </row>
    <row r="156" spans="1:11" ht="19.5" customHeight="1" x14ac:dyDescent="0.25">
      <c r="A156" s="87" t="s">
        <v>1885</v>
      </c>
      <c r="B156" s="113" t="s">
        <v>1721</v>
      </c>
      <c r="C156" s="39" t="s">
        <v>1788</v>
      </c>
      <c r="D156" s="124">
        <v>2801700013</v>
      </c>
      <c r="E156" s="58" t="s">
        <v>1836</v>
      </c>
      <c r="F156" s="58" t="s">
        <v>1245</v>
      </c>
      <c r="G156" s="154">
        <v>0.75</v>
      </c>
      <c r="H156" s="154" t="b">
        <v>0</v>
      </c>
      <c r="I156" s="154">
        <v>1</v>
      </c>
      <c r="J156" s="113" t="s">
        <v>56</v>
      </c>
      <c r="K156" s="36" t="s">
        <v>1686</v>
      </c>
    </row>
    <row r="157" spans="1:11" ht="19.5" customHeight="1" x14ac:dyDescent="0.25">
      <c r="A157" s="87" t="s">
        <v>1885</v>
      </c>
      <c r="B157" s="113" t="s">
        <v>1721</v>
      </c>
      <c r="C157" s="39" t="s">
        <v>1788</v>
      </c>
      <c r="D157" s="124">
        <v>2801700014</v>
      </c>
      <c r="E157" s="58" t="s">
        <v>1837</v>
      </c>
      <c r="F157" s="58" t="s">
        <v>1245</v>
      </c>
      <c r="G157" s="154">
        <v>0.75</v>
      </c>
      <c r="H157" s="154" t="b">
        <v>0</v>
      </c>
      <c r="I157" s="154">
        <v>1</v>
      </c>
      <c r="J157" s="113" t="s">
        <v>56</v>
      </c>
      <c r="K157" s="36" t="s">
        <v>1686</v>
      </c>
    </row>
    <row r="158" spans="1:11" ht="19.5" customHeight="1" x14ac:dyDescent="0.25">
      <c r="A158" s="87" t="s">
        <v>1885</v>
      </c>
      <c r="B158" s="113" t="s">
        <v>1721</v>
      </c>
      <c r="C158" s="39" t="s">
        <v>1788</v>
      </c>
      <c r="D158" s="124">
        <v>2801700015</v>
      </c>
      <c r="E158" s="58" t="s">
        <v>1838</v>
      </c>
      <c r="F158" s="58" t="s">
        <v>1245</v>
      </c>
      <c r="G158" s="154">
        <v>0.75</v>
      </c>
      <c r="H158" s="154" t="b">
        <v>0</v>
      </c>
      <c r="I158" s="154">
        <v>1</v>
      </c>
      <c r="J158" s="113" t="s">
        <v>56</v>
      </c>
      <c r="K158" s="36" t="s">
        <v>1686</v>
      </c>
    </row>
    <row r="159" spans="1:11" ht="19.5" customHeight="1" x14ac:dyDescent="0.25">
      <c r="A159" s="87" t="s">
        <v>1885</v>
      </c>
      <c r="B159" s="113" t="s">
        <v>1721</v>
      </c>
      <c r="C159" s="39" t="s">
        <v>1788</v>
      </c>
      <c r="D159" s="124">
        <v>2801700099</v>
      </c>
      <c r="E159" s="58" t="s">
        <v>1839</v>
      </c>
      <c r="F159" s="58" t="s">
        <v>1245</v>
      </c>
      <c r="G159" s="154">
        <v>0.75</v>
      </c>
      <c r="H159" s="154" t="b">
        <v>0</v>
      </c>
      <c r="I159" s="154">
        <v>1</v>
      </c>
      <c r="J159" s="113" t="s">
        <v>56</v>
      </c>
      <c r="K159" s="36" t="s">
        <v>1686</v>
      </c>
    </row>
    <row r="160" spans="1:11" ht="19.5" customHeight="1" x14ac:dyDescent="0.25">
      <c r="A160" s="87" t="s">
        <v>1885</v>
      </c>
      <c r="B160" s="113" t="s">
        <v>1721</v>
      </c>
      <c r="C160" s="39" t="s">
        <v>1788</v>
      </c>
      <c r="D160" s="124">
        <v>2461850002</v>
      </c>
      <c r="E160" s="58" t="s">
        <v>1840</v>
      </c>
      <c r="F160" s="58" t="s">
        <v>1245</v>
      </c>
      <c r="G160" s="154">
        <v>0.75</v>
      </c>
      <c r="H160" s="154" t="b">
        <v>0</v>
      </c>
      <c r="I160" s="154">
        <v>1</v>
      </c>
      <c r="J160" s="113" t="s">
        <v>56</v>
      </c>
      <c r="K160" s="36" t="s">
        <v>1686</v>
      </c>
    </row>
    <row r="161" spans="1:11" ht="19.5" customHeight="1" x14ac:dyDescent="0.25">
      <c r="A161" s="87" t="s">
        <v>1885</v>
      </c>
      <c r="B161" s="113" t="s">
        <v>1721</v>
      </c>
      <c r="C161" s="39" t="s">
        <v>1788</v>
      </c>
      <c r="D161" s="124">
        <v>2461850003</v>
      </c>
      <c r="E161" s="58" t="s">
        <v>1841</v>
      </c>
      <c r="F161" s="58" t="s">
        <v>1245</v>
      </c>
      <c r="G161" s="154">
        <v>0.75</v>
      </c>
      <c r="H161" s="154" t="b">
        <v>0</v>
      </c>
      <c r="I161" s="154">
        <v>1</v>
      </c>
      <c r="J161" s="113" t="s">
        <v>56</v>
      </c>
      <c r="K161" s="36" t="s">
        <v>1686</v>
      </c>
    </row>
    <row r="162" spans="1:11" ht="19.5" customHeight="1" x14ac:dyDescent="0.25">
      <c r="A162" s="87" t="s">
        <v>1885</v>
      </c>
      <c r="B162" s="113" t="s">
        <v>1721</v>
      </c>
      <c r="C162" s="39" t="s">
        <v>1788</v>
      </c>
      <c r="D162" s="124">
        <v>2461850004</v>
      </c>
      <c r="E162" s="58" t="s">
        <v>1842</v>
      </c>
      <c r="F162" s="58" t="s">
        <v>1245</v>
      </c>
      <c r="G162" s="154">
        <v>0.75</v>
      </c>
      <c r="H162" s="154" t="b">
        <v>0</v>
      </c>
      <c r="I162" s="154">
        <v>1</v>
      </c>
      <c r="J162" s="113" t="s">
        <v>56</v>
      </c>
      <c r="K162" s="36" t="s">
        <v>1686</v>
      </c>
    </row>
    <row r="163" spans="1:11" ht="19.5" customHeight="1" x14ac:dyDescent="0.25">
      <c r="A163" s="87"/>
      <c r="B163" s="113" t="s">
        <v>1721</v>
      </c>
      <c r="C163" s="39" t="s">
        <v>1788</v>
      </c>
      <c r="D163" s="120">
        <v>2461850001</v>
      </c>
      <c r="E163" s="37" t="s">
        <v>195</v>
      </c>
      <c r="F163" s="58" t="s">
        <v>1245</v>
      </c>
      <c r="G163" s="154">
        <v>0.75</v>
      </c>
      <c r="H163" s="154" t="b">
        <v>0</v>
      </c>
      <c r="I163" s="154">
        <v>1</v>
      </c>
      <c r="J163" s="113" t="s">
        <v>56</v>
      </c>
      <c r="K163" s="36" t="s">
        <v>1686</v>
      </c>
    </row>
    <row r="164" spans="1:11" ht="19.5" customHeight="1" x14ac:dyDescent="0.25">
      <c r="A164" s="87"/>
      <c r="B164" s="113" t="s">
        <v>1721</v>
      </c>
      <c r="C164" s="39" t="s">
        <v>1788</v>
      </c>
      <c r="D164" s="113">
        <v>2461850005</v>
      </c>
      <c r="E164" s="37" t="s">
        <v>196</v>
      </c>
      <c r="F164" s="58" t="s">
        <v>1245</v>
      </c>
      <c r="G164" s="154">
        <v>0.75</v>
      </c>
      <c r="H164" s="154" t="b">
        <v>0</v>
      </c>
      <c r="I164" s="154">
        <v>1</v>
      </c>
      <c r="J164" s="113" t="s">
        <v>56</v>
      </c>
      <c r="K164" s="36" t="s">
        <v>1686</v>
      </c>
    </row>
    <row r="165" spans="1:11" ht="19.5" customHeight="1" x14ac:dyDescent="0.25">
      <c r="A165" s="87"/>
      <c r="B165" s="113" t="s">
        <v>1721</v>
      </c>
      <c r="C165" s="39" t="s">
        <v>1788</v>
      </c>
      <c r="D165" s="113">
        <v>2461850006</v>
      </c>
      <c r="E165" s="37" t="s">
        <v>197</v>
      </c>
      <c r="F165" s="58" t="s">
        <v>1245</v>
      </c>
      <c r="G165" s="154">
        <v>0.75</v>
      </c>
      <c r="H165" s="154" t="b">
        <v>0</v>
      </c>
      <c r="I165" s="154">
        <v>1</v>
      </c>
      <c r="J165" s="113" t="s">
        <v>56</v>
      </c>
      <c r="K165" s="36" t="s">
        <v>1686</v>
      </c>
    </row>
    <row r="166" spans="1:11" ht="19.5" customHeight="1" x14ac:dyDescent="0.25">
      <c r="A166" s="87"/>
      <c r="B166" s="113" t="s">
        <v>1721</v>
      </c>
      <c r="C166" s="39" t="s">
        <v>1788</v>
      </c>
      <c r="D166" s="113">
        <v>2461850009</v>
      </c>
      <c r="E166" s="37" t="s">
        <v>198</v>
      </c>
      <c r="F166" s="58" t="s">
        <v>1245</v>
      </c>
      <c r="G166" s="154">
        <v>0.75</v>
      </c>
      <c r="H166" s="154" t="b">
        <v>0</v>
      </c>
      <c r="I166" s="154">
        <v>1</v>
      </c>
      <c r="J166" s="113" t="s">
        <v>56</v>
      </c>
      <c r="K166" s="36" t="s">
        <v>1686</v>
      </c>
    </row>
    <row r="167" spans="1:11" ht="19.5" customHeight="1" x14ac:dyDescent="0.25">
      <c r="A167" s="87" t="s">
        <v>1885</v>
      </c>
      <c r="B167" s="113" t="s">
        <v>1721</v>
      </c>
      <c r="C167" s="39" t="s">
        <v>1788</v>
      </c>
      <c r="D167" s="124">
        <v>2461850051</v>
      </c>
      <c r="E167" s="58" t="s">
        <v>1843</v>
      </c>
      <c r="F167" s="58" t="s">
        <v>1245</v>
      </c>
      <c r="G167" s="154">
        <v>0.75</v>
      </c>
      <c r="H167" s="154" t="b">
        <v>0</v>
      </c>
      <c r="I167" s="154">
        <v>1</v>
      </c>
      <c r="J167" s="113" t="s">
        <v>56</v>
      </c>
      <c r="K167" s="36" t="s">
        <v>1686</v>
      </c>
    </row>
    <row r="168" spans="1:11" ht="19.5" customHeight="1" x14ac:dyDescent="0.25">
      <c r="A168" s="87" t="s">
        <v>1885</v>
      </c>
      <c r="B168" s="113" t="s">
        <v>1721</v>
      </c>
      <c r="C168" s="39" t="s">
        <v>1788</v>
      </c>
      <c r="D168" s="124">
        <v>2461850052</v>
      </c>
      <c r="E168" s="58" t="s">
        <v>1844</v>
      </c>
      <c r="F168" s="58" t="s">
        <v>1245</v>
      </c>
      <c r="G168" s="154">
        <v>0.75</v>
      </c>
      <c r="H168" s="154" t="b">
        <v>0</v>
      </c>
      <c r="I168" s="154">
        <v>1</v>
      </c>
      <c r="J168" s="113" t="s">
        <v>56</v>
      </c>
      <c r="K168" s="36" t="s">
        <v>1686</v>
      </c>
    </row>
    <row r="169" spans="1:11" ht="19.5" customHeight="1" x14ac:dyDescent="0.25">
      <c r="A169" s="87" t="s">
        <v>1885</v>
      </c>
      <c r="B169" s="113" t="s">
        <v>1721</v>
      </c>
      <c r="C169" s="39" t="s">
        <v>1788</v>
      </c>
      <c r="D169" s="124">
        <v>2461850053</v>
      </c>
      <c r="E169" s="58" t="s">
        <v>1845</v>
      </c>
      <c r="F169" s="58" t="s">
        <v>1245</v>
      </c>
      <c r="G169" s="154">
        <v>0.75</v>
      </c>
      <c r="H169" s="154" t="b">
        <v>0</v>
      </c>
      <c r="I169" s="154">
        <v>1</v>
      </c>
      <c r="J169" s="113" t="s">
        <v>56</v>
      </c>
      <c r="K169" s="36" t="s">
        <v>1686</v>
      </c>
    </row>
    <row r="170" spans="1:11" ht="19.5" customHeight="1" x14ac:dyDescent="0.25">
      <c r="A170" s="87" t="s">
        <v>1885</v>
      </c>
      <c r="B170" s="113" t="s">
        <v>1721</v>
      </c>
      <c r="C170" s="39" t="s">
        <v>1788</v>
      </c>
      <c r="D170" s="124">
        <v>2461850054</v>
      </c>
      <c r="E170" s="58" t="s">
        <v>1846</v>
      </c>
      <c r="F170" s="58" t="s">
        <v>1245</v>
      </c>
      <c r="G170" s="154">
        <v>0.75</v>
      </c>
      <c r="H170" s="154" t="b">
        <v>0</v>
      </c>
      <c r="I170" s="154">
        <v>1</v>
      </c>
      <c r="J170" s="113" t="s">
        <v>56</v>
      </c>
      <c r="K170" s="36" t="s">
        <v>1686</v>
      </c>
    </row>
    <row r="171" spans="1:11" ht="19.5" customHeight="1" x14ac:dyDescent="0.25">
      <c r="A171" s="87" t="s">
        <v>1885</v>
      </c>
      <c r="B171" s="113" t="s">
        <v>1721</v>
      </c>
      <c r="C171" s="39" t="s">
        <v>1788</v>
      </c>
      <c r="D171" s="124">
        <v>2461850055</v>
      </c>
      <c r="E171" s="58" t="s">
        <v>1847</v>
      </c>
      <c r="F171" s="58" t="s">
        <v>1245</v>
      </c>
      <c r="G171" s="154">
        <v>0.75</v>
      </c>
      <c r="H171" s="154" t="b">
        <v>0</v>
      </c>
      <c r="I171" s="154">
        <v>1</v>
      </c>
      <c r="J171" s="113" t="s">
        <v>56</v>
      </c>
      <c r="K171" s="36" t="s">
        <v>1686</v>
      </c>
    </row>
    <row r="172" spans="1:11" ht="19.5" customHeight="1" x14ac:dyDescent="0.25">
      <c r="A172" s="87" t="s">
        <v>1885</v>
      </c>
      <c r="B172" s="113" t="s">
        <v>1721</v>
      </c>
      <c r="C172" s="39" t="s">
        <v>1788</v>
      </c>
      <c r="D172" s="124">
        <v>2461850056</v>
      </c>
      <c r="E172" s="58" t="s">
        <v>1848</v>
      </c>
      <c r="F172" s="58" t="s">
        <v>1245</v>
      </c>
      <c r="G172" s="154">
        <v>0.75</v>
      </c>
      <c r="H172" s="154" t="b">
        <v>0</v>
      </c>
      <c r="I172" s="154">
        <v>1</v>
      </c>
      <c r="J172" s="113" t="s">
        <v>56</v>
      </c>
      <c r="K172" s="36" t="s">
        <v>1686</v>
      </c>
    </row>
    <row r="173" spans="1:11" ht="19.5" customHeight="1" x14ac:dyDescent="0.25">
      <c r="A173" s="87" t="s">
        <v>1885</v>
      </c>
      <c r="B173" s="113" t="s">
        <v>1721</v>
      </c>
      <c r="C173" s="39" t="s">
        <v>1788</v>
      </c>
      <c r="D173" s="124">
        <v>2461850099</v>
      </c>
      <c r="E173" s="58" t="s">
        <v>1849</v>
      </c>
      <c r="F173" s="58" t="s">
        <v>1245</v>
      </c>
      <c r="G173" s="154">
        <v>0.75</v>
      </c>
      <c r="H173" s="154" t="b">
        <v>0</v>
      </c>
      <c r="I173" s="154">
        <v>1</v>
      </c>
      <c r="J173" s="113" t="s">
        <v>56</v>
      </c>
      <c r="K173" s="36" t="s">
        <v>1686</v>
      </c>
    </row>
    <row r="174" spans="1:11" ht="19.5" customHeight="1" x14ac:dyDescent="0.25">
      <c r="A174" s="74" t="s">
        <v>1885</v>
      </c>
      <c r="B174" s="114" t="s">
        <v>1722</v>
      </c>
      <c r="C174" s="59" t="s">
        <v>1268</v>
      </c>
      <c r="D174" s="114" t="s">
        <v>1874</v>
      </c>
      <c r="E174" s="59" t="s">
        <v>1875</v>
      </c>
      <c r="F174" s="59" t="s">
        <v>1999</v>
      </c>
      <c r="G174" s="74">
        <v>0.75</v>
      </c>
      <c r="H174" s="74" t="b">
        <v>0</v>
      </c>
      <c r="I174" s="74">
        <v>1</v>
      </c>
      <c r="J174" s="114" t="s">
        <v>56</v>
      </c>
      <c r="K174" s="36" t="s">
        <v>2107</v>
      </c>
    </row>
    <row r="175" spans="1:11" ht="19.5" customHeight="1" x14ac:dyDescent="0.25">
      <c r="A175" s="74" t="s">
        <v>1885</v>
      </c>
      <c r="B175" s="114" t="s">
        <v>1722</v>
      </c>
      <c r="C175" s="59" t="s">
        <v>1268</v>
      </c>
      <c r="D175" s="114" t="s">
        <v>1877</v>
      </c>
      <c r="E175" s="59" t="s">
        <v>1878</v>
      </c>
      <c r="F175" s="59" t="s">
        <v>1999</v>
      </c>
      <c r="G175" s="74">
        <v>0.75</v>
      </c>
      <c r="H175" s="74" t="b">
        <v>0</v>
      </c>
      <c r="I175" s="74">
        <v>1</v>
      </c>
      <c r="J175" s="114" t="s">
        <v>56</v>
      </c>
      <c r="K175" s="36" t="s">
        <v>2107</v>
      </c>
    </row>
    <row r="176" spans="1:11" ht="19.5" customHeight="1" x14ac:dyDescent="0.25">
      <c r="A176" s="74"/>
      <c r="B176" s="114" t="s">
        <v>1722</v>
      </c>
      <c r="C176" s="59" t="s">
        <v>1268</v>
      </c>
      <c r="D176" s="114">
        <v>2862000000</v>
      </c>
      <c r="E176" s="59" t="s">
        <v>1454</v>
      </c>
      <c r="F176" s="59" t="s">
        <v>1999</v>
      </c>
      <c r="G176" s="74">
        <v>0.75</v>
      </c>
      <c r="H176" s="74" t="b">
        <v>0</v>
      </c>
      <c r="I176" s="74">
        <v>1</v>
      </c>
      <c r="J176" s="114" t="s">
        <v>56</v>
      </c>
      <c r="K176" s="36" t="s">
        <v>2107</v>
      </c>
    </row>
    <row r="177" spans="1:11" ht="19.5" customHeight="1" x14ac:dyDescent="0.25">
      <c r="A177" s="74" t="s">
        <v>1995</v>
      </c>
      <c r="B177" s="114" t="s">
        <v>1722</v>
      </c>
      <c r="C177" s="59" t="s">
        <v>1268</v>
      </c>
      <c r="D177" s="114">
        <v>2415000000</v>
      </c>
      <c r="E177" s="59" t="s">
        <v>1442</v>
      </c>
      <c r="F177" s="59" t="s">
        <v>1999</v>
      </c>
      <c r="G177" s="74">
        <v>0.75</v>
      </c>
      <c r="H177" s="74" t="b">
        <v>0</v>
      </c>
      <c r="I177" s="74">
        <v>1</v>
      </c>
      <c r="J177" s="114" t="s">
        <v>56</v>
      </c>
      <c r="K177" s="36" t="s">
        <v>2107</v>
      </c>
    </row>
    <row r="178" spans="1:11" ht="19.5" customHeight="1" x14ac:dyDescent="0.25">
      <c r="A178" s="74" t="s">
        <v>1995</v>
      </c>
      <c r="B178" s="114" t="s">
        <v>1722</v>
      </c>
      <c r="C178" s="59" t="s">
        <v>1268</v>
      </c>
      <c r="D178" s="114">
        <v>2861000000</v>
      </c>
      <c r="E178" s="59" t="s">
        <v>1717</v>
      </c>
      <c r="F178" s="59" t="s">
        <v>1999</v>
      </c>
      <c r="G178" s="74">
        <v>0.75</v>
      </c>
      <c r="H178" s="74" t="b">
        <v>0</v>
      </c>
      <c r="I178" s="74">
        <v>1</v>
      </c>
      <c r="J178" s="114" t="s">
        <v>56</v>
      </c>
      <c r="K178" s="36" t="s">
        <v>2107</v>
      </c>
    </row>
    <row r="179" spans="1:11" ht="19.5" customHeight="1" x14ac:dyDescent="0.25">
      <c r="A179" s="74" t="s">
        <v>1995</v>
      </c>
      <c r="B179" s="114" t="s">
        <v>1722</v>
      </c>
      <c r="C179" s="59" t="s">
        <v>1268</v>
      </c>
      <c r="D179" s="114" t="s">
        <v>2085</v>
      </c>
      <c r="E179" s="59" t="s">
        <v>1443</v>
      </c>
      <c r="F179" s="59" t="s">
        <v>1999</v>
      </c>
      <c r="G179" s="74">
        <v>0.75</v>
      </c>
      <c r="H179" s="74" t="b">
        <v>0</v>
      </c>
      <c r="I179" s="74">
        <v>1</v>
      </c>
      <c r="J179" s="114" t="s">
        <v>56</v>
      </c>
      <c r="K179" s="36" t="s">
        <v>2107</v>
      </c>
    </row>
    <row r="180" spans="1:11" ht="19.5" customHeight="1" x14ac:dyDescent="0.25">
      <c r="A180" s="74" t="s">
        <v>1995</v>
      </c>
      <c r="B180" s="114" t="s">
        <v>1722</v>
      </c>
      <c r="C180" s="59" t="s">
        <v>1268</v>
      </c>
      <c r="D180" s="114">
        <v>2851001000</v>
      </c>
      <c r="E180" s="59" t="s">
        <v>1444</v>
      </c>
      <c r="F180" s="59" t="s">
        <v>1999</v>
      </c>
      <c r="G180" s="74">
        <v>0.75</v>
      </c>
      <c r="H180" s="74" t="b">
        <v>0</v>
      </c>
      <c r="I180" s="74">
        <v>1</v>
      </c>
      <c r="J180" s="114" t="s">
        <v>56</v>
      </c>
      <c r="K180" s="36" t="s">
        <v>2107</v>
      </c>
    </row>
    <row r="181" spans="1:11" ht="19.5" customHeight="1" x14ac:dyDescent="0.25">
      <c r="A181" s="74" t="s">
        <v>1995</v>
      </c>
      <c r="B181" s="114" t="s">
        <v>1722</v>
      </c>
      <c r="C181" s="59" t="s">
        <v>1268</v>
      </c>
      <c r="D181" s="114" t="s">
        <v>1876</v>
      </c>
      <c r="E181" s="59" t="s">
        <v>1445</v>
      </c>
      <c r="F181" s="59" t="s">
        <v>1999</v>
      </c>
      <c r="G181" s="74">
        <v>0.75</v>
      </c>
      <c r="H181" s="74" t="b">
        <v>0</v>
      </c>
      <c r="I181" s="74">
        <v>1</v>
      </c>
      <c r="J181" s="114" t="s">
        <v>56</v>
      </c>
      <c r="K181" s="36" t="s">
        <v>2107</v>
      </c>
    </row>
    <row r="182" spans="1:11" ht="19.5" customHeight="1" x14ac:dyDescent="0.25">
      <c r="A182" s="74"/>
      <c r="B182" s="114" t="s">
        <v>1722</v>
      </c>
      <c r="C182" s="59" t="s">
        <v>1268</v>
      </c>
      <c r="D182" s="114">
        <v>2460900000</v>
      </c>
      <c r="E182" s="59" t="s">
        <v>191</v>
      </c>
      <c r="F182" s="59" t="s">
        <v>1999</v>
      </c>
      <c r="G182" s="74">
        <v>0.75</v>
      </c>
      <c r="H182" s="74" t="b">
        <v>0</v>
      </c>
      <c r="I182" s="74">
        <v>1</v>
      </c>
      <c r="J182" s="114" t="s">
        <v>56</v>
      </c>
      <c r="K182" s="36" t="s">
        <v>2107</v>
      </c>
    </row>
    <row r="183" spans="1:11" ht="19.5" customHeight="1" x14ac:dyDescent="0.25">
      <c r="A183" s="74" t="s">
        <v>2027</v>
      </c>
      <c r="B183" s="114" t="s">
        <v>1722</v>
      </c>
      <c r="C183" s="59" t="s">
        <v>1268</v>
      </c>
      <c r="D183" s="114" t="s">
        <v>2028</v>
      </c>
      <c r="E183" s="59" t="s">
        <v>1974</v>
      </c>
      <c r="F183" s="59" t="s">
        <v>1999</v>
      </c>
      <c r="G183" s="74">
        <v>0.75</v>
      </c>
      <c r="H183" s="74" t="b">
        <v>0</v>
      </c>
      <c r="I183" s="74">
        <v>1</v>
      </c>
      <c r="J183" s="114" t="s">
        <v>56</v>
      </c>
      <c r="K183" s="36" t="s">
        <v>2107</v>
      </c>
    </row>
    <row r="184" spans="1:11" ht="19.5" customHeight="1" x14ac:dyDescent="0.25">
      <c r="A184" s="74" t="s">
        <v>1995</v>
      </c>
      <c r="B184" s="114" t="s">
        <v>1722</v>
      </c>
      <c r="C184" s="59" t="s">
        <v>1268</v>
      </c>
      <c r="D184" s="114">
        <v>2311020000</v>
      </c>
      <c r="E184" s="59" t="s">
        <v>1440</v>
      </c>
      <c r="F184" s="59" t="s">
        <v>1999</v>
      </c>
      <c r="G184" s="74">
        <v>0.75</v>
      </c>
      <c r="H184" s="74" t="b">
        <v>0</v>
      </c>
      <c r="I184" s="74">
        <v>1</v>
      </c>
      <c r="J184" s="114" t="s">
        <v>56</v>
      </c>
      <c r="K184" s="36" t="s">
        <v>2107</v>
      </c>
    </row>
    <row r="185" spans="1:11" ht="19.5" customHeight="1" x14ac:dyDescent="0.25">
      <c r="A185" s="74" t="s">
        <v>1885</v>
      </c>
      <c r="B185" s="114" t="s">
        <v>1722</v>
      </c>
      <c r="C185" s="59" t="s">
        <v>1268</v>
      </c>
      <c r="D185" s="114" t="s">
        <v>1975</v>
      </c>
      <c r="E185" s="59" t="s">
        <v>1976</v>
      </c>
      <c r="F185" s="59" t="s">
        <v>1999</v>
      </c>
      <c r="G185" s="74">
        <v>0.75</v>
      </c>
      <c r="H185" s="74" t="b">
        <v>0</v>
      </c>
      <c r="I185" s="74">
        <v>1</v>
      </c>
      <c r="J185" s="114" t="s">
        <v>56</v>
      </c>
      <c r="K185" s="36" t="s">
        <v>2107</v>
      </c>
    </row>
    <row r="186" spans="1:11" ht="19.5" customHeight="1" x14ac:dyDescent="0.25">
      <c r="A186" s="144" t="s">
        <v>1995</v>
      </c>
      <c r="B186" s="145" t="s">
        <v>1996</v>
      </c>
      <c r="C186" s="146" t="s">
        <v>1268</v>
      </c>
      <c r="D186" s="145">
        <v>2460100000</v>
      </c>
      <c r="E186" s="146" t="s">
        <v>179</v>
      </c>
      <c r="F186" s="146" t="s">
        <v>1270</v>
      </c>
      <c r="G186" s="144">
        <v>0.75</v>
      </c>
      <c r="H186" s="144" t="b">
        <v>0</v>
      </c>
      <c r="I186" s="144">
        <v>1</v>
      </c>
      <c r="J186" s="145" t="s">
        <v>56</v>
      </c>
      <c r="K186" s="36" t="s">
        <v>1678</v>
      </c>
    </row>
    <row r="187" spans="1:11" ht="19.5" customHeight="1" x14ac:dyDescent="0.25">
      <c r="A187" s="144" t="s">
        <v>1995</v>
      </c>
      <c r="B187" s="145" t="s">
        <v>1996</v>
      </c>
      <c r="C187" s="146" t="s">
        <v>1268</v>
      </c>
      <c r="D187" s="145">
        <v>2460190000</v>
      </c>
      <c r="E187" s="146" t="s">
        <v>1269</v>
      </c>
      <c r="F187" s="146" t="s">
        <v>1270</v>
      </c>
      <c r="G187" s="144">
        <v>0.75</v>
      </c>
      <c r="H187" s="144" t="b">
        <v>0</v>
      </c>
      <c r="I187" s="144">
        <v>1</v>
      </c>
      <c r="J187" s="145" t="s">
        <v>56</v>
      </c>
      <c r="K187" s="36" t="s">
        <v>1678</v>
      </c>
    </row>
    <row r="188" spans="1:11" ht="19.5" customHeight="1" x14ac:dyDescent="0.25">
      <c r="A188" s="144" t="s">
        <v>1995</v>
      </c>
      <c r="B188" s="145" t="s">
        <v>1996</v>
      </c>
      <c r="C188" s="146" t="s">
        <v>1268</v>
      </c>
      <c r="D188" s="145">
        <v>2460200000</v>
      </c>
      <c r="E188" s="146" t="s">
        <v>184</v>
      </c>
      <c r="F188" s="146" t="s">
        <v>1270</v>
      </c>
      <c r="G188" s="144">
        <v>0.75</v>
      </c>
      <c r="H188" s="144" t="b">
        <v>0</v>
      </c>
      <c r="I188" s="144">
        <v>1</v>
      </c>
      <c r="J188" s="145" t="s">
        <v>56</v>
      </c>
      <c r="K188" s="36" t="s">
        <v>1678</v>
      </c>
    </row>
    <row r="189" spans="1:11" ht="19.5" customHeight="1" x14ac:dyDescent="0.25">
      <c r="A189" s="144" t="s">
        <v>1995</v>
      </c>
      <c r="B189" s="145" t="s">
        <v>1996</v>
      </c>
      <c r="C189" s="146" t="s">
        <v>1268</v>
      </c>
      <c r="D189" s="145">
        <v>2460800000</v>
      </c>
      <c r="E189" s="146" t="s">
        <v>189</v>
      </c>
      <c r="F189" s="146" t="s">
        <v>1270</v>
      </c>
      <c r="G189" s="144">
        <v>0.75</v>
      </c>
      <c r="H189" s="144" t="b">
        <v>0</v>
      </c>
      <c r="I189" s="144">
        <v>1</v>
      </c>
      <c r="J189" s="145" t="s">
        <v>56</v>
      </c>
      <c r="K189" s="36" t="s">
        <v>1678</v>
      </c>
    </row>
    <row r="190" spans="1:11" ht="19.5" customHeight="1" x14ac:dyDescent="0.25">
      <c r="A190" s="144" t="s">
        <v>1995</v>
      </c>
      <c r="B190" s="145" t="s">
        <v>1996</v>
      </c>
      <c r="C190" s="146" t="s">
        <v>1268</v>
      </c>
      <c r="D190" s="145">
        <v>2311010000</v>
      </c>
      <c r="E190" s="146" t="s">
        <v>1439</v>
      </c>
      <c r="F190" s="146" t="s">
        <v>1270</v>
      </c>
      <c r="G190" s="144">
        <v>0.75</v>
      </c>
      <c r="H190" s="144" t="b">
        <v>0</v>
      </c>
      <c r="I190" s="144">
        <v>1</v>
      </c>
      <c r="J190" s="145" t="s">
        <v>56</v>
      </c>
      <c r="K190" s="36" t="s">
        <v>1678</v>
      </c>
    </row>
    <row r="191" spans="1:11" ht="19.5" customHeight="1" x14ac:dyDescent="0.25">
      <c r="A191" s="98" t="s">
        <v>1995</v>
      </c>
      <c r="B191" s="125" t="s">
        <v>1853</v>
      </c>
      <c r="C191" s="97" t="s">
        <v>1435</v>
      </c>
      <c r="D191" s="125">
        <v>2460400000</v>
      </c>
      <c r="E191" s="97" t="s">
        <v>185</v>
      </c>
      <c r="F191" s="97" t="s">
        <v>1774</v>
      </c>
      <c r="G191" s="98">
        <v>0.75</v>
      </c>
      <c r="H191" s="98" t="b">
        <v>0</v>
      </c>
      <c r="I191" s="98">
        <v>1</v>
      </c>
      <c r="J191" s="125" t="s">
        <v>56</v>
      </c>
      <c r="K191" s="36" t="s">
        <v>2108</v>
      </c>
    </row>
    <row r="192" spans="1:11" ht="19.5" customHeight="1" x14ac:dyDescent="0.25">
      <c r="A192" s="98" t="s">
        <v>2011</v>
      </c>
      <c r="B192" s="125" t="s">
        <v>1853</v>
      </c>
      <c r="C192" s="97" t="s">
        <v>1435</v>
      </c>
      <c r="D192" s="126">
        <v>2501011011</v>
      </c>
      <c r="E192" s="97" t="s">
        <v>1275</v>
      </c>
      <c r="F192" s="97" t="s">
        <v>1774</v>
      </c>
      <c r="G192" s="98">
        <v>0.75</v>
      </c>
      <c r="H192" s="98" t="b">
        <v>0</v>
      </c>
      <c r="I192" s="98">
        <v>1</v>
      </c>
      <c r="J192" s="125" t="s">
        <v>56</v>
      </c>
      <c r="K192" s="36" t="s">
        <v>2108</v>
      </c>
    </row>
    <row r="193" spans="1:11" ht="19.5" customHeight="1" x14ac:dyDescent="0.25">
      <c r="A193" s="98" t="s">
        <v>2011</v>
      </c>
      <c r="B193" s="125" t="s">
        <v>1853</v>
      </c>
      <c r="C193" s="97" t="s">
        <v>1435</v>
      </c>
      <c r="D193" s="126">
        <v>2501011012</v>
      </c>
      <c r="E193" s="97" t="s">
        <v>1276</v>
      </c>
      <c r="F193" s="97" t="s">
        <v>1774</v>
      </c>
      <c r="G193" s="98">
        <v>0.75</v>
      </c>
      <c r="H193" s="98" t="b">
        <v>0</v>
      </c>
      <c r="I193" s="98">
        <v>1</v>
      </c>
      <c r="J193" s="125" t="s">
        <v>56</v>
      </c>
      <c r="K193" s="36" t="s">
        <v>2108</v>
      </c>
    </row>
    <row r="194" spans="1:11" ht="19.5" customHeight="1" x14ac:dyDescent="0.25">
      <c r="A194" s="73" t="s">
        <v>1885</v>
      </c>
      <c r="B194" s="117" t="s">
        <v>1879</v>
      </c>
      <c r="C194" s="63" t="s">
        <v>1884</v>
      </c>
      <c r="D194" s="128" t="s">
        <v>1880</v>
      </c>
      <c r="E194" s="63" t="s">
        <v>1881</v>
      </c>
      <c r="F194" s="63" t="s">
        <v>2008</v>
      </c>
      <c r="G194" s="73">
        <v>0.75</v>
      </c>
      <c r="H194" s="73" t="b">
        <v>0</v>
      </c>
      <c r="I194" s="73">
        <v>1</v>
      </c>
      <c r="J194" s="117" t="s">
        <v>56</v>
      </c>
      <c r="K194" s="36" t="s">
        <v>1679</v>
      </c>
    </row>
    <row r="195" spans="1:11" ht="19.5" customHeight="1" x14ac:dyDescent="0.25">
      <c r="A195" s="73" t="s">
        <v>1885</v>
      </c>
      <c r="B195" s="117" t="s">
        <v>1879</v>
      </c>
      <c r="C195" s="63" t="s">
        <v>1884</v>
      </c>
      <c r="D195" s="128" t="s">
        <v>1882</v>
      </c>
      <c r="E195" s="63" t="s">
        <v>1883</v>
      </c>
      <c r="F195" s="63" t="s">
        <v>2008</v>
      </c>
      <c r="G195" s="73">
        <v>0.75</v>
      </c>
      <c r="H195" s="73" t="b">
        <v>0</v>
      </c>
      <c r="I195" s="73">
        <v>1</v>
      </c>
      <c r="J195" s="117" t="s">
        <v>56</v>
      </c>
      <c r="K195" s="36" t="s">
        <v>1679</v>
      </c>
    </row>
    <row r="196" spans="1:11" ht="19.5" customHeight="1" x14ac:dyDescent="0.25">
      <c r="A196" s="88"/>
      <c r="B196" s="115" t="s">
        <v>1723</v>
      </c>
      <c r="C196" s="43" t="s">
        <v>1271</v>
      </c>
      <c r="D196" s="104">
        <v>2610000100</v>
      </c>
      <c r="E196" s="43" t="s">
        <v>235</v>
      </c>
      <c r="F196" s="42" t="s">
        <v>2009</v>
      </c>
      <c r="G196" s="79">
        <v>0.75</v>
      </c>
      <c r="H196" s="79" t="b">
        <v>0</v>
      </c>
      <c r="I196" s="79">
        <v>1</v>
      </c>
      <c r="J196" s="115" t="s">
        <v>56</v>
      </c>
      <c r="K196" s="36" t="s">
        <v>1679</v>
      </c>
    </row>
    <row r="197" spans="1:11" ht="19.5" customHeight="1" x14ac:dyDescent="0.25">
      <c r="A197" s="88"/>
      <c r="B197" s="115" t="s">
        <v>1723</v>
      </c>
      <c r="C197" s="43" t="s">
        <v>1271</v>
      </c>
      <c r="D197" s="115">
        <v>2610000400</v>
      </c>
      <c r="E197" s="43" t="s">
        <v>237</v>
      </c>
      <c r="F197" s="42" t="s">
        <v>2009</v>
      </c>
      <c r="G197" s="79">
        <v>0.75</v>
      </c>
      <c r="H197" s="79" t="b">
        <v>0</v>
      </c>
      <c r="I197" s="79">
        <v>1</v>
      </c>
      <c r="J197" s="115" t="s">
        <v>56</v>
      </c>
      <c r="K197" s="36" t="s">
        <v>1679</v>
      </c>
    </row>
    <row r="198" spans="1:11" ht="19.5" customHeight="1" x14ac:dyDescent="0.25">
      <c r="A198" s="88"/>
      <c r="B198" s="115" t="s">
        <v>1723</v>
      </c>
      <c r="C198" s="43" t="s">
        <v>1271</v>
      </c>
      <c r="D198" s="115">
        <v>2610000500</v>
      </c>
      <c r="E198" s="43" t="s">
        <v>238</v>
      </c>
      <c r="F198" s="42" t="s">
        <v>2009</v>
      </c>
      <c r="G198" s="79">
        <v>0.75</v>
      </c>
      <c r="H198" s="79" t="b">
        <v>0</v>
      </c>
      <c r="I198" s="79">
        <v>1</v>
      </c>
      <c r="J198" s="115" t="s">
        <v>56</v>
      </c>
      <c r="K198" s="36" t="s">
        <v>1679</v>
      </c>
    </row>
    <row r="199" spans="1:11" ht="19.5" customHeight="1" x14ac:dyDescent="0.25">
      <c r="A199" s="77" t="s">
        <v>2016</v>
      </c>
      <c r="B199" s="103" t="s">
        <v>1728</v>
      </c>
      <c r="C199" s="40" t="s">
        <v>1438</v>
      </c>
      <c r="D199" s="127">
        <v>2104008610</v>
      </c>
      <c r="E199" s="41" t="s">
        <v>1298</v>
      </c>
      <c r="F199" s="40" t="s">
        <v>2010</v>
      </c>
      <c r="G199" s="77">
        <v>0.75</v>
      </c>
      <c r="H199" s="77" t="b">
        <v>0</v>
      </c>
      <c r="I199" s="77">
        <v>1</v>
      </c>
      <c r="J199" s="103" t="s">
        <v>56</v>
      </c>
      <c r="K199" s="36" t="s">
        <v>1782</v>
      </c>
    </row>
    <row r="200" spans="1:11" ht="19.5" customHeight="1" x14ac:dyDescent="0.25">
      <c r="A200" s="89" t="s">
        <v>2016</v>
      </c>
      <c r="B200" s="116" t="s">
        <v>1724</v>
      </c>
      <c r="C200" s="60" t="s">
        <v>1272</v>
      </c>
      <c r="D200" s="116">
        <v>2610030000</v>
      </c>
      <c r="E200" s="60" t="s">
        <v>240</v>
      </c>
      <c r="F200" s="61" t="s">
        <v>2010</v>
      </c>
      <c r="G200" s="152">
        <v>0.75</v>
      </c>
      <c r="H200" s="152" t="b">
        <v>0</v>
      </c>
      <c r="I200" s="152">
        <v>1</v>
      </c>
      <c r="J200" s="116" t="s">
        <v>56</v>
      </c>
      <c r="K200" s="36" t="s">
        <v>2109</v>
      </c>
    </row>
    <row r="201" spans="1:11" ht="19.5" customHeight="1" x14ac:dyDescent="0.25">
      <c r="A201" s="78"/>
      <c r="B201" s="100" t="s">
        <v>1725</v>
      </c>
      <c r="C201" s="48" t="s">
        <v>1435</v>
      </c>
      <c r="D201" s="112">
        <v>2501011013</v>
      </c>
      <c r="E201" s="48" t="s">
        <v>1277</v>
      </c>
      <c r="F201" s="48" t="s">
        <v>1649</v>
      </c>
      <c r="G201" s="78">
        <v>0.75</v>
      </c>
      <c r="H201" s="78" t="b">
        <v>0</v>
      </c>
      <c r="I201" s="78">
        <v>1</v>
      </c>
      <c r="J201" s="100" t="s">
        <v>56</v>
      </c>
      <c r="K201" s="36" t="s">
        <v>1681</v>
      </c>
    </row>
    <row r="202" spans="1:11" ht="19.5" customHeight="1" x14ac:dyDescent="0.25">
      <c r="A202" s="78"/>
      <c r="B202" s="100" t="s">
        <v>1725</v>
      </c>
      <c r="C202" s="48" t="s">
        <v>1435</v>
      </c>
      <c r="D202" s="112">
        <v>2501012011</v>
      </c>
      <c r="E202" s="48" t="s">
        <v>1279</v>
      </c>
      <c r="F202" s="48" t="s">
        <v>1649</v>
      </c>
      <c r="G202" s="78">
        <v>0.75</v>
      </c>
      <c r="H202" s="78" t="b">
        <v>0</v>
      </c>
      <c r="I202" s="78">
        <v>1</v>
      </c>
      <c r="J202" s="100" t="s">
        <v>56</v>
      </c>
      <c r="K202" s="36" t="s">
        <v>1681</v>
      </c>
    </row>
    <row r="203" spans="1:11" ht="19.5" customHeight="1" x14ac:dyDescent="0.25">
      <c r="A203" s="78"/>
      <c r="B203" s="100" t="s">
        <v>1725</v>
      </c>
      <c r="C203" s="48" t="s">
        <v>1435</v>
      </c>
      <c r="D203" s="112">
        <v>2501012012</v>
      </c>
      <c r="E203" s="48" t="s">
        <v>1280</v>
      </c>
      <c r="F203" s="48" t="s">
        <v>1649</v>
      </c>
      <c r="G203" s="78">
        <v>0.75</v>
      </c>
      <c r="H203" s="78" t="b">
        <v>0</v>
      </c>
      <c r="I203" s="78">
        <v>1</v>
      </c>
      <c r="J203" s="100" t="s">
        <v>56</v>
      </c>
      <c r="K203" s="36" t="s">
        <v>1681</v>
      </c>
    </row>
    <row r="204" spans="1:11" ht="19.5" customHeight="1" x14ac:dyDescent="0.25">
      <c r="A204" s="78"/>
      <c r="B204" s="100" t="s">
        <v>1725</v>
      </c>
      <c r="C204" s="48" t="s">
        <v>1435</v>
      </c>
      <c r="D204" s="112">
        <v>2501012013</v>
      </c>
      <c r="E204" s="48" t="s">
        <v>1281</v>
      </c>
      <c r="F204" s="48" t="s">
        <v>1649</v>
      </c>
      <c r="G204" s="78">
        <v>0.75</v>
      </c>
      <c r="H204" s="78" t="b">
        <v>0</v>
      </c>
      <c r="I204" s="78">
        <v>1</v>
      </c>
      <c r="J204" s="100" t="s">
        <v>56</v>
      </c>
      <c r="K204" s="36" t="s">
        <v>1681</v>
      </c>
    </row>
    <row r="205" spans="1:11" ht="19.5" customHeight="1" x14ac:dyDescent="0.25">
      <c r="A205" s="78"/>
      <c r="B205" s="100" t="s">
        <v>1725</v>
      </c>
      <c r="C205" s="48" t="s">
        <v>1435</v>
      </c>
      <c r="D205" s="112">
        <v>2505030120</v>
      </c>
      <c r="E205" s="48" t="s">
        <v>1287</v>
      </c>
      <c r="F205" s="48" t="s">
        <v>1649</v>
      </c>
      <c r="G205" s="78">
        <v>0.75</v>
      </c>
      <c r="H205" s="78" t="b">
        <v>0</v>
      </c>
      <c r="I205" s="78">
        <v>1</v>
      </c>
      <c r="J205" s="100" t="s">
        <v>56</v>
      </c>
      <c r="K205" s="36" t="s">
        <v>1681</v>
      </c>
    </row>
    <row r="206" spans="1:11" ht="19.5" customHeight="1" x14ac:dyDescent="0.25">
      <c r="A206" s="74" t="s">
        <v>2013</v>
      </c>
      <c r="B206" s="114" t="s">
        <v>1726</v>
      </c>
      <c r="C206" s="59" t="s">
        <v>1288</v>
      </c>
      <c r="D206" s="118">
        <v>2104001000</v>
      </c>
      <c r="E206" s="62" t="s">
        <v>92</v>
      </c>
      <c r="F206" s="59" t="s">
        <v>2012</v>
      </c>
      <c r="G206" s="74">
        <v>0.75</v>
      </c>
      <c r="H206" s="74" t="b">
        <v>0</v>
      </c>
      <c r="I206" s="74">
        <v>1</v>
      </c>
      <c r="J206" s="114" t="s">
        <v>56</v>
      </c>
      <c r="K206" s="36" t="s">
        <v>1782</v>
      </c>
    </row>
    <row r="207" spans="1:11" ht="19.5" customHeight="1" x14ac:dyDescent="0.25">
      <c r="A207" s="74" t="s">
        <v>2013</v>
      </c>
      <c r="B207" s="114" t="s">
        <v>1726</v>
      </c>
      <c r="C207" s="59" t="s">
        <v>1288</v>
      </c>
      <c r="D207" s="118">
        <v>2104002000</v>
      </c>
      <c r="E207" s="62" t="s">
        <v>95</v>
      </c>
      <c r="F207" s="59" t="s">
        <v>2012</v>
      </c>
      <c r="G207" s="74">
        <v>0.75</v>
      </c>
      <c r="H207" s="74" t="b">
        <v>0</v>
      </c>
      <c r="I207" s="74">
        <v>1</v>
      </c>
      <c r="J207" s="114" t="s">
        <v>56</v>
      </c>
      <c r="K207" s="36" t="s">
        <v>1782</v>
      </c>
    </row>
    <row r="208" spans="1:11" ht="19.5" customHeight="1" x14ac:dyDescent="0.25">
      <c r="A208" s="74" t="s">
        <v>2013</v>
      </c>
      <c r="B208" s="114" t="s">
        <v>1726</v>
      </c>
      <c r="C208" s="59" t="s">
        <v>1288</v>
      </c>
      <c r="D208" s="118">
        <v>2104004000</v>
      </c>
      <c r="E208" s="62" t="s">
        <v>59</v>
      </c>
      <c r="F208" s="59" t="s">
        <v>2012</v>
      </c>
      <c r="G208" s="74">
        <v>0.75</v>
      </c>
      <c r="H208" s="74" t="b">
        <v>1</v>
      </c>
      <c r="I208" s="74">
        <v>1</v>
      </c>
      <c r="J208" s="114" t="s">
        <v>56</v>
      </c>
      <c r="K208" s="36" t="s">
        <v>1782</v>
      </c>
    </row>
    <row r="209" spans="1:11" ht="19.5" customHeight="1" x14ac:dyDescent="0.25">
      <c r="A209" s="74" t="s">
        <v>2013</v>
      </c>
      <c r="B209" s="114" t="s">
        <v>1726</v>
      </c>
      <c r="C209" s="59" t="s">
        <v>1288</v>
      </c>
      <c r="D209" s="118">
        <v>2104006000</v>
      </c>
      <c r="E209" s="62" t="s">
        <v>69</v>
      </c>
      <c r="F209" s="59" t="s">
        <v>2012</v>
      </c>
      <c r="G209" s="74">
        <v>0.75</v>
      </c>
      <c r="H209" s="74" t="b">
        <v>0</v>
      </c>
      <c r="I209" s="74">
        <v>1</v>
      </c>
      <c r="J209" s="114" t="s">
        <v>56</v>
      </c>
      <c r="K209" s="36" t="s">
        <v>1782</v>
      </c>
    </row>
    <row r="210" spans="1:11" ht="19.5" customHeight="1" x14ac:dyDescent="0.25">
      <c r="A210" s="74" t="s">
        <v>2013</v>
      </c>
      <c r="B210" s="114" t="s">
        <v>1726</v>
      </c>
      <c r="C210" s="59" t="s">
        <v>1288</v>
      </c>
      <c r="D210" s="118">
        <v>2104007000</v>
      </c>
      <c r="E210" s="62" t="s">
        <v>74</v>
      </c>
      <c r="F210" s="59" t="s">
        <v>2012</v>
      </c>
      <c r="G210" s="74">
        <v>0.75</v>
      </c>
      <c r="H210" s="74" t="b">
        <v>0</v>
      </c>
      <c r="I210" s="74">
        <v>1</v>
      </c>
      <c r="J210" s="114" t="s">
        <v>56</v>
      </c>
      <c r="K210" s="36" t="s">
        <v>1782</v>
      </c>
    </row>
    <row r="211" spans="1:11" ht="19.5" customHeight="1" x14ac:dyDescent="0.25">
      <c r="A211" s="74" t="s">
        <v>2013</v>
      </c>
      <c r="B211" s="114" t="s">
        <v>1726</v>
      </c>
      <c r="C211" s="59" t="s">
        <v>1288</v>
      </c>
      <c r="D211" s="114">
        <v>2104011000</v>
      </c>
      <c r="E211" s="62" t="s">
        <v>79</v>
      </c>
      <c r="F211" s="59" t="s">
        <v>2012</v>
      </c>
      <c r="G211" s="74">
        <v>0.75</v>
      </c>
      <c r="H211" s="74" t="b">
        <v>0</v>
      </c>
      <c r="I211" s="74">
        <v>1</v>
      </c>
      <c r="J211" s="114" t="s">
        <v>56</v>
      </c>
      <c r="K211" s="36" t="s">
        <v>1782</v>
      </c>
    </row>
    <row r="212" spans="1:11" ht="19.5" customHeight="1" x14ac:dyDescent="0.25">
      <c r="A212" s="147" t="s">
        <v>2013</v>
      </c>
      <c r="B212" s="100" t="s">
        <v>1727</v>
      </c>
      <c r="C212" s="48" t="s">
        <v>1299</v>
      </c>
      <c r="D212" s="112">
        <v>2104008100</v>
      </c>
      <c r="E212" s="52" t="s">
        <v>1289</v>
      </c>
      <c r="F212" s="48" t="s">
        <v>2012</v>
      </c>
      <c r="G212" s="78">
        <v>0.75</v>
      </c>
      <c r="H212" s="78" t="b">
        <v>0</v>
      </c>
      <c r="I212" s="78">
        <v>1</v>
      </c>
      <c r="J212" s="100" t="s">
        <v>56</v>
      </c>
      <c r="K212" s="36" t="s">
        <v>1782</v>
      </c>
    </row>
    <row r="213" spans="1:11" ht="19.5" customHeight="1" x14ac:dyDescent="0.25">
      <c r="A213" s="147" t="s">
        <v>2013</v>
      </c>
      <c r="B213" s="100" t="s">
        <v>1727</v>
      </c>
      <c r="C213" s="48" t="s">
        <v>1299</v>
      </c>
      <c r="D213" s="112">
        <v>2104008210</v>
      </c>
      <c r="E213" s="52" t="s">
        <v>1290</v>
      </c>
      <c r="F213" s="48" t="s">
        <v>2012</v>
      </c>
      <c r="G213" s="78">
        <v>0.75</v>
      </c>
      <c r="H213" s="78" t="b">
        <v>0</v>
      </c>
      <c r="I213" s="78">
        <v>1</v>
      </c>
      <c r="J213" s="100" t="s">
        <v>56</v>
      </c>
      <c r="K213" s="36" t="s">
        <v>1782</v>
      </c>
    </row>
    <row r="214" spans="1:11" ht="19.5" customHeight="1" x14ac:dyDescent="0.25">
      <c r="A214" s="147" t="s">
        <v>2013</v>
      </c>
      <c r="B214" s="100" t="s">
        <v>1727</v>
      </c>
      <c r="C214" s="48" t="s">
        <v>1299</v>
      </c>
      <c r="D214" s="112">
        <v>2104008220</v>
      </c>
      <c r="E214" s="52" t="s">
        <v>1291</v>
      </c>
      <c r="F214" s="48" t="s">
        <v>2012</v>
      </c>
      <c r="G214" s="78">
        <v>0.75</v>
      </c>
      <c r="H214" s="78" t="b">
        <v>0</v>
      </c>
      <c r="I214" s="78">
        <v>1</v>
      </c>
      <c r="J214" s="100" t="s">
        <v>56</v>
      </c>
      <c r="K214" s="36" t="s">
        <v>1782</v>
      </c>
    </row>
    <row r="215" spans="1:11" ht="19.5" customHeight="1" x14ac:dyDescent="0.25">
      <c r="A215" s="147" t="s">
        <v>2013</v>
      </c>
      <c r="B215" s="100" t="s">
        <v>1727</v>
      </c>
      <c r="C215" s="48" t="s">
        <v>1299</v>
      </c>
      <c r="D215" s="112">
        <v>2104008230</v>
      </c>
      <c r="E215" s="52" t="s">
        <v>1292</v>
      </c>
      <c r="F215" s="48" t="s">
        <v>2012</v>
      </c>
      <c r="G215" s="78">
        <v>0.75</v>
      </c>
      <c r="H215" s="78" t="b">
        <v>0</v>
      </c>
      <c r="I215" s="78">
        <v>1</v>
      </c>
      <c r="J215" s="100" t="s">
        <v>56</v>
      </c>
      <c r="K215" s="36" t="s">
        <v>1782</v>
      </c>
    </row>
    <row r="216" spans="1:11" ht="19.5" customHeight="1" x14ac:dyDescent="0.25">
      <c r="A216" s="147" t="s">
        <v>2013</v>
      </c>
      <c r="B216" s="100" t="s">
        <v>1727</v>
      </c>
      <c r="C216" s="48" t="s">
        <v>1299</v>
      </c>
      <c r="D216" s="112">
        <v>2104008310</v>
      </c>
      <c r="E216" s="52" t="s">
        <v>1293</v>
      </c>
      <c r="F216" s="48" t="s">
        <v>2012</v>
      </c>
      <c r="G216" s="78">
        <v>0.75</v>
      </c>
      <c r="H216" s="78" t="b">
        <v>0</v>
      </c>
      <c r="I216" s="78">
        <v>1</v>
      </c>
      <c r="J216" s="100" t="s">
        <v>56</v>
      </c>
      <c r="K216" s="36" t="s">
        <v>1782</v>
      </c>
    </row>
    <row r="217" spans="1:11" ht="19.5" customHeight="1" x14ac:dyDescent="0.25">
      <c r="A217" s="147" t="s">
        <v>2013</v>
      </c>
      <c r="B217" s="100" t="s">
        <v>1727</v>
      </c>
      <c r="C217" s="48" t="s">
        <v>1299</v>
      </c>
      <c r="D217" s="112">
        <v>2104008320</v>
      </c>
      <c r="E217" s="52" t="s">
        <v>1294</v>
      </c>
      <c r="F217" s="48" t="s">
        <v>2012</v>
      </c>
      <c r="G217" s="78">
        <v>0.75</v>
      </c>
      <c r="H217" s="78" t="b">
        <v>0</v>
      </c>
      <c r="I217" s="78">
        <v>1</v>
      </c>
      <c r="J217" s="100" t="s">
        <v>56</v>
      </c>
      <c r="K217" s="36" t="s">
        <v>1782</v>
      </c>
    </row>
    <row r="218" spans="1:11" ht="19.5" customHeight="1" x14ac:dyDescent="0.25">
      <c r="A218" s="147" t="s">
        <v>2013</v>
      </c>
      <c r="B218" s="100" t="s">
        <v>1727</v>
      </c>
      <c r="C218" s="48" t="s">
        <v>1299</v>
      </c>
      <c r="D218" s="112">
        <v>2104008330</v>
      </c>
      <c r="E218" s="52" t="s">
        <v>1295</v>
      </c>
      <c r="F218" s="48" t="s">
        <v>2012</v>
      </c>
      <c r="G218" s="78">
        <v>0.75</v>
      </c>
      <c r="H218" s="78" t="b">
        <v>0</v>
      </c>
      <c r="I218" s="78">
        <v>1</v>
      </c>
      <c r="J218" s="100" t="s">
        <v>56</v>
      </c>
      <c r="K218" s="36" t="s">
        <v>1782</v>
      </c>
    </row>
    <row r="219" spans="1:11" ht="19.5" customHeight="1" x14ac:dyDescent="0.25">
      <c r="A219" s="147" t="s">
        <v>2013</v>
      </c>
      <c r="B219" s="100" t="s">
        <v>1727</v>
      </c>
      <c r="C219" s="48" t="s">
        <v>1299</v>
      </c>
      <c r="D219" s="112">
        <v>2104008400</v>
      </c>
      <c r="E219" s="52" t="s">
        <v>1296</v>
      </c>
      <c r="F219" s="48" t="s">
        <v>2012</v>
      </c>
      <c r="G219" s="78">
        <v>0.75</v>
      </c>
      <c r="H219" s="78" t="b">
        <v>0</v>
      </c>
      <c r="I219" s="78">
        <v>1</v>
      </c>
      <c r="J219" s="100" t="s">
        <v>56</v>
      </c>
      <c r="K219" s="36" t="s">
        <v>1782</v>
      </c>
    </row>
    <row r="220" spans="1:11" ht="19.5" customHeight="1" x14ac:dyDescent="0.25">
      <c r="A220" s="147" t="s">
        <v>2013</v>
      </c>
      <c r="B220" s="100" t="s">
        <v>1727</v>
      </c>
      <c r="C220" s="48" t="s">
        <v>1299</v>
      </c>
      <c r="D220" s="112">
        <v>2104009000</v>
      </c>
      <c r="E220" s="52" t="s">
        <v>1436</v>
      </c>
      <c r="F220" s="48" t="s">
        <v>2012</v>
      </c>
      <c r="G220" s="78">
        <v>0.75</v>
      </c>
      <c r="H220" s="78" t="b">
        <v>0</v>
      </c>
      <c r="I220" s="78">
        <v>1</v>
      </c>
      <c r="J220" s="100" t="s">
        <v>56</v>
      </c>
      <c r="K220" s="36" t="s">
        <v>1782</v>
      </c>
    </row>
    <row r="221" spans="1:11" ht="19.5" customHeight="1" x14ac:dyDescent="0.25">
      <c r="A221" s="147" t="s">
        <v>2013</v>
      </c>
      <c r="B221" s="100" t="s">
        <v>1727</v>
      </c>
      <c r="C221" s="48" t="s">
        <v>1299</v>
      </c>
      <c r="D221" s="112">
        <v>2104008510</v>
      </c>
      <c r="E221" s="52" t="s">
        <v>1297</v>
      </c>
      <c r="F221" s="48" t="s">
        <v>2012</v>
      </c>
      <c r="G221" s="78">
        <v>0.75</v>
      </c>
      <c r="H221" s="78" t="b">
        <v>0</v>
      </c>
      <c r="I221" s="78">
        <v>1</v>
      </c>
      <c r="J221" s="100" t="s">
        <v>56</v>
      </c>
      <c r="K221" s="36" t="s">
        <v>1782</v>
      </c>
    </row>
    <row r="222" spans="1:11" ht="19.5" customHeight="1" x14ac:dyDescent="0.25">
      <c r="A222" s="73" t="s">
        <v>2015</v>
      </c>
      <c r="B222" s="117" t="s">
        <v>1729</v>
      </c>
      <c r="C222" s="63" t="s">
        <v>1437</v>
      </c>
      <c r="D222" s="128">
        <v>2104008700</v>
      </c>
      <c r="E222" s="64" t="s">
        <v>2017</v>
      </c>
      <c r="F222" s="63" t="s">
        <v>2014</v>
      </c>
      <c r="G222" s="73">
        <v>0.75</v>
      </c>
      <c r="H222" s="73" t="b">
        <v>0</v>
      </c>
      <c r="I222" s="73">
        <v>1</v>
      </c>
      <c r="J222" s="117" t="s">
        <v>56</v>
      </c>
      <c r="K222" s="36" t="s">
        <v>1780</v>
      </c>
    </row>
    <row r="223" spans="1:11" ht="19.5" customHeight="1" x14ac:dyDescent="0.25">
      <c r="A223" s="81"/>
      <c r="B223" s="106" t="s">
        <v>1730</v>
      </c>
      <c r="C223" s="50" t="s">
        <v>1300</v>
      </c>
      <c r="D223" s="129">
        <v>2401001000</v>
      </c>
      <c r="E223" s="65" t="s">
        <v>142</v>
      </c>
      <c r="F223" s="50" t="s">
        <v>2018</v>
      </c>
      <c r="G223" s="81">
        <v>0.75</v>
      </c>
      <c r="H223" s="81" t="b">
        <v>0</v>
      </c>
      <c r="I223" s="81">
        <v>1</v>
      </c>
      <c r="J223" s="106" t="s">
        <v>56</v>
      </c>
      <c r="K223" s="36" t="s">
        <v>2110</v>
      </c>
    </row>
    <row r="224" spans="1:11" ht="19.5" customHeight="1" x14ac:dyDescent="0.25">
      <c r="A224" s="81"/>
      <c r="B224" s="106" t="s">
        <v>1730</v>
      </c>
      <c r="C224" s="50" t="s">
        <v>1300</v>
      </c>
      <c r="D224" s="129">
        <v>2401005000</v>
      </c>
      <c r="E224" s="65" t="s">
        <v>146</v>
      </c>
      <c r="F224" s="50" t="s">
        <v>2018</v>
      </c>
      <c r="G224" s="81">
        <v>0.75</v>
      </c>
      <c r="H224" s="81" t="b">
        <v>0</v>
      </c>
      <c r="I224" s="81">
        <v>1</v>
      </c>
      <c r="J224" s="106" t="s">
        <v>56</v>
      </c>
      <c r="K224" s="36" t="s">
        <v>2110</v>
      </c>
    </row>
    <row r="225" spans="1:11" ht="19.5" customHeight="1" x14ac:dyDescent="0.25">
      <c r="A225" s="81"/>
      <c r="B225" s="106" t="s">
        <v>1730</v>
      </c>
      <c r="C225" s="50" t="s">
        <v>1300</v>
      </c>
      <c r="D225" s="129">
        <v>2401020000</v>
      </c>
      <c r="E225" s="65" t="s">
        <v>150</v>
      </c>
      <c r="F225" s="50" t="s">
        <v>2018</v>
      </c>
      <c r="G225" s="81">
        <v>0.75</v>
      </c>
      <c r="H225" s="81" t="b">
        <v>0</v>
      </c>
      <c r="I225" s="81">
        <v>1</v>
      </c>
      <c r="J225" s="106" t="s">
        <v>56</v>
      </c>
      <c r="K225" s="36" t="s">
        <v>2110</v>
      </c>
    </row>
    <row r="226" spans="1:11" ht="19.5" customHeight="1" x14ac:dyDescent="0.25">
      <c r="A226" s="81"/>
      <c r="B226" s="106" t="s">
        <v>1730</v>
      </c>
      <c r="C226" s="50" t="s">
        <v>1300</v>
      </c>
      <c r="D226" s="129">
        <v>2401025000</v>
      </c>
      <c r="E226" s="65" t="s">
        <v>152</v>
      </c>
      <c r="F226" s="50" t="s">
        <v>2018</v>
      </c>
      <c r="G226" s="81">
        <v>0.75</v>
      </c>
      <c r="H226" s="81" t="b">
        <v>0</v>
      </c>
      <c r="I226" s="81">
        <v>1</v>
      </c>
      <c r="J226" s="106" t="s">
        <v>56</v>
      </c>
      <c r="K226" s="36" t="s">
        <v>2110</v>
      </c>
    </row>
    <row r="227" spans="1:11" ht="19.5" customHeight="1" x14ac:dyDescent="0.25">
      <c r="A227" s="81"/>
      <c r="B227" s="106" t="s">
        <v>1730</v>
      </c>
      <c r="C227" s="50" t="s">
        <v>1300</v>
      </c>
      <c r="D227" s="129">
        <v>2401030000</v>
      </c>
      <c r="E227" s="65" t="s">
        <v>154</v>
      </c>
      <c r="F227" s="50" t="s">
        <v>2018</v>
      </c>
      <c r="G227" s="81">
        <v>0.75</v>
      </c>
      <c r="H227" s="81" t="b">
        <v>0</v>
      </c>
      <c r="I227" s="81">
        <v>1</v>
      </c>
      <c r="J227" s="106" t="s">
        <v>56</v>
      </c>
      <c r="K227" s="36" t="s">
        <v>2110</v>
      </c>
    </row>
    <row r="228" spans="1:11" ht="19.5" customHeight="1" x14ac:dyDescent="0.25">
      <c r="A228" s="81"/>
      <c r="B228" s="106" t="s">
        <v>1730</v>
      </c>
      <c r="C228" s="50" t="s">
        <v>1300</v>
      </c>
      <c r="D228" s="129">
        <v>2401040000</v>
      </c>
      <c r="E228" s="65" t="s">
        <v>156</v>
      </c>
      <c r="F228" s="50" t="s">
        <v>2018</v>
      </c>
      <c r="G228" s="81">
        <v>0.75</v>
      </c>
      <c r="H228" s="81" t="b">
        <v>0</v>
      </c>
      <c r="I228" s="81">
        <v>1</v>
      </c>
      <c r="J228" s="106" t="s">
        <v>56</v>
      </c>
      <c r="K228" s="36" t="s">
        <v>2110</v>
      </c>
    </row>
    <row r="229" spans="1:11" ht="19.5" customHeight="1" x14ac:dyDescent="0.25">
      <c r="A229" s="81"/>
      <c r="B229" s="106" t="s">
        <v>1730</v>
      </c>
      <c r="C229" s="50" t="s">
        <v>1300</v>
      </c>
      <c r="D229" s="129">
        <v>2401055000</v>
      </c>
      <c r="E229" s="65" t="s">
        <v>158</v>
      </c>
      <c r="F229" s="50" t="s">
        <v>2018</v>
      </c>
      <c r="G229" s="81">
        <v>0.75</v>
      </c>
      <c r="H229" s="81" t="b">
        <v>0</v>
      </c>
      <c r="I229" s="81">
        <v>1</v>
      </c>
      <c r="J229" s="106" t="s">
        <v>56</v>
      </c>
      <c r="K229" s="36" t="s">
        <v>2110</v>
      </c>
    </row>
    <row r="230" spans="1:11" ht="19.5" customHeight="1" x14ac:dyDescent="0.25">
      <c r="A230" s="81"/>
      <c r="B230" s="106" t="s">
        <v>1730</v>
      </c>
      <c r="C230" s="50" t="s">
        <v>1300</v>
      </c>
      <c r="D230" s="129">
        <v>2401060000</v>
      </c>
      <c r="E230" s="65" t="s">
        <v>160</v>
      </c>
      <c r="F230" s="50" t="s">
        <v>2018</v>
      </c>
      <c r="G230" s="81">
        <v>0.75</v>
      </c>
      <c r="H230" s="81" t="b">
        <v>0</v>
      </c>
      <c r="I230" s="81">
        <v>1</v>
      </c>
      <c r="J230" s="106" t="s">
        <v>56</v>
      </c>
      <c r="K230" s="36" t="s">
        <v>2110</v>
      </c>
    </row>
    <row r="231" spans="1:11" ht="19.5" customHeight="1" x14ac:dyDescent="0.25">
      <c r="A231" s="81"/>
      <c r="B231" s="106" t="s">
        <v>1730</v>
      </c>
      <c r="C231" s="50" t="s">
        <v>1300</v>
      </c>
      <c r="D231" s="129">
        <v>2401070000</v>
      </c>
      <c r="E231" s="65" t="s">
        <v>162</v>
      </c>
      <c r="F231" s="50" t="s">
        <v>2018</v>
      </c>
      <c r="G231" s="81">
        <v>0.75</v>
      </c>
      <c r="H231" s="81" t="b">
        <v>0</v>
      </c>
      <c r="I231" s="81">
        <v>1</v>
      </c>
      <c r="J231" s="106" t="s">
        <v>56</v>
      </c>
      <c r="K231" s="36" t="s">
        <v>2110</v>
      </c>
    </row>
    <row r="232" spans="1:11" ht="19.5" customHeight="1" x14ac:dyDescent="0.25">
      <c r="A232" s="81" t="s">
        <v>1885</v>
      </c>
      <c r="B232" s="106" t="s">
        <v>1730</v>
      </c>
      <c r="C232" s="50" t="s">
        <v>1300</v>
      </c>
      <c r="D232" s="129" t="s">
        <v>1973</v>
      </c>
      <c r="E232" s="65" t="s">
        <v>1972</v>
      </c>
      <c r="F232" s="50" t="s">
        <v>2018</v>
      </c>
      <c r="G232" s="81">
        <v>0.75</v>
      </c>
      <c r="H232" s="81" t="b">
        <v>0</v>
      </c>
      <c r="I232" s="81">
        <v>1</v>
      </c>
      <c r="J232" s="106" t="s">
        <v>56</v>
      </c>
      <c r="K232" s="36" t="s">
        <v>2110</v>
      </c>
    </row>
    <row r="233" spans="1:11" ht="19.5" customHeight="1" x14ac:dyDescent="0.25">
      <c r="A233" s="81" t="s">
        <v>1885</v>
      </c>
      <c r="B233" s="106" t="s">
        <v>1730</v>
      </c>
      <c r="C233" s="50" t="s">
        <v>1300</v>
      </c>
      <c r="D233" s="129" t="s">
        <v>1970</v>
      </c>
      <c r="E233" s="65" t="s">
        <v>1971</v>
      </c>
      <c r="F233" s="50" t="s">
        <v>2018</v>
      </c>
      <c r="G233" s="81">
        <v>0.75</v>
      </c>
      <c r="H233" s="81" t="b">
        <v>0</v>
      </c>
      <c r="I233" s="81">
        <v>1</v>
      </c>
      <c r="J233" s="106" t="s">
        <v>56</v>
      </c>
      <c r="K233" s="36" t="s">
        <v>2110</v>
      </c>
    </row>
    <row r="234" spans="1:11" ht="19.5" customHeight="1" x14ac:dyDescent="0.25">
      <c r="A234" s="81"/>
      <c r="B234" s="106" t="s">
        <v>1730</v>
      </c>
      <c r="C234" s="50" t="s">
        <v>1300</v>
      </c>
      <c r="D234" s="129">
        <v>2401090000</v>
      </c>
      <c r="E234" s="65" t="s">
        <v>169</v>
      </c>
      <c r="F234" s="50" t="s">
        <v>2018</v>
      </c>
      <c r="G234" s="81">
        <v>0.75</v>
      </c>
      <c r="H234" s="81" t="b">
        <v>0</v>
      </c>
      <c r="I234" s="81">
        <v>1</v>
      </c>
      <c r="J234" s="106" t="s">
        <v>56</v>
      </c>
      <c r="K234" s="36" t="s">
        <v>2110</v>
      </c>
    </row>
    <row r="235" spans="1:11" ht="19.5" customHeight="1" x14ac:dyDescent="0.25">
      <c r="A235" s="81"/>
      <c r="B235" s="106" t="s">
        <v>1730</v>
      </c>
      <c r="C235" s="50" t="s">
        <v>1300</v>
      </c>
      <c r="D235" s="129">
        <v>2401100000</v>
      </c>
      <c r="E235" s="65" t="s">
        <v>170</v>
      </c>
      <c r="F235" s="50" t="s">
        <v>2018</v>
      </c>
      <c r="G235" s="81">
        <v>0.75</v>
      </c>
      <c r="H235" s="81" t="b">
        <v>0</v>
      </c>
      <c r="I235" s="81">
        <v>1</v>
      </c>
      <c r="J235" s="106" t="s">
        <v>56</v>
      </c>
      <c r="K235" s="36" t="s">
        <v>2110</v>
      </c>
    </row>
    <row r="236" spans="1:11" ht="19.5" customHeight="1" x14ac:dyDescent="0.25">
      <c r="A236" s="74" t="s">
        <v>1885</v>
      </c>
      <c r="B236" s="114" t="s">
        <v>1997</v>
      </c>
      <c r="C236" s="59" t="s">
        <v>1998</v>
      </c>
      <c r="D236" s="118" t="s">
        <v>1977</v>
      </c>
      <c r="E236" s="62" t="s">
        <v>1978</v>
      </c>
      <c r="F236" s="59" t="s">
        <v>2008</v>
      </c>
      <c r="G236" s="74">
        <v>0.75</v>
      </c>
      <c r="H236" s="74" t="b">
        <v>0</v>
      </c>
      <c r="I236" s="74">
        <v>1</v>
      </c>
      <c r="J236" s="114" t="s">
        <v>56</v>
      </c>
      <c r="K236" s="36" t="s">
        <v>1679</v>
      </c>
    </row>
    <row r="237" spans="1:11" ht="19.5" customHeight="1" x14ac:dyDescent="0.25">
      <c r="A237" s="88"/>
      <c r="B237" s="115" t="s">
        <v>1731</v>
      </c>
      <c r="C237" s="43" t="s">
        <v>1455</v>
      </c>
      <c r="D237" s="115">
        <v>2801500000</v>
      </c>
      <c r="E237" s="42" t="s">
        <v>2059</v>
      </c>
      <c r="F237" s="42" t="s">
        <v>1668</v>
      </c>
      <c r="G237" s="79">
        <v>0.75</v>
      </c>
      <c r="H237" s="79" t="b">
        <v>0</v>
      </c>
      <c r="I237" s="79">
        <v>1</v>
      </c>
      <c r="J237" s="115" t="s">
        <v>56</v>
      </c>
      <c r="K237" s="36" t="s">
        <v>1682</v>
      </c>
    </row>
    <row r="238" spans="1:11" ht="19.5" customHeight="1" x14ac:dyDescent="0.25">
      <c r="A238" s="78"/>
      <c r="B238" s="100" t="s">
        <v>1714</v>
      </c>
      <c r="C238" s="48" t="s">
        <v>1785</v>
      </c>
      <c r="D238" s="100">
        <v>2805001100</v>
      </c>
      <c r="E238" s="48" t="s">
        <v>1789</v>
      </c>
      <c r="F238" s="48" t="s">
        <v>1309</v>
      </c>
      <c r="G238" s="78">
        <v>0.75</v>
      </c>
      <c r="H238" s="78" t="b">
        <v>0</v>
      </c>
      <c r="I238" s="78">
        <v>1</v>
      </c>
      <c r="J238" s="100" t="s">
        <v>56</v>
      </c>
      <c r="K238" s="36" t="s">
        <v>1682</v>
      </c>
    </row>
    <row r="239" spans="1:11" ht="19.5" customHeight="1" x14ac:dyDescent="0.25">
      <c r="A239" s="78"/>
      <c r="B239" s="100" t="s">
        <v>1714</v>
      </c>
      <c r="C239" s="48" t="s">
        <v>1785</v>
      </c>
      <c r="D239" s="100">
        <v>2805001200</v>
      </c>
      <c r="E239" s="48" t="s">
        <v>1790</v>
      </c>
      <c r="F239" s="48" t="s">
        <v>1309</v>
      </c>
      <c r="G239" s="78">
        <v>0.75</v>
      </c>
      <c r="H239" s="78" t="b">
        <v>0</v>
      </c>
      <c r="I239" s="78">
        <v>1</v>
      </c>
      <c r="J239" s="100" t="s">
        <v>56</v>
      </c>
      <c r="K239" s="36" t="s">
        <v>1682</v>
      </c>
    </row>
    <row r="240" spans="1:11" ht="19.5" customHeight="1" x14ac:dyDescent="0.25">
      <c r="A240" s="78"/>
      <c r="B240" s="100" t="s">
        <v>1714</v>
      </c>
      <c r="C240" s="48" t="s">
        <v>1785</v>
      </c>
      <c r="D240" s="100">
        <v>2805001300</v>
      </c>
      <c r="E240" s="48" t="s">
        <v>1791</v>
      </c>
      <c r="F240" s="48" t="s">
        <v>1309</v>
      </c>
      <c r="G240" s="78">
        <v>0.75</v>
      </c>
      <c r="H240" s="78" t="b">
        <v>0</v>
      </c>
      <c r="I240" s="78">
        <v>1</v>
      </c>
      <c r="J240" s="100" t="s">
        <v>56</v>
      </c>
      <c r="K240" s="36" t="s">
        <v>1682</v>
      </c>
    </row>
    <row r="241" spans="1:11" ht="19.5" customHeight="1" x14ac:dyDescent="0.25">
      <c r="A241" s="78"/>
      <c r="B241" s="100" t="s">
        <v>1714</v>
      </c>
      <c r="C241" s="48" t="s">
        <v>1785</v>
      </c>
      <c r="D241" s="100">
        <v>2805002000</v>
      </c>
      <c r="E241" s="48" t="s">
        <v>1792</v>
      </c>
      <c r="F241" s="48" t="s">
        <v>1309</v>
      </c>
      <c r="G241" s="78">
        <v>0.75</v>
      </c>
      <c r="H241" s="78" t="b">
        <v>0</v>
      </c>
      <c r="I241" s="78">
        <v>1</v>
      </c>
      <c r="J241" s="100" t="s">
        <v>56</v>
      </c>
      <c r="K241" s="36" t="s">
        <v>1682</v>
      </c>
    </row>
    <row r="242" spans="1:11" ht="19.5" customHeight="1" x14ac:dyDescent="0.25">
      <c r="A242" s="78"/>
      <c r="B242" s="100" t="s">
        <v>1714</v>
      </c>
      <c r="C242" s="48" t="s">
        <v>1785</v>
      </c>
      <c r="D242" s="100">
        <v>2805003100</v>
      </c>
      <c r="E242" s="48" t="s">
        <v>1793</v>
      </c>
      <c r="F242" s="48" t="s">
        <v>1309</v>
      </c>
      <c r="G242" s="78">
        <v>0.75</v>
      </c>
      <c r="H242" s="78" t="b">
        <v>0</v>
      </c>
      <c r="I242" s="78">
        <v>1</v>
      </c>
      <c r="J242" s="100" t="s">
        <v>56</v>
      </c>
      <c r="K242" s="36" t="s">
        <v>1682</v>
      </c>
    </row>
    <row r="243" spans="1:11" ht="19.5" customHeight="1" x14ac:dyDescent="0.25">
      <c r="A243" s="78"/>
      <c r="B243" s="100" t="s">
        <v>1714</v>
      </c>
      <c r="C243" s="48" t="s">
        <v>1785</v>
      </c>
      <c r="D243" s="100">
        <v>2805007100</v>
      </c>
      <c r="E243" s="48" t="s">
        <v>1794</v>
      </c>
      <c r="F243" s="48" t="s">
        <v>1309</v>
      </c>
      <c r="G243" s="78">
        <v>0.75</v>
      </c>
      <c r="H243" s="78" t="b">
        <v>0</v>
      </c>
      <c r="I243" s="78">
        <v>1</v>
      </c>
      <c r="J243" s="100" t="s">
        <v>56</v>
      </c>
      <c r="K243" s="36" t="s">
        <v>1682</v>
      </c>
    </row>
    <row r="244" spans="1:11" ht="19.5" customHeight="1" x14ac:dyDescent="0.25">
      <c r="A244" s="78"/>
      <c r="B244" s="100" t="s">
        <v>1714</v>
      </c>
      <c r="C244" s="48" t="s">
        <v>1785</v>
      </c>
      <c r="D244" s="100">
        <v>2805007300</v>
      </c>
      <c r="E244" s="48" t="s">
        <v>1795</v>
      </c>
      <c r="F244" s="48" t="s">
        <v>1309</v>
      </c>
      <c r="G244" s="78">
        <v>0.75</v>
      </c>
      <c r="H244" s="78" t="b">
        <v>0</v>
      </c>
      <c r="I244" s="78">
        <v>1</v>
      </c>
      <c r="J244" s="100" t="s">
        <v>56</v>
      </c>
      <c r="K244" s="36" t="s">
        <v>1682</v>
      </c>
    </row>
    <row r="245" spans="1:11" ht="19.5" customHeight="1" x14ac:dyDescent="0.25">
      <c r="A245" s="78"/>
      <c r="B245" s="100" t="s">
        <v>1714</v>
      </c>
      <c r="C245" s="48" t="s">
        <v>1785</v>
      </c>
      <c r="D245" s="100">
        <v>2805009100</v>
      </c>
      <c r="E245" s="48" t="s">
        <v>1796</v>
      </c>
      <c r="F245" s="48" t="s">
        <v>1309</v>
      </c>
      <c r="G245" s="78">
        <v>0.75</v>
      </c>
      <c r="H245" s="78" t="b">
        <v>0</v>
      </c>
      <c r="I245" s="78">
        <v>1</v>
      </c>
      <c r="J245" s="100" t="s">
        <v>56</v>
      </c>
      <c r="K245" s="36" t="s">
        <v>1682</v>
      </c>
    </row>
    <row r="246" spans="1:11" ht="19.5" customHeight="1" x14ac:dyDescent="0.25">
      <c r="A246" s="78"/>
      <c r="B246" s="100" t="s">
        <v>1714</v>
      </c>
      <c r="C246" s="48" t="s">
        <v>1785</v>
      </c>
      <c r="D246" s="100">
        <v>2805009200</v>
      </c>
      <c r="E246" s="48" t="s">
        <v>1797</v>
      </c>
      <c r="F246" s="48" t="s">
        <v>1309</v>
      </c>
      <c r="G246" s="78">
        <v>0.75</v>
      </c>
      <c r="H246" s="78" t="b">
        <v>0</v>
      </c>
      <c r="I246" s="78">
        <v>1</v>
      </c>
      <c r="J246" s="100" t="s">
        <v>56</v>
      </c>
      <c r="K246" s="36" t="s">
        <v>1682</v>
      </c>
    </row>
    <row r="247" spans="1:11" ht="19.5" customHeight="1" x14ac:dyDescent="0.25">
      <c r="A247" s="78"/>
      <c r="B247" s="100" t="s">
        <v>1714</v>
      </c>
      <c r="C247" s="48" t="s">
        <v>1785</v>
      </c>
      <c r="D247" s="100">
        <v>2805009300</v>
      </c>
      <c r="E247" s="48" t="s">
        <v>1798</v>
      </c>
      <c r="F247" s="48" t="s">
        <v>1309</v>
      </c>
      <c r="G247" s="78">
        <v>0.75</v>
      </c>
      <c r="H247" s="78" t="b">
        <v>0</v>
      </c>
      <c r="I247" s="78">
        <v>1</v>
      </c>
      <c r="J247" s="100" t="s">
        <v>56</v>
      </c>
      <c r="K247" s="36" t="s">
        <v>1682</v>
      </c>
    </row>
    <row r="248" spans="1:11" ht="19.5" customHeight="1" x14ac:dyDescent="0.25">
      <c r="A248" s="78"/>
      <c r="B248" s="100" t="s">
        <v>1714</v>
      </c>
      <c r="C248" s="48" t="s">
        <v>1785</v>
      </c>
      <c r="D248" s="100">
        <v>2805010100</v>
      </c>
      <c r="E248" s="48" t="s">
        <v>1799</v>
      </c>
      <c r="F248" s="48" t="s">
        <v>1309</v>
      </c>
      <c r="G248" s="78">
        <v>0.75</v>
      </c>
      <c r="H248" s="78" t="b">
        <v>0</v>
      </c>
      <c r="I248" s="78">
        <v>1</v>
      </c>
      <c r="J248" s="100" t="s">
        <v>56</v>
      </c>
      <c r="K248" s="36" t="s">
        <v>1682</v>
      </c>
    </row>
    <row r="249" spans="1:11" ht="19.5" customHeight="1" x14ac:dyDescent="0.25">
      <c r="A249" s="78"/>
      <c r="B249" s="100" t="s">
        <v>1714</v>
      </c>
      <c r="C249" s="48" t="s">
        <v>1785</v>
      </c>
      <c r="D249" s="100">
        <v>2805010200</v>
      </c>
      <c r="E249" s="48" t="s">
        <v>1800</v>
      </c>
      <c r="F249" s="48" t="s">
        <v>1309</v>
      </c>
      <c r="G249" s="78">
        <v>0.75</v>
      </c>
      <c r="H249" s="78" t="b">
        <v>0</v>
      </c>
      <c r="I249" s="78">
        <v>1</v>
      </c>
      <c r="J249" s="100" t="s">
        <v>56</v>
      </c>
      <c r="K249" s="36" t="s">
        <v>1682</v>
      </c>
    </row>
    <row r="250" spans="1:11" ht="19.5" customHeight="1" x14ac:dyDescent="0.25">
      <c r="A250" s="78"/>
      <c r="B250" s="100" t="s">
        <v>1714</v>
      </c>
      <c r="C250" s="48" t="s">
        <v>1785</v>
      </c>
      <c r="D250" s="100">
        <v>2805010300</v>
      </c>
      <c r="E250" s="48" t="s">
        <v>1801</v>
      </c>
      <c r="F250" s="48" t="s">
        <v>1309</v>
      </c>
      <c r="G250" s="78">
        <v>0.75</v>
      </c>
      <c r="H250" s="78" t="b">
        <v>0</v>
      </c>
      <c r="I250" s="78">
        <v>1</v>
      </c>
      <c r="J250" s="100" t="s">
        <v>56</v>
      </c>
      <c r="K250" s="36" t="s">
        <v>1682</v>
      </c>
    </row>
    <row r="251" spans="1:11" ht="19.5" customHeight="1" x14ac:dyDescent="0.25">
      <c r="A251" s="78"/>
      <c r="B251" s="100" t="s">
        <v>1714</v>
      </c>
      <c r="C251" s="48" t="s">
        <v>1785</v>
      </c>
      <c r="D251" s="100">
        <v>2805018000</v>
      </c>
      <c r="E251" s="48" t="s">
        <v>1802</v>
      </c>
      <c r="F251" s="48" t="s">
        <v>1309</v>
      </c>
      <c r="G251" s="78">
        <v>0.75</v>
      </c>
      <c r="H251" s="78" t="b">
        <v>0</v>
      </c>
      <c r="I251" s="78">
        <v>1</v>
      </c>
      <c r="J251" s="100" t="s">
        <v>56</v>
      </c>
      <c r="K251" s="36" t="s">
        <v>1682</v>
      </c>
    </row>
    <row r="252" spans="1:11" ht="19.5" customHeight="1" x14ac:dyDescent="0.25">
      <c r="A252" s="78"/>
      <c r="B252" s="100" t="s">
        <v>1714</v>
      </c>
      <c r="C252" s="48" t="s">
        <v>1785</v>
      </c>
      <c r="D252" s="100">
        <v>2805019100</v>
      </c>
      <c r="E252" s="48" t="s">
        <v>1803</v>
      </c>
      <c r="F252" s="48" t="s">
        <v>1309</v>
      </c>
      <c r="G252" s="78">
        <v>0.75</v>
      </c>
      <c r="H252" s="78" t="b">
        <v>0</v>
      </c>
      <c r="I252" s="78">
        <v>1</v>
      </c>
      <c r="J252" s="100" t="s">
        <v>56</v>
      </c>
      <c r="K252" s="36" t="s">
        <v>1682</v>
      </c>
    </row>
    <row r="253" spans="1:11" ht="19.5" customHeight="1" x14ac:dyDescent="0.25">
      <c r="A253" s="78"/>
      <c r="B253" s="100" t="s">
        <v>1714</v>
      </c>
      <c r="C253" s="48" t="s">
        <v>1785</v>
      </c>
      <c r="D253" s="100">
        <v>2805019200</v>
      </c>
      <c r="E253" s="48" t="s">
        <v>1804</v>
      </c>
      <c r="F253" s="48" t="s">
        <v>1309</v>
      </c>
      <c r="G253" s="78">
        <v>0.75</v>
      </c>
      <c r="H253" s="78" t="b">
        <v>0</v>
      </c>
      <c r="I253" s="78">
        <v>1</v>
      </c>
      <c r="J253" s="100" t="s">
        <v>56</v>
      </c>
      <c r="K253" s="36" t="s">
        <v>1682</v>
      </c>
    </row>
    <row r="254" spans="1:11" ht="19.5" customHeight="1" x14ac:dyDescent="0.25">
      <c r="A254" s="78"/>
      <c r="B254" s="100" t="s">
        <v>1714</v>
      </c>
      <c r="C254" s="48" t="s">
        <v>1785</v>
      </c>
      <c r="D254" s="100">
        <v>2805019300</v>
      </c>
      <c r="E254" s="48" t="s">
        <v>1805</v>
      </c>
      <c r="F254" s="48" t="s">
        <v>1309</v>
      </c>
      <c r="G254" s="78">
        <v>0.75</v>
      </c>
      <c r="H254" s="78" t="b">
        <v>0</v>
      </c>
      <c r="I254" s="78">
        <v>1</v>
      </c>
      <c r="J254" s="100" t="s">
        <v>56</v>
      </c>
      <c r="K254" s="36" t="s">
        <v>1682</v>
      </c>
    </row>
    <row r="255" spans="1:11" ht="19.5" customHeight="1" x14ac:dyDescent="0.25">
      <c r="A255" s="78"/>
      <c r="B255" s="100" t="s">
        <v>1714</v>
      </c>
      <c r="C255" s="48" t="s">
        <v>1785</v>
      </c>
      <c r="D255" s="100">
        <v>2805021100</v>
      </c>
      <c r="E255" s="48" t="s">
        <v>1806</v>
      </c>
      <c r="F255" s="48" t="s">
        <v>1309</v>
      </c>
      <c r="G255" s="78">
        <v>0.75</v>
      </c>
      <c r="H255" s="78" t="b">
        <v>0</v>
      </c>
      <c r="I255" s="78">
        <v>1</v>
      </c>
      <c r="J255" s="100" t="s">
        <v>56</v>
      </c>
      <c r="K255" s="36" t="s">
        <v>1682</v>
      </c>
    </row>
    <row r="256" spans="1:11" ht="19.5" customHeight="1" x14ac:dyDescent="0.25">
      <c r="A256" s="78"/>
      <c r="B256" s="100" t="s">
        <v>1714</v>
      </c>
      <c r="C256" s="48" t="s">
        <v>1785</v>
      </c>
      <c r="D256" s="100">
        <v>2805021200</v>
      </c>
      <c r="E256" s="48" t="s">
        <v>1807</v>
      </c>
      <c r="F256" s="48" t="s">
        <v>1309</v>
      </c>
      <c r="G256" s="78">
        <v>0.75</v>
      </c>
      <c r="H256" s="78" t="b">
        <v>0</v>
      </c>
      <c r="I256" s="78">
        <v>1</v>
      </c>
      <c r="J256" s="100" t="s">
        <v>56</v>
      </c>
      <c r="K256" s="36" t="s">
        <v>1682</v>
      </c>
    </row>
    <row r="257" spans="1:11" ht="19.5" customHeight="1" x14ac:dyDescent="0.25">
      <c r="A257" s="78"/>
      <c r="B257" s="100" t="s">
        <v>1714</v>
      </c>
      <c r="C257" s="48" t="s">
        <v>1785</v>
      </c>
      <c r="D257" s="100">
        <v>2805021300</v>
      </c>
      <c r="E257" s="48" t="s">
        <v>1808</v>
      </c>
      <c r="F257" s="48" t="s">
        <v>1309</v>
      </c>
      <c r="G257" s="78">
        <v>0.75</v>
      </c>
      <c r="H257" s="78" t="b">
        <v>0</v>
      </c>
      <c r="I257" s="78">
        <v>1</v>
      </c>
      <c r="J257" s="100" t="s">
        <v>56</v>
      </c>
      <c r="K257" s="36" t="s">
        <v>1682</v>
      </c>
    </row>
    <row r="258" spans="1:11" ht="19.5" customHeight="1" x14ac:dyDescent="0.25">
      <c r="A258" s="78"/>
      <c r="B258" s="100" t="s">
        <v>1714</v>
      </c>
      <c r="C258" s="48" t="s">
        <v>1785</v>
      </c>
      <c r="D258" s="100">
        <v>2805022100</v>
      </c>
      <c r="E258" s="48" t="s">
        <v>1809</v>
      </c>
      <c r="F258" s="48" t="s">
        <v>1309</v>
      </c>
      <c r="G258" s="78">
        <v>0.75</v>
      </c>
      <c r="H258" s="78" t="b">
        <v>0</v>
      </c>
      <c r="I258" s="78">
        <v>1</v>
      </c>
      <c r="J258" s="100" t="s">
        <v>56</v>
      </c>
      <c r="K258" s="36" t="s">
        <v>1682</v>
      </c>
    </row>
    <row r="259" spans="1:11" ht="19.5" customHeight="1" x14ac:dyDescent="0.25">
      <c r="A259" s="78"/>
      <c r="B259" s="100" t="s">
        <v>1714</v>
      </c>
      <c r="C259" s="48" t="s">
        <v>1785</v>
      </c>
      <c r="D259" s="100">
        <v>2805022200</v>
      </c>
      <c r="E259" s="48" t="s">
        <v>1810</v>
      </c>
      <c r="F259" s="48" t="s">
        <v>1309</v>
      </c>
      <c r="G259" s="78">
        <v>0.75</v>
      </c>
      <c r="H259" s="78" t="b">
        <v>0</v>
      </c>
      <c r="I259" s="78">
        <v>1</v>
      </c>
      <c r="J259" s="100" t="s">
        <v>56</v>
      </c>
      <c r="K259" s="36" t="s">
        <v>1682</v>
      </c>
    </row>
    <row r="260" spans="1:11" ht="19.5" customHeight="1" x14ac:dyDescent="0.25">
      <c r="A260" s="78"/>
      <c r="B260" s="100" t="s">
        <v>1714</v>
      </c>
      <c r="C260" s="48" t="s">
        <v>1785</v>
      </c>
      <c r="D260" s="100">
        <v>2805022300</v>
      </c>
      <c r="E260" s="48" t="s">
        <v>1811</v>
      </c>
      <c r="F260" s="48" t="s">
        <v>1309</v>
      </c>
      <c r="G260" s="78">
        <v>0.75</v>
      </c>
      <c r="H260" s="78" t="b">
        <v>0</v>
      </c>
      <c r="I260" s="78">
        <v>1</v>
      </c>
      <c r="J260" s="100" t="s">
        <v>56</v>
      </c>
      <c r="K260" s="36" t="s">
        <v>1682</v>
      </c>
    </row>
    <row r="261" spans="1:11" ht="19.5" customHeight="1" x14ac:dyDescent="0.25">
      <c r="A261" s="78"/>
      <c r="B261" s="100" t="s">
        <v>1714</v>
      </c>
      <c r="C261" s="48" t="s">
        <v>1785</v>
      </c>
      <c r="D261" s="100">
        <v>2805023100</v>
      </c>
      <c r="E261" s="48" t="s">
        <v>1812</v>
      </c>
      <c r="F261" s="48" t="s">
        <v>1309</v>
      </c>
      <c r="G261" s="78">
        <v>0.75</v>
      </c>
      <c r="H261" s="78" t="b">
        <v>0</v>
      </c>
      <c r="I261" s="78">
        <v>1</v>
      </c>
      <c r="J261" s="100" t="s">
        <v>56</v>
      </c>
      <c r="K261" s="36" t="s">
        <v>1682</v>
      </c>
    </row>
    <row r="262" spans="1:11" ht="19.5" customHeight="1" x14ac:dyDescent="0.25">
      <c r="A262" s="78"/>
      <c r="B262" s="100" t="s">
        <v>1714</v>
      </c>
      <c r="C262" s="48" t="s">
        <v>1785</v>
      </c>
      <c r="D262" s="100">
        <v>2805023200</v>
      </c>
      <c r="E262" s="48" t="s">
        <v>1813</v>
      </c>
      <c r="F262" s="48" t="s">
        <v>1309</v>
      </c>
      <c r="G262" s="78">
        <v>0.75</v>
      </c>
      <c r="H262" s="78" t="b">
        <v>0</v>
      </c>
      <c r="I262" s="78">
        <v>1</v>
      </c>
      <c r="J262" s="100" t="s">
        <v>56</v>
      </c>
      <c r="K262" s="36" t="s">
        <v>1682</v>
      </c>
    </row>
    <row r="263" spans="1:11" ht="19.5" customHeight="1" x14ac:dyDescent="0.25">
      <c r="A263" s="78"/>
      <c r="B263" s="100" t="s">
        <v>1714</v>
      </c>
      <c r="C263" s="48" t="s">
        <v>1785</v>
      </c>
      <c r="D263" s="100">
        <v>2805023300</v>
      </c>
      <c r="E263" s="48" t="s">
        <v>1814</v>
      </c>
      <c r="F263" s="48" t="s">
        <v>1309</v>
      </c>
      <c r="G263" s="78">
        <v>0.75</v>
      </c>
      <c r="H263" s="78" t="b">
        <v>0</v>
      </c>
      <c r="I263" s="78">
        <v>1</v>
      </c>
      <c r="J263" s="100" t="s">
        <v>56</v>
      </c>
      <c r="K263" s="36" t="s">
        <v>1682</v>
      </c>
    </row>
    <row r="264" spans="1:11" ht="19.5" customHeight="1" x14ac:dyDescent="0.25">
      <c r="A264" s="78"/>
      <c r="B264" s="100" t="s">
        <v>1714</v>
      </c>
      <c r="C264" s="48" t="s">
        <v>1785</v>
      </c>
      <c r="D264" s="100">
        <v>2805030000</v>
      </c>
      <c r="E264" s="48" t="s">
        <v>1815</v>
      </c>
      <c r="F264" s="48" t="s">
        <v>1309</v>
      </c>
      <c r="G264" s="78">
        <v>0.75</v>
      </c>
      <c r="H264" s="78" t="b">
        <v>0</v>
      </c>
      <c r="I264" s="78">
        <v>1</v>
      </c>
      <c r="J264" s="100" t="s">
        <v>56</v>
      </c>
      <c r="K264" s="36" t="s">
        <v>1682</v>
      </c>
    </row>
    <row r="265" spans="1:11" ht="19.5" customHeight="1" x14ac:dyDescent="0.25">
      <c r="A265" s="78"/>
      <c r="B265" s="100" t="s">
        <v>1714</v>
      </c>
      <c r="C265" s="48" t="s">
        <v>1785</v>
      </c>
      <c r="D265" s="100">
        <v>2805030007</v>
      </c>
      <c r="E265" s="48" t="s">
        <v>1816</v>
      </c>
      <c r="F265" s="48" t="s">
        <v>1309</v>
      </c>
      <c r="G265" s="78">
        <v>0.75</v>
      </c>
      <c r="H265" s="78" t="b">
        <v>0</v>
      </c>
      <c r="I265" s="78">
        <v>1</v>
      </c>
      <c r="J265" s="100" t="s">
        <v>56</v>
      </c>
      <c r="K265" s="36" t="s">
        <v>1682</v>
      </c>
    </row>
    <row r="266" spans="1:11" ht="19.5" customHeight="1" x14ac:dyDescent="0.25">
      <c r="A266" s="78"/>
      <c r="B266" s="100" t="s">
        <v>1714</v>
      </c>
      <c r="C266" s="48" t="s">
        <v>1785</v>
      </c>
      <c r="D266" s="100">
        <v>2805030008</v>
      </c>
      <c r="E266" s="48" t="s">
        <v>1817</v>
      </c>
      <c r="F266" s="48" t="s">
        <v>1309</v>
      </c>
      <c r="G266" s="78">
        <v>0.75</v>
      </c>
      <c r="H266" s="78" t="b">
        <v>0</v>
      </c>
      <c r="I266" s="78">
        <v>1</v>
      </c>
      <c r="J266" s="100" t="s">
        <v>56</v>
      </c>
      <c r="K266" s="36" t="s">
        <v>1682</v>
      </c>
    </row>
    <row r="267" spans="1:11" ht="19.5" customHeight="1" x14ac:dyDescent="0.25">
      <c r="A267" s="78"/>
      <c r="B267" s="100" t="s">
        <v>1714</v>
      </c>
      <c r="C267" s="48" t="s">
        <v>1785</v>
      </c>
      <c r="D267" s="100">
        <v>2805035000</v>
      </c>
      <c r="E267" s="48" t="s">
        <v>1818</v>
      </c>
      <c r="F267" s="48" t="s">
        <v>1309</v>
      </c>
      <c r="G267" s="78">
        <v>0.75</v>
      </c>
      <c r="H267" s="78" t="b">
        <v>0</v>
      </c>
      <c r="I267" s="78">
        <v>1</v>
      </c>
      <c r="J267" s="100" t="s">
        <v>56</v>
      </c>
      <c r="K267" s="36" t="s">
        <v>1682</v>
      </c>
    </row>
    <row r="268" spans="1:11" ht="19.5" customHeight="1" x14ac:dyDescent="0.25">
      <c r="A268" s="78"/>
      <c r="B268" s="100" t="s">
        <v>1714</v>
      </c>
      <c r="C268" s="48" t="s">
        <v>1785</v>
      </c>
      <c r="D268" s="100">
        <v>2805039100</v>
      </c>
      <c r="E268" s="48" t="s">
        <v>1819</v>
      </c>
      <c r="F268" s="48" t="s">
        <v>1309</v>
      </c>
      <c r="G268" s="78">
        <v>0.75</v>
      </c>
      <c r="H268" s="78" t="b">
        <v>0</v>
      </c>
      <c r="I268" s="78">
        <v>1</v>
      </c>
      <c r="J268" s="100" t="s">
        <v>56</v>
      </c>
      <c r="K268" s="36" t="s">
        <v>1682</v>
      </c>
    </row>
    <row r="269" spans="1:11" ht="19.5" customHeight="1" x14ac:dyDescent="0.25">
      <c r="A269" s="78"/>
      <c r="B269" s="100" t="s">
        <v>1714</v>
      </c>
      <c r="C269" s="48" t="s">
        <v>1785</v>
      </c>
      <c r="D269" s="100">
        <v>2805039200</v>
      </c>
      <c r="E269" s="48" t="s">
        <v>1820</v>
      </c>
      <c r="F269" s="48" t="s">
        <v>1309</v>
      </c>
      <c r="G269" s="78">
        <v>0.75</v>
      </c>
      <c r="H269" s="78" t="b">
        <v>0</v>
      </c>
      <c r="I269" s="78">
        <v>1</v>
      </c>
      <c r="J269" s="100" t="s">
        <v>56</v>
      </c>
      <c r="K269" s="36" t="s">
        <v>1682</v>
      </c>
    </row>
    <row r="270" spans="1:11" ht="19.5" customHeight="1" x14ac:dyDescent="0.25">
      <c r="A270" s="78"/>
      <c r="B270" s="100" t="s">
        <v>1714</v>
      </c>
      <c r="C270" s="48" t="s">
        <v>1785</v>
      </c>
      <c r="D270" s="100">
        <v>2805039300</v>
      </c>
      <c r="E270" s="48" t="s">
        <v>1821</v>
      </c>
      <c r="F270" s="48" t="s">
        <v>1309</v>
      </c>
      <c r="G270" s="78">
        <v>0.75</v>
      </c>
      <c r="H270" s="78" t="b">
        <v>0</v>
      </c>
      <c r="I270" s="78">
        <v>1</v>
      </c>
      <c r="J270" s="100" t="s">
        <v>56</v>
      </c>
      <c r="K270" s="36" t="s">
        <v>1682</v>
      </c>
    </row>
    <row r="271" spans="1:11" ht="19.5" customHeight="1" x14ac:dyDescent="0.25">
      <c r="A271" s="78"/>
      <c r="B271" s="100" t="s">
        <v>1714</v>
      </c>
      <c r="C271" s="48" t="s">
        <v>1785</v>
      </c>
      <c r="D271" s="100">
        <v>2805040000</v>
      </c>
      <c r="E271" s="48" t="s">
        <v>1822</v>
      </c>
      <c r="F271" s="48" t="s">
        <v>1309</v>
      </c>
      <c r="G271" s="78">
        <v>0.75</v>
      </c>
      <c r="H271" s="78" t="b">
        <v>0</v>
      </c>
      <c r="I271" s="78">
        <v>1</v>
      </c>
      <c r="J271" s="100" t="s">
        <v>56</v>
      </c>
      <c r="K271" s="36" t="s">
        <v>1682</v>
      </c>
    </row>
    <row r="272" spans="1:11" ht="19.5" customHeight="1" x14ac:dyDescent="0.25">
      <c r="A272" s="78"/>
      <c r="B272" s="100" t="s">
        <v>1714</v>
      </c>
      <c r="C272" s="48" t="s">
        <v>1785</v>
      </c>
      <c r="D272" s="100">
        <v>2805045000</v>
      </c>
      <c r="E272" s="48" t="s">
        <v>1823</v>
      </c>
      <c r="F272" s="48" t="s">
        <v>1309</v>
      </c>
      <c r="G272" s="78">
        <v>0.75</v>
      </c>
      <c r="H272" s="78" t="b">
        <v>0</v>
      </c>
      <c r="I272" s="78">
        <v>1</v>
      </c>
      <c r="J272" s="100" t="s">
        <v>56</v>
      </c>
      <c r="K272" s="36" t="s">
        <v>1682</v>
      </c>
    </row>
    <row r="273" spans="1:11" ht="19.5" customHeight="1" x14ac:dyDescent="0.25">
      <c r="A273" s="78"/>
      <c r="B273" s="100" t="s">
        <v>1714</v>
      </c>
      <c r="C273" s="48" t="s">
        <v>1785</v>
      </c>
      <c r="D273" s="100">
        <v>2805047100</v>
      </c>
      <c r="E273" s="48" t="s">
        <v>1824</v>
      </c>
      <c r="F273" s="48" t="s">
        <v>1309</v>
      </c>
      <c r="G273" s="78">
        <v>0.75</v>
      </c>
      <c r="H273" s="78" t="b">
        <v>0</v>
      </c>
      <c r="I273" s="78">
        <v>1</v>
      </c>
      <c r="J273" s="100" t="s">
        <v>56</v>
      </c>
      <c r="K273" s="36" t="s">
        <v>1682</v>
      </c>
    </row>
    <row r="274" spans="1:11" ht="19.5" customHeight="1" x14ac:dyDescent="0.25">
      <c r="A274" s="78"/>
      <c r="B274" s="100" t="s">
        <v>1714</v>
      </c>
      <c r="C274" s="48" t="s">
        <v>1785</v>
      </c>
      <c r="D274" s="100" t="s">
        <v>1852</v>
      </c>
      <c r="E274" s="48" t="s">
        <v>1851</v>
      </c>
      <c r="F274" s="48" t="s">
        <v>1309</v>
      </c>
      <c r="G274" s="78">
        <v>0.75</v>
      </c>
      <c r="H274" s="78" t="b">
        <v>0</v>
      </c>
      <c r="I274" s="78">
        <v>1</v>
      </c>
      <c r="J274" s="100" t="s">
        <v>56</v>
      </c>
      <c r="K274" s="36" t="s">
        <v>1682</v>
      </c>
    </row>
    <row r="275" spans="1:11" ht="19.5" customHeight="1" x14ac:dyDescent="0.25">
      <c r="A275" s="78"/>
      <c r="B275" s="100" t="s">
        <v>1714</v>
      </c>
      <c r="C275" s="48" t="s">
        <v>1785</v>
      </c>
      <c r="D275" s="100">
        <v>2805047300</v>
      </c>
      <c r="E275" s="48" t="s">
        <v>1825</v>
      </c>
      <c r="F275" s="48" t="s">
        <v>1309</v>
      </c>
      <c r="G275" s="78">
        <v>0.75</v>
      </c>
      <c r="H275" s="78" t="b">
        <v>0</v>
      </c>
      <c r="I275" s="78">
        <v>1</v>
      </c>
      <c r="J275" s="100" t="s">
        <v>56</v>
      </c>
      <c r="K275" s="36" t="s">
        <v>1682</v>
      </c>
    </row>
    <row r="276" spans="1:11" ht="19.5" customHeight="1" x14ac:dyDescent="0.25">
      <c r="A276" s="75" t="s">
        <v>2020</v>
      </c>
      <c r="B276" s="101" t="s">
        <v>1734</v>
      </c>
      <c r="C276" s="47" t="s">
        <v>1667</v>
      </c>
      <c r="D276" s="148">
        <v>2282020005</v>
      </c>
      <c r="E276" s="47" t="s">
        <v>1663</v>
      </c>
      <c r="F276" s="47" t="s">
        <v>2019</v>
      </c>
      <c r="G276" s="75">
        <v>0.1</v>
      </c>
      <c r="H276" s="75" t="b">
        <v>1</v>
      </c>
      <c r="I276" s="75">
        <v>1</v>
      </c>
      <c r="J276" s="101" t="s">
        <v>2097</v>
      </c>
      <c r="K276" s="36" t="s">
        <v>2079</v>
      </c>
    </row>
    <row r="277" spans="1:11" ht="19.5" customHeight="1" x14ac:dyDescent="0.25">
      <c r="A277" s="75" t="s">
        <v>2020</v>
      </c>
      <c r="B277" s="101" t="s">
        <v>1734</v>
      </c>
      <c r="C277" s="47" t="s">
        <v>1667</v>
      </c>
      <c r="D277" s="148">
        <v>2282020010</v>
      </c>
      <c r="E277" s="47" t="s">
        <v>1664</v>
      </c>
      <c r="F277" s="47" t="s">
        <v>2019</v>
      </c>
      <c r="G277" s="75">
        <v>0.1</v>
      </c>
      <c r="H277" s="75" t="b">
        <v>1</v>
      </c>
      <c r="I277" s="75">
        <v>1</v>
      </c>
      <c r="J277" s="101" t="s">
        <v>2097</v>
      </c>
      <c r="K277" s="36" t="s">
        <v>2079</v>
      </c>
    </row>
    <row r="278" spans="1:11" ht="19.5" customHeight="1" x14ac:dyDescent="0.25">
      <c r="A278" s="75" t="s">
        <v>2020</v>
      </c>
      <c r="B278" s="101" t="s">
        <v>1734</v>
      </c>
      <c r="C278" s="47" t="s">
        <v>1667</v>
      </c>
      <c r="D278" s="148">
        <v>2282005010</v>
      </c>
      <c r="E278" s="47" t="s">
        <v>1662</v>
      </c>
      <c r="F278" s="47" t="s">
        <v>2019</v>
      </c>
      <c r="G278" s="75">
        <v>0.1</v>
      </c>
      <c r="H278" s="75" t="b">
        <v>0</v>
      </c>
      <c r="I278" s="75">
        <v>1</v>
      </c>
      <c r="J278" s="101" t="s">
        <v>2097</v>
      </c>
      <c r="K278" s="36" t="s">
        <v>2079</v>
      </c>
    </row>
    <row r="279" spans="1:11" ht="19.5" customHeight="1" x14ac:dyDescent="0.25">
      <c r="A279" s="75" t="s">
        <v>2020</v>
      </c>
      <c r="B279" s="101" t="s">
        <v>1734</v>
      </c>
      <c r="C279" s="47" t="s">
        <v>1667</v>
      </c>
      <c r="D279" s="148">
        <v>2282005015</v>
      </c>
      <c r="E279" s="47" t="s">
        <v>1665</v>
      </c>
      <c r="F279" s="47" t="s">
        <v>2019</v>
      </c>
      <c r="G279" s="75">
        <v>0.1</v>
      </c>
      <c r="H279" s="75" t="b">
        <v>0</v>
      </c>
      <c r="I279" s="75">
        <v>1</v>
      </c>
      <c r="J279" s="101" t="s">
        <v>2097</v>
      </c>
      <c r="K279" s="36" t="s">
        <v>2079</v>
      </c>
    </row>
    <row r="280" spans="1:11" ht="19.5" customHeight="1" x14ac:dyDescent="0.25">
      <c r="A280" s="75" t="s">
        <v>2020</v>
      </c>
      <c r="B280" s="101" t="s">
        <v>1734</v>
      </c>
      <c r="C280" s="47" t="s">
        <v>1667</v>
      </c>
      <c r="D280" s="148">
        <v>2282010005</v>
      </c>
      <c r="E280" s="47" t="s">
        <v>1666</v>
      </c>
      <c r="F280" s="47" t="s">
        <v>2019</v>
      </c>
      <c r="G280" s="75">
        <v>0.1</v>
      </c>
      <c r="H280" s="75" t="b">
        <v>0</v>
      </c>
      <c r="I280" s="75">
        <v>1</v>
      </c>
      <c r="J280" s="101" t="s">
        <v>2097</v>
      </c>
      <c r="K280" s="36" t="s">
        <v>2079</v>
      </c>
    </row>
    <row r="281" spans="1:11" ht="19.5" customHeight="1" x14ac:dyDescent="0.25">
      <c r="A281" s="91"/>
      <c r="B281" s="119" t="s">
        <v>1737</v>
      </c>
      <c r="C281" s="66" t="s">
        <v>1308</v>
      </c>
      <c r="D281" s="130">
        <v>2260005035</v>
      </c>
      <c r="E281" s="67" t="s">
        <v>1415</v>
      </c>
      <c r="F281" s="66" t="s">
        <v>1309</v>
      </c>
      <c r="G281" s="91">
        <v>0.1</v>
      </c>
      <c r="H281" s="91" t="b">
        <v>0</v>
      </c>
      <c r="I281" s="91">
        <v>1</v>
      </c>
      <c r="J281" s="119" t="s">
        <v>2097</v>
      </c>
      <c r="K281" s="36" t="s">
        <v>1682</v>
      </c>
    </row>
    <row r="282" spans="1:11" ht="19.5" customHeight="1" x14ac:dyDescent="0.25">
      <c r="A282" s="91"/>
      <c r="B282" s="119" t="s">
        <v>1737</v>
      </c>
      <c r="C282" s="66" t="s">
        <v>1308</v>
      </c>
      <c r="D282" s="130">
        <v>2265005010</v>
      </c>
      <c r="E282" s="67" t="s">
        <v>1410</v>
      </c>
      <c r="F282" s="66" t="s">
        <v>1309</v>
      </c>
      <c r="G282" s="91">
        <v>0.1</v>
      </c>
      <c r="H282" s="91" t="b">
        <v>0</v>
      </c>
      <c r="I282" s="91">
        <v>1</v>
      </c>
      <c r="J282" s="119" t="s">
        <v>2097</v>
      </c>
      <c r="K282" s="36" t="s">
        <v>1682</v>
      </c>
    </row>
    <row r="283" spans="1:11" ht="19.5" customHeight="1" x14ac:dyDescent="0.25">
      <c r="A283" s="91"/>
      <c r="B283" s="119" t="s">
        <v>1737</v>
      </c>
      <c r="C283" s="66" t="s">
        <v>1308</v>
      </c>
      <c r="D283" s="130">
        <v>2265005015</v>
      </c>
      <c r="E283" s="67" t="s">
        <v>1411</v>
      </c>
      <c r="F283" s="66" t="s">
        <v>1309</v>
      </c>
      <c r="G283" s="91">
        <v>0.1</v>
      </c>
      <c r="H283" s="91" t="b">
        <v>0</v>
      </c>
      <c r="I283" s="91">
        <v>1</v>
      </c>
      <c r="J283" s="119" t="s">
        <v>2097</v>
      </c>
      <c r="K283" s="36" t="s">
        <v>1682</v>
      </c>
    </row>
    <row r="284" spans="1:11" ht="19.5" customHeight="1" x14ac:dyDescent="0.25">
      <c r="A284" s="91"/>
      <c r="B284" s="119" t="s">
        <v>1737</v>
      </c>
      <c r="C284" s="66" t="s">
        <v>1308</v>
      </c>
      <c r="D284" s="130">
        <v>2265005020</v>
      </c>
      <c r="E284" s="67" t="s">
        <v>1412</v>
      </c>
      <c r="F284" s="66" t="s">
        <v>1309</v>
      </c>
      <c r="G284" s="91">
        <v>0.1</v>
      </c>
      <c r="H284" s="91" t="b">
        <v>0</v>
      </c>
      <c r="I284" s="91">
        <v>1</v>
      </c>
      <c r="J284" s="119" t="s">
        <v>2097</v>
      </c>
      <c r="K284" s="36" t="s">
        <v>1682</v>
      </c>
    </row>
    <row r="285" spans="1:11" ht="19.5" customHeight="1" x14ac:dyDescent="0.25">
      <c r="A285" s="91"/>
      <c r="B285" s="119" t="s">
        <v>1737</v>
      </c>
      <c r="C285" s="66" t="s">
        <v>1308</v>
      </c>
      <c r="D285" s="130">
        <v>2265005025</v>
      </c>
      <c r="E285" s="67" t="s">
        <v>1413</v>
      </c>
      <c r="F285" s="66" t="s">
        <v>1309</v>
      </c>
      <c r="G285" s="91">
        <v>0.1</v>
      </c>
      <c r="H285" s="91" t="b">
        <v>0</v>
      </c>
      <c r="I285" s="91">
        <v>1</v>
      </c>
      <c r="J285" s="119" t="s">
        <v>2097</v>
      </c>
      <c r="K285" s="36" t="s">
        <v>1682</v>
      </c>
    </row>
    <row r="286" spans="1:11" ht="19.5" customHeight="1" x14ac:dyDescent="0.25">
      <c r="A286" s="91"/>
      <c r="B286" s="119" t="s">
        <v>1737</v>
      </c>
      <c r="C286" s="66" t="s">
        <v>1308</v>
      </c>
      <c r="D286" s="130">
        <v>2265005030</v>
      </c>
      <c r="E286" s="67" t="s">
        <v>1414</v>
      </c>
      <c r="F286" s="66" t="s">
        <v>1309</v>
      </c>
      <c r="G286" s="91">
        <v>0.1</v>
      </c>
      <c r="H286" s="91" t="b">
        <v>0</v>
      </c>
      <c r="I286" s="91">
        <v>1</v>
      </c>
      <c r="J286" s="119" t="s">
        <v>2097</v>
      </c>
      <c r="K286" s="36" t="s">
        <v>1682</v>
      </c>
    </row>
    <row r="287" spans="1:11" ht="19.5" customHeight="1" x14ac:dyDescent="0.25">
      <c r="A287" s="91"/>
      <c r="B287" s="119" t="s">
        <v>1737</v>
      </c>
      <c r="C287" s="66" t="s">
        <v>1308</v>
      </c>
      <c r="D287" s="130">
        <v>2265005035</v>
      </c>
      <c r="E287" s="67" t="s">
        <v>1409</v>
      </c>
      <c r="F287" s="66" t="s">
        <v>1309</v>
      </c>
      <c r="G287" s="91">
        <v>0.1</v>
      </c>
      <c r="H287" s="91" t="b">
        <v>0</v>
      </c>
      <c r="I287" s="91">
        <v>1</v>
      </c>
      <c r="J287" s="119" t="s">
        <v>2097</v>
      </c>
      <c r="K287" s="36" t="s">
        <v>1682</v>
      </c>
    </row>
    <row r="288" spans="1:11" ht="19.5" customHeight="1" x14ac:dyDescent="0.25">
      <c r="A288" s="91"/>
      <c r="B288" s="119" t="s">
        <v>1737</v>
      </c>
      <c r="C288" s="66" t="s">
        <v>1308</v>
      </c>
      <c r="D288" s="130">
        <v>2265005040</v>
      </c>
      <c r="E288" s="67" t="s">
        <v>1416</v>
      </c>
      <c r="F288" s="66" t="s">
        <v>1309</v>
      </c>
      <c r="G288" s="91">
        <v>0.1</v>
      </c>
      <c r="H288" s="91" t="b">
        <v>0</v>
      </c>
      <c r="I288" s="91">
        <v>1</v>
      </c>
      <c r="J288" s="119" t="s">
        <v>2097</v>
      </c>
      <c r="K288" s="36" t="s">
        <v>1682</v>
      </c>
    </row>
    <row r="289" spans="1:11" ht="19.5" customHeight="1" x14ac:dyDescent="0.25">
      <c r="A289" s="91"/>
      <c r="B289" s="119" t="s">
        <v>1737</v>
      </c>
      <c r="C289" s="66" t="s">
        <v>1308</v>
      </c>
      <c r="D289" s="130">
        <v>2265005045</v>
      </c>
      <c r="E289" s="67" t="s">
        <v>1417</v>
      </c>
      <c r="F289" s="66" t="s">
        <v>1309</v>
      </c>
      <c r="G289" s="91">
        <v>0.1</v>
      </c>
      <c r="H289" s="91" t="b">
        <v>0</v>
      </c>
      <c r="I289" s="91">
        <v>1</v>
      </c>
      <c r="J289" s="119" t="s">
        <v>2097</v>
      </c>
      <c r="K289" s="36" t="s">
        <v>1682</v>
      </c>
    </row>
    <row r="290" spans="1:11" ht="19.5" customHeight="1" x14ac:dyDescent="0.25">
      <c r="A290" s="91"/>
      <c r="B290" s="119" t="s">
        <v>1737</v>
      </c>
      <c r="C290" s="66" t="s">
        <v>1308</v>
      </c>
      <c r="D290" s="130">
        <v>2265005055</v>
      </c>
      <c r="E290" s="67" t="s">
        <v>1418</v>
      </c>
      <c r="F290" s="66" t="s">
        <v>1309</v>
      </c>
      <c r="G290" s="91">
        <v>0.1</v>
      </c>
      <c r="H290" s="91" t="b">
        <v>0</v>
      </c>
      <c r="I290" s="91">
        <v>1</v>
      </c>
      <c r="J290" s="119" t="s">
        <v>2097</v>
      </c>
      <c r="K290" s="36" t="s">
        <v>1682</v>
      </c>
    </row>
    <row r="291" spans="1:11" ht="19.5" customHeight="1" x14ac:dyDescent="0.25">
      <c r="A291" s="91"/>
      <c r="B291" s="119" t="s">
        <v>1737</v>
      </c>
      <c r="C291" s="66" t="s">
        <v>1308</v>
      </c>
      <c r="D291" s="130">
        <v>2265005060</v>
      </c>
      <c r="E291" s="67" t="s">
        <v>1419</v>
      </c>
      <c r="F291" s="66" t="s">
        <v>1309</v>
      </c>
      <c r="G291" s="91">
        <v>0.1</v>
      </c>
      <c r="H291" s="91" t="b">
        <v>0</v>
      </c>
      <c r="I291" s="91">
        <v>1</v>
      </c>
      <c r="J291" s="119" t="s">
        <v>2097</v>
      </c>
      <c r="K291" s="36" t="s">
        <v>1682</v>
      </c>
    </row>
    <row r="292" spans="1:11" ht="19.5" customHeight="1" x14ac:dyDescent="0.25">
      <c r="A292" s="91"/>
      <c r="B292" s="119" t="s">
        <v>1737</v>
      </c>
      <c r="C292" s="66" t="s">
        <v>1308</v>
      </c>
      <c r="D292" s="130">
        <v>2267005055</v>
      </c>
      <c r="E292" s="67" t="s">
        <v>1420</v>
      </c>
      <c r="F292" s="66" t="s">
        <v>1309</v>
      </c>
      <c r="G292" s="91">
        <v>0.1</v>
      </c>
      <c r="H292" s="91" t="b">
        <v>0</v>
      </c>
      <c r="I292" s="91">
        <v>1</v>
      </c>
      <c r="J292" s="119" t="s">
        <v>2097</v>
      </c>
      <c r="K292" s="36" t="s">
        <v>1682</v>
      </c>
    </row>
    <row r="293" spans="1:11" ht="19.5" customHeight="1" x14ac:dyDescent="0.25">
      <c r="A293" s="91"/>
      <c r="B293" s="119" t="s">
        <v>1737</v>
      </c>
      <c r="C293" s="66" t="s">
        <v>1308</v>
      </c>
      <c r="D293" s="130">
        <v>2267005060</v>
      </c>
      <c r="E293" s="67" t="s">
        <v>1421</v>
      </c>
      <c r="F293" s="66" t="s">
        <v>1309</v>
      </c>
      <c r="G293" s="91">
        <v>0.1</v>
      </c>
      <c r="H293" s="91" t="b">
        <v>0</v>
      </c>
      <c r="I293" s="91">
        <v>1</v>
      </c>
      <c r="J293" s="119" t="s">
        <v>2097</v>
      </c>
      <c r="K293" s="36" t="s">
        <v>1682</v>
      </c>
    </row>
    <row r="294" spans="1:11" ht="19.5" customHeight="1" x14ac:dyDescent="0.25">
      <c r="A294" s="91"/>
      <c r="B294" s="119" t="s">
        <v>1737</v>
      </c>
      <c r="C294" s="66" t="s">
        <v>1308</v>
      </c>
      <c r="D294" s="130">
        <v>2268005055</v>
      </c>
      <c r="E294" s="67" t="s">
        <v>1422</v>
      </c>
      <c r="F294" s="66" t="s">
        <v>1309</v>
      </c>
      <c r="G294" s="91">
        <v>0.1</v>
      </c>
      <c r="H294" s="91" t="b">
        <v>0</v>
      </c>
      <c r="I294" s="91">
        <v>1</v>
      </c>
      <c r="J294" s="119" t="s">
        <v>2097</v>
      </c>
      <c r="K294" s="36" t="s">
        <v>1682</v>
      </c>
    </row>
    <row r="295" spans="1:11" ht="19.5" customHeight="1" x14ac:dyDescent="0.25">
      <c r="A295" s="91"/>
      <c r="B295" s="119" t="s">
        <v>1737</v>
      </c>
      <c r="C295" s="66" t="s">
        <v>1308</v>
      </c>
      <c r="D295" s="130">
        <v>2268005060</v>
      </c>
      <c r="E295" s="67" t="s">
        <v>1423</v>
      </c>
      <c r="F295" s="66" t="s">
        <v>1309</v>
      </c>
      <c r="G295" s="91">
        <v>0.1</v>
      </c>
      <c r="H295" s="91" t="b">
        <v>0</v>
      </c>
      <c r="I295" s="91">
        <v>1</v>
      </c>
      <c r="J295" s="119" t="s">
        <v>2097</v>
      </c>
      <c r="K295" s="36" t="s">
        <v>1682</v>
      </c>
    </row>
    <row r="296" spans="1:11" ht="19.5" customHeight="1" x14ac:dyDescent="0.25">
      <c r="A296" s="91"/>
      <c r="B296" s="119" t="s">
        <v>1737</v>
      </c>
      <c r="C296" s="66" t="s">
        <v>1308</v>
      </c>
      <c r="D296" s="130">
        <v>2270005010</v>
      </c>
      <c r="E296" s="67" t="s">
        <v>1424</v>
      </c>
      <c r="F296" s="66" t="s">
        <v>1309</v>
      </c>
      <c r="G296" s="91">
        <v>0.1</v>
      </c>
      <c r="H296" s="91" t="b">
        <v>1</v>
      </c>
      <c r="I296" s="91">
        <v>1</v>
      </c>
      <c r="J296" s="119" t="s">
        <v>2097</v>
      </c>
      <c r="K296" s="36" t="s">
        <v>1682</v>
      </c>
    </row>
    <row r="297" spans="1:11" ht="19.5" customHeight="1" x14ac:dyDescent="0.25">
      <c r="A297" s="91"/>
      <c r="B297" s="119" t="s">
        <v>1737</v>
      </c>
      <c r="C297" s="66" t="s">
        <v>1308</v>
      </c>
      <c r="D297" s="130">
        <v>2270005015</v>
      </c>
      <c r="E297" s="67" t="s">
        <v>1425</v>
      </c>
      <c r="F297" s="66" t="s">
        <v>1309</v>
      </c>
      <c r="G297" s="91">
        <v>0.1</v>
      </c>
      <c r="H297" s="91" t="b">
        <v>1</v>
      </c>
      <c r="I297" s="91">
        <v>1</v>
      </c>
      <c r="J297" s="119" t="s">
        <v>2097</v>
      </c>
      <c r="K297" s="36" t="s">
        <v>1682</v>
      </c>
    </row>
    <row r="298" spans="1:11" ht="19.5" customHeight="1" x14ac:dyDescent="0.25">
      <c r="A298" s="91"/>
      <c r="B298" s="119" t="s">
        <v>1737</v>
      </c>
      <c r="C298" s="66" t="s">
        <v>1308</v>
      </c>
      <c r="D298" s="130">
        <v>2270005020</v>
      </c>
      <c r="E298" s="67" t="s">
        <v>1426</v>
      </c>
      <c r="F298" s="66" t="s">
        <v>1309</v>
      </c>
      <c r="G298" s="91">
        <v>0.1</v>
      </c>
      <c r="H298" s="91" t="b">
        <v>1</v>
      </c>
      <c r="I298" s="91">
        <v>1</v>
      </c>
      <c r="J298" s="119" t="s">
        <v>2097</v>
      </c>
      <c r="K298" s="36" t="s">
        <v>1682</v>
      </c>
    </row>
    <row r="299" spans="1:11" ht="19.5" customHeight="1" x14ac:dyDescent="0.25">
      <c r="A299" s="91"/>
      <c r="B299" s="119" t="s">
        <v>1737</v>
      </c>
      <c r="C299" s="66" t="s">
        <v>1308</v>
      </c>
      <c r="D299" s="130">
        <v>2270005025</v>
      </c>
      <c r="E299" s="67" t="s">
        <v>1427</v>
      </c>
      <c r="F299" s="66" t="s">
        <v>1309</v>
      </c>
      <c r="G299" s="91">
        <v>0.1</v>
      </c>
      <c r="H299" s="91" t="b">
        <v>1</v>
      </c>
      <c r="I299" s="91">
        <v>1</v>
      </c>
      <c r="J299" s="119" t="s">
        <v>2097</v>
      </c>
      <c r="K299" s="36" t="s">
        <v>1682</v>
      </c>
    </row>
    <row r="300" spans="1:11" ht="19.5" customHeight="1" x14ac:dyDescent="0.25">
      <c r="A300" s="91"/>
      <c r="B300" s="119" t="s">
        <v>1737</v>
      </c>
      <c r="C300" s="66" t="s">
        <v>1308</v>
      </c>
      <c r="D300" s="130">
        <v>2270005030</v>
      </c>
      <c r="E300" s="67" t="s">
        <v>1428</v>
      </c>
      <c r="F300" s="66" t="s">
        <v>1309</v>
      </c>
      <c r="G300" s="91">
        <v>0.1</v>
      </c>
      <c r="H300" s="91" t="b">
        <v>1</v>
      </c>
      <c r="I300" s="91">
        <v>1</v>
      </c>
      <c r="J300" s="119" t="s">
        <v>2097</v>
      </c>
      <c r="K300" s="36" t="s">
        <v>1682</v>
      </c>
    </row>
    <row r="301" spans="1:11" ht="19.5" customHeight="1" x14ac:dyDescent="0.25">
      <c r="A301" s="91"/>
      <c r="B301" s="119" t="s">
        <v>1737</v>
      </c>
      <c r="C301" s="66" t="s">
        <v>1308</v>
      </c>
      <c r="D301" s="130">
        <v>2270005035</v>
      </c>
      <c r="E301" s="67" t="s">
        <v>1429</v>
      </c>
      <c r="F301" s="66" t="s">
        <v>1309</v>
      </c>
      <c r="G301" s="91">
        <v>0.1</v>
      </c>
      <c r="H301" s="91" t="b">
        <v>1</v>
      </c>
      <c r="I301" s="91">
        <v>1</v>
      </c>
      <c r="J301" s="119" t="s">
        <v>2097</v>
      </c>
      <c r="K301" s="36" t="s">
        <v>1682</v>
      </c>
    </row>
    <row r="302" spans="1:11" ht="19.5" customHeight="1" x14ac:dyDescent="0.25">
      <c r="A302" s="91"/>
      <c r="B302" s="119" t="s">
        <v>1737</v>
      </c>
      <c r="C302" s="66" t="s">
        <v>1308</v>
      </c>
      <c r="D302" s="130">
        <v>2270005040</v>
      </c>
      <c r="E302" s="67" t="s">
        <v>1430</v>
      </c>
      <c r="F302" s="66" t="s">
        <v>1309</v>
      </c>
      <c r="G302" s="91">
        <v>0.1</v>
      </c>
      <c r="H302" s="91" t="b">
        <v>1</v>
      </c>
      <c r="I302" s="91">
        <v>1</v>
      </c>
      <c r="J302" s="119" t="s">
        <v>2097</v>
      </c>
      <c r="K302" s="36" t="s">
        <v>1682</v>
      </c>
    </row>
    <row r="303" spans="1:11" ht="19.5" customHeight="1" x14ac:dyDescent="0.25">
      <c r="A303" s="91"/>
      <c r="B303" s="119" t="s">
        <v>1737</v>
      </c>
      <c r="C303" s="66" t="s">
        <v>1308</v>
      </c>
      <c r="D303" s="130">
        <v>2270005045</v>
      </c>
      <c r="E303" s="67" t="s">
        <v>1431</v>
      </c>
      <c r="F303" s="66" t="s">
        <v>1309</v>
      </c>
      <c r="G303" s="91">
        <v>0.1</v>
      </c>
      <c r="H303" s="91" t="b">
        <v>1</v>
      </c>
      <c r="I303" s="91">
        <v>1</v>
      </c>
      <c r="J303" s="119" t="s">
        <v>2097</v>
      </c>
      <c r="K303" s="36" t="s">
        <v>1682</v>
      </c>
    </row>
    <row r="304" spans="1:11" ht="19.5" customHeight="1" x14ac:dyDescent="0.25">
      <c r="A304" s="91"/>
      <c r="B304" s="119" t="s">
        <v>1737</v>
      </c>
      <c r="C304" s="66" t="s">
        <v>1308</v>
      </c>
      <c r="D304" s="130">
        <v>2270005055</v>
      </c>
      <c r="E304" s="67" t="s">
        <v>1432</v>
      </c>
      <c r="F304" s="66" t="s">
        <v>1309</v>
      </c>
      <c r="G304" s="91">
        <v>0.1</v>
      </c>
      <c r="H304" s="91" t="b">
        <v>1</v>
      </c>
      <c r="I304" s="91">
        <v>1</v>
      </c>
      <c r="J304" s="119" t="s">
        <v>2097</v>
      </c>
      <c r="K304" s="36" t="s">
        <v>1682</v>
      </c>
    </row>
    <row r="305" spans="1:11" ht="19.5" customHeight="1" x14ac:dyDescent="0.25">
      <c r="A305" s="91"/>
      <c r="B305" s="119" t="s">
        <v>1737</v>
      </c>
      <c r="C305" s="66" t="s">
        <v>1308</v>
      </c>
      <c r="D305" s="130">
        <v>2270005060</v>
      </c>
      <c r="E305" s="67" t="s">
        <v>1433</v>
      </c>
      <c r="F305" s="66" t="s">
        <v>1309</v>
      </c>
      <c r="G305" s="91">
        <v>0.1</v>
      </c>
      <c r="H305" s="91" t="b">
        <v>1</v>
      </c>
      <c r="I305" s="91">
        <v>1</v>
      </c>
      <c r="J305" s="119" t="s">
        <v>2097</v>
      </c>
      <c r="K305" s="36" t="s">
        <v>1682</v>
      </c>
    </row>
    <row r="306" spans="1:11" ht="19.5" customHeight="1" x14ac:dyDescent="0.25">
      <c r="A306" s="170" t="s">
        <v>2060</v>
      </c>
      <c r="B306" s="100" t="s">
        <v>1738</v>
      </c>
      <c r="C306" s="48" t="s">
        <v>1709</v>
      </c>
      <c r="D306" s="112">
        <v>2265001010</v>
      </c>
      <c r="E306" s="52" t="s">
        <v>1466</v>
      </c>
      <c r="F306" s="48" t="s">
        <v>2021</v>
      </c>
      <c r="G306" s="78">
        <v>0.1</v>
      </c>
      <c r="H306" s="78" t="b">
        <v>0</v>
      </c>
      <c r="I306" s="78">
        <v>1</v>
      </c>
      <c r="J306" s="100" t="s">
        <v>2097</v>
      </c>
      <c r="K306" s="36" t="s">
        <v>2111</v>
      </c>
    </row>
    <row r="307" spans="1:11" ht="19.5" customHeight="1" x14ac:dyDescent="0.25">
      <c r="A307" s="170"/>
      <c r="B307" s="100" t="s">
        <v>1738</v>
      </c>
      <c r="C307" s="48" t="s">
        <v>1709</v>
      </c>
      <c r="D307" s="112">
        <v>2265001030</v>
      </c>
      <c r="E307" s="52" t="s">
        <v>1467</v>
      </c>
      <c r="F307" s="48" t="s">
        <v>2021</v>
      </c>
      <c r="G307" s="78">
        <v>0.1</v>
      </c>
      <c r="H307" s="78" t="b">
        <v>0</v>
      </c>
      <c r="I307" s="78">
        <v>1</v>
      </c>
      <c r="J307" s="100" t="s">
        <v>2097</v>
      </c>
      <c r="K307" s="36" t="s">
        <v>2111</v>
      </c>
    </row>
    <row r="308" spans="1:11" ht="19.5" customHeight="1" x14ac:dyDescent="0.25">
      <c r="A308" s="170"/>
      <c r="B308" s="100" t="s">
        <v>1738</v>
      </c>
      <c r="C308" s="48" t="s">
        <v>1709</v>
      </c>
      <c r="D308" s="112">
        <v>2265001050</v>
      </c>
      <c r="E308" s="52" t="s">
        <v>1468</v>
      </c>
      <c r="F308" s="48" t="s">
        <v>2021</v>
      </c>
      <c r="G308" s="78">
        <v>0.1</v>
      </c>
      <c r="H308" s="78" t="b">
        <v>0</v>
      </c>
      <c r="I308" s="78">
        <v>1</v>
      </c>
      <c r="J308" s="100" t="s">
        <v>2097</v>
      </c>
      <c r="K308" s="36" t="s">
        <v>2111</v>
      </c>
    </row>
    <row r="309" spans="1:11" ht="19.5" customHeight="1" x14ac:dyDescent="0.25">
      <c r="A309" s="170"/>
      <c r="B309" s="100" t="s">
        <v>1738</v>
      </c>
      <c r="C309" s="48" t="s">
        <v>1709</v>
      </c>
      <c r="D309" s="112">
        <v>2265001060</v>
      </c>
      <c r="E309" s="52" t="s">
        <v>1469</v>
      </c>
      <c r="F309" s="48" t="s">
        <v>2021</v>
      </c>
      <c r="G309" s="78">
        <v>0.1</v>
      </c>
      <c r="H309" s="78" t="b">
        <v>0</v>
      </c>
      <c r="I309" s="78">
        <v>1</v>
      </c>
      <c r="J309" s="100" t="s">
        <v>2097</v>
      </c>
      <c r="K309" s="36" t="s">
        <v>2111</v>
      </c>
    </row>
    <row r="310" spans="1:11" ht="19.5" customHeight="1" x14ac:dyDescent="0.25">
      <c r="A310" s="170"/>
      <c r="B310" s="100" t="s">
        <v>1738</v>
      </c>
      <c r="C310" s="48" t="s">
        <v>1709</v>
      </c>
      <c r="D310" s="112">
        <v>2260001010</v>
      </c>
      <c r="E310" s="48" t="s">
        <v>1470</v>
      </c>
      <c r="F310" s="48" t="s">
        <v>2021</v>
      </c>
      <c r="G310" s="78">
        <v>0.1</v>
      </c>
      <c r="H310" s="78" t="b">
        <v>0</v>
      </c>
      <c r="I310" s="78">
        <v>1</v>
      </c>
      <c r="J310" s="100" t="s">
        <v>2097</v>
      </c>
      <c r="K310" s="36" t="s">
        <v>2111</v>
      </c>
    </row>
    <row r="311" spans="1:11" ht="19.5" customHeight="1" x14ac:dyDescent="0.25">
      <c r="A311" s="170"/>
      <c r="B311" s="100" t="s">
        <v>1738</v>
      </c>
      <c r="C311" s="48" t="s">
        <v>1709</v>
      </c>
      <c r="D311" s="112">
        <v>2260001020</v>
      </c>
      <c r="E311" s="48" t="s">
        <v>1471</v>
      </c>
      <c r="F311" s="48" t="s">
        <v>2021</v>
      </c>
      <c r="G311" s="78">
        <v>0.1</v>
      </c>
      <c r="H311" s="78" t="b">
        <v>0</v>
      </c>
      <c r="I311" s="78">
        <v>1</v>
      </c>
      <c r="J311" s="100" t="s">
        <v>2097</v>
      </c>
      <c r="K311" s="36" t="s">
        <v>2111</v>
      </c>
    </row>
    <row r="312" spans="1:11" ht="19.5" customHeight="1" x14ac:dyDescent="0.25">
      <c r="A312" s="170"/>
      <c r="B312" s="100" t="s">
        <v>1738</v>
      </c>
      <c r="C312" s="48" t="s">
        <v>1709</v>
      </c>
      <c r="D312" s="112">
        <v>2260001030</v>
      </c>
      <c r="E312" s="48" t="s">
        <v>1472</v>
      </c>
      <c r="F312" s="48" t="s">
        <v>2021</v>
      </c>
      <c r="G312" s="78">
        <v>0.1</v>
      </c>
      <c r="H312" s="78" t="b">
        <v>0</v>
      </c>
      <c r="I312" s="78">
        <v>1</v>
      </c>
      <c r="J312" s="100" t="s">
        <v>2097</v>
      </c>
      <c r="K312" s="36" t="s">
        <v>2111</v>
      </c>
    </row>
    <row r="313" spans="1:11" ht="19.5" customHeight="1" x14ac:dyDescent="0.25">
      <c r="A313" s="170"/>
      <c r="B313" s="100" t="s">
        <v>1738</v>
      </c>
      <c r="C313" s="48" t="s">
        <v>1709</v>
      </c>
      <c r="D313" s="112">
        <v>2260001060</v>
      </c>
      <c r="E313" s="48" t="s">
        <v>1473</v>
      </c>
      <c r="F313" s="48" t="s">
        <v>2021</v>
      </c>
      <c r="G313" s="78">
        <v>0.1</v>
      </c>
      <c r="H313" s="78" t="b">
        <v>0</v>
      </c>
      <c r="I313" s="78">
        <v>1</v>
      </c>
      <c r="J313" s="100" t="s">
        <v>2097</v>
      </c>
      <c r="K313" s="36" t="s">
        <v>2111</v>
      </c>
    </row>
    <row r="314" spans="1:11" ht="19.5" customHeight="1" x14ac:dyDescent="0.25">
      <c r="A314" s="170"/>
      <c r="B314" s="100" t="s">
        <v>1738</v>
      </c>
      <c r="C314" s="48" t="s">
        <v>1709</v>
      </c>
      <c r="D314" s="112">
        <v>2267001060</v>
      </c>
      <c r="E314" s="48" t="s">
        <v>1474</v>
      </c>
      <c r="F314" s="48" t="s">
        <v>2021</v>
      </c>
      <c r="G314" s="78">
        <v>0.1</v>
      </c>
      <c r="H314" s="78" t="b">
        <v>0</v>
      </c>
      <c r="I314" s="78">
        <v>1</v>
      </c>
      <c r="J314" s="100" t="s">
        <v>2097</v>
      </c>
      <c r="K314" s="36" t="s">
        <v>2111</v>
      </c>
    </row>
    <row r="315" spans="1:11" ht="19.5" customHeight="1" x14ac:dyDescent="0.25">
      <c r="A315" s="170"/>
      <c r="B315" s="100" t="s">
        <v>1738</v>
      </c>
      <c r="C315" s="48" t="s">
        <v>1709</v>
      </c>
      <c r="D315" s="112">
        <v>2270001060</v>
      </c>
      <c r="E315" s="48" t="s">
        <v>1475</v>
      </c>
      <c r="F315" s="48" t="s">
        <v>2021</v>
      </c>
      <c r="G315" s="78">
        <v>0.1</v>
      </c>
      <c r="H315" s="78" t="b">
        <v>1</v>
      </c>
      <c r="I315" s="78">
        <v>1</v>
      </c>
      <c r="J315" s="100" t="s">
        <v>2097</v>
      </c>
      <c r="K315" s="36" t="s">
        <v>2111</v>
      </c>
    </row>
    <row r="316" spans="1:11" ht="19.5" customHeight="1" x14ac:dyDescent="0.25">
      <c r="A316" s="169" t="s">
        <v>1776</v>
      </c>
      <c r="B316" s="120" t="s">
        <v>1739</v>
      </c>
      <c r="C316" s="37" t="s">
        <v>1515</v>
      </c>
      <c r="D316" s="113">
        <v>2265004010</v>
      </c>
      <c r="E316" s="39" t="s">
        <v>1476</v>
      </c>
      <c r="F316" s="37" t="s">
        <v>1775</v>
      </c>
      <c r="G316" s="92">
        <v>0.1</v>
      </c>
      <c r="H316" s="92" t="b">
        <v>0</v>
      </c>
      <c r="I316" s="92">
        <v>1</v>
      </c>
      <c r="J316" s="120" t="s">
        <v>2097</v>
      </c>
      <c r="K316" s="36" t="s">
        <v>2112</v>
      </c>
    </row>
    <row r="317" spans="1:11" ht="19.5" customHeight="1" x14ac:dyDescent="0.25">
      <c r="A317" s="169"/>
      <c r="B317" s="120" t="s">
        <v>1739</v>
      </c>
      <c r="C317" s="37" t="s">
        <v>1515</v>
      </c>
      <c r="D317" s="113">
        <v>2265004011</v>
      </c>
      <c r="E317" s="39" t="s">
        <v>1477</v>
      </c>
      <c r="F317" s="37" t="s">
        <v>1775</v>
      </c>
      <c r="G317" s="92">
        <v>0.1</v>
      </c>
      <c r="H317" s="92" t="b">
        <v>0</v>
      </c>
      <c r="I317" s="92">
        <v>1</v>
      </c>
      <c r="J317" s="120" t="s">
        <v>2097</v>
      </c>
      <c r="K317" s="36" t="s">
        <v>2112</v>
      </c>
    </row>
    <row r="318" spans="1:11" ht="19.5" customHeight="1" x14ac:dyDescent="0.25">
      <c r="A318" s="169"/>
      <c r="B318" s="120" t="s">
        <v>1739</v>
      </c>
      <c r="C318" s="37" t="s">
        <v>1515</v>
      </c>
      <c r="D318" s="113">
        <v>2265004015</v>
      </c>
      <c r="E318" s="39" t="s">
        <v>1478</v>
      </c>
      <c r="F318" s="37" t="s">
        <v>1775</v>
      </c>
      <c r="G318" s="92">
        <v>0.1</v>
      </c>
      <c r="H318" s="92" t="b">
        <v>0</v>
      </c>
      <c r="I318" s="92">
        <v>1</v>
      </c>
      <c r="J318" s="120" t="s">
        <v>2097</v>
      </c>
      <c r="K318" s="36" t="s">
        <v>2112</v>
      </c>
    </row>
    <row r="319" spans="1:11" ht="19.5" customHeight="1" x14ac:dyDescent="0.25">
      <c r="A319" s="169"/>
      <c r="B319" s="120" t="s">
        <v>1739</v>
      </c>
      <c r="C319" s="37" t="s">
        <v>1515</v>
      </c>
      <c r="D319" s="113">
        <v>2265004016</v>
      </c>
      <c r="E319" s="39" t="s">
        <v>1479</v>
      </c>
      <c r="F319" s="37" t="s">
        <v>1775</v>
      </c>
      <c r="G319" s="92">
        <v>0.1</v>
      </c>
      <c r="H319" s="92" t="b">
        <v>0</v>
      </c>
      <c r="I319" s="92">
        <v>1</v>
      </c>
      <c r="J319" s="120" t="s">
        <v>2097</v>
      </c>
      <c r="K319" s="36" t="s">
        <v>2112</v>
      </c>
    </row>
    <row r="320" spans="1:11" ht="19.5" customHeight="1" x14ac:dyDescent="0.25">
      <c r="A320" s="169"/>
      <c r="B320" s="120" t="s">
        <v>1739</v>
      </c>
      <c r="C320" s="37" t="s">
        <v>1515</v>
      </c>
      <c r="D320" s="113">
        <v>2265004025</v>
      </c>
      <c r="E320" s="39" t="s">
        <v>1480</v>
      </c>
      <c r="F320" s="37" t="s">
        <v>1775</v>
      </c>
      <c r="G320" s="92">
        <v>0.1</v>
      </c>
      <c r="H320" s="92" t="b">
        <v>0</v>
      </c>
      <c r="I320" s="92">
        <v>1</v>
      </c>
      <c r="J320" s="120" t="s">
        <v>2097</v>
      </c>
      <c r="K320" s="36" t="s">
        <v>2112</v>
      </c>
    </row>
    <row r="321" spans="1:11" ht="19.5" customHeight="1" x14ac:dyDescent="0.25">
      <c r="A321" s="169"/>
      <c r="B321" s="120" t="s">
        <v>1739</v>
      </c>
      <c r="C321" s="37" t="s">
        <v>1515</v>
      </c>
      <c r="D321" s="113">
        <v>2265004026</v>
      </c>
      <c r="E321" s="39" t="s">
        <v>1481</v>
      </c>
      <c r="F321" s="37" t="s">
        <v>1775</v>
      </c>
      <c r="G321" s="92">
        <v>0.1</v>
      </c>
      <c r="H321" s="92" t="b">
        <v>0</v>
      </c>
      <c r="I321" s="92">
        <v>1</v>
      </c>
      <c r="J321" s="120" t="s">
        <v>2097</v>
      </c>
      <c r="K321" s="36" t="s">
        <v>2112</v>
      </c>
    </row>
    <row r="322" spans="1:11" ht="19.5" customHeight="1" x14ac:dyDescent="0.25">
      <c r="A322" s="169"/>
      <c r="B322" s="120" t="s">
        <v>1739</v>
      </c>
      <c r="C322" s="37" t="s">
        <v>1515</v>
      </c>
      <c r="D322" s="113">
        <v>2265004030</v>
      </c>
      <c r="E322" s="39" t="s">
        <v>1482</v>
      </c>
      <c r="F322" s="37" t="s">
        <v>1775</v>
      </c>
      <c r="G322" s="92">
        <v>0.1</v>
      </c>
      <c r="H322" s="92" t="b">
        <v>0</v>
      </c>
      <c r="I322" s="92">
        <v>1</v>
      </c>
      <c r="J322" s="120" t="s">
        <v>2097</v>
      </c>
      <c r="K322" s="36" t="s">
        <v>2112</v>
      </c>
    </row>
    <row r="323" spans="1:11" ht="19.5" customHeight="1" x14ac:dyDescent="0.25">
      <c r="A323" s="169"/>
      <c r="B323" s="120" t="s">
        <v>1739</v>
      </c>
      <c r="C323" s="37" t="s">
        <v>1515</v>
      </c>
      <c r="D323" s="113">
        <v>2265004031</v>
      </c>
      <c r="E323" s="39" t="s">
        <v>1483</v>
      </c>
      <c r="F323" s="37" t="s">
        <v>1775</v>
      </c>
      <c r="G323" s="92">
        <v>0.1</v>
      </c>
      <c r="H323" s="92" t="b">
        <v>0</v>
      </c>
      <c r="I323" s="92">
        <v>1</v>
      </c>
      <c r="J323" s="120" t="s">
        <v>2097</v>
      </c>
      <c r="K323" s="36" t="s">
        <v>2112</v>
      </c>
    </row>
    <row r="324" spans="1:11" ht="19.5" customHeight="1" x14ac:dyDescent="0.25">
      <c r="A324" s="169"/>
      <c r="B324" s="120" t="s">
        <v>1739</v>
      </c>
      <c r="C324" s="37" t="s">
        <v>1515</v>
      </c>
      <c r="D324" s="113">
        <v>2265004035</v>
      </c>
      <c r="E324" s="39" t="s">
        <v>1484</v>
      </c>
      <c r="F324" s="37" t="s">
        <v>1775</v>
      </c>
      <c r="G324" s="92">
        <v>0.1</v>
      </c>
      <c r="H324" s="92" t="b">
        <v>0</v>
      </c>
      <c r="I324" s="92">
        <v>1</v>
      </c>
      <c r="J324" s="120" t="s">
        <v>2097</v>
      </c>
      <c r="K324" s="36" t="s">
        <v>2112</v>
      </c>
    </row>
    <row r="325" spans="1:11" ht="19.5" customHeight="1" x14ac:dyDescent="0.25">
      <c r="A325" s="169"/>
      <c r="B325" s="120" t="s">
        <v>1739</v>
      </c>
      <c r="C325" s="37" t="s">
        <v>1515</v>
      </c>
      <c r="D325" s="113">
        <v>2265004036</v>
      </c>
      <c r="E325" s="39" t="s">
        <v>1485</v>
      </c>
      <c r="F325" s="37" t="s">
        <v>1775</v>
      </c>
      <c r="G325" s="92">
        <v>0.1</v>
      </c>
      <c r="H325" s="92" t="b">
        <v>0</v>
      </c>
      <c r="I325" s="92">
        <v>1</v>
      </c>
      <c r="J325" s="120" t="s">
        <v>2097</v>
      </c>
      <c r="K325" s="36" t="s">
        <v>2112</v>
      </c>
    </row>
    <row r="326" spans="1:11" ht="19.5" customHeight="1" x14ac:dyDescent="0.25">
      <c r="A326" s="169"/>
      <c r="B326" s="120" t="s">
        <v>1739</v>
      </c>
      <c r="C326" s="37" t="s">
        <v>1515</v>
      </c>
      <c r="D326" s="113">
        <v>2265004040</v>
      </c>
      <c r="E326" s="39" t="s">
        <v>1486</v>
      </c>
      <c r="F326" s="37" t="s">
        <v>1775</v>
      </c>
      <c r="G326" s="92">
        <v>0.1</v>
      </c>
      <c r="H326" s="92" t="b">
        <v>0</v>
      </c>
      <c r="I326" s="92">
        <v>1</v>
      </c>
      <c r="J326" s="120" t="s">
        <v>2097</v>
      </c>
      <c r="K326" s="36" t="s">
        <v>2112</v>
      </c>
    </row>
    <row r="327" spans="1:11" ht="19.5" customHeight="1" x14ac:dyDescent="0.25">
      <c r="A327" s="169"/>
      <c r="B327" s="120" t="s">
        <v>1739</v>
      </c>
      <c r="C327" s="37" t="s">
        <v>1515</v>
      </c>
      <c r="D327" s="113">
        <v>2265004041</v>
      </c>
      <c r="E327" s="39" t="s">
        <v>1487</v>
      </c>
      <c r="F327" s="37" t="s">
        <v>1775</v>
      </c>
      <c r="G327" s="92">
        <v>0.1</v>
      </c>
      <c r="H327" s="92" t="b">
        <v>0</v>
      </c>
      <c r="I327" s="92">
        <v>1</v>
      </c>
      <c r="J327" s="120" t="s">
        <v>2097</v>
      </c>
      <c r="K327" s="36" t="s">
        <v>2112</v>
      </c>
    </row>
    <row r="328" spans="1:11" ht="19.5" customHeight="1" x14ac:dyDescent="0.25">
      <c r="A328" s="169"/>
      <c r="B328" s="120" t="s">
        <v>1739</v>
      </c>
      <c r="C328" s="37" t="s">
        <v>1515</v>
      </c>
      <c r="D328" s="113">
        <v>2265004046</v>
      </c>
      <c r="E328" s="39" t="s">
        <v>1488</v>
      </c>
      <c r="F328" s="37" t="s">
        <v>1775</v>
      </c>
      <c r="G328" s="92">
        <v>0.1</v>
      </c>
      <c r="H328" s="92" t="b">
        <v>0</v>
      </c>
      <c r="I328" s="92">
        <v>1</v>
      </c>
      <c r="J328" s="120" t="s">
        <v>2097</v>
      </c>
      <c r="K328" s="36" t="s">
        <v>2112</v>
      </c>
    </row>
    <row r="329" spans="1:11" ht="19.5" customHeight="1" x14ac:dyDescent="0.25">
      <c r="A329" s="169"/>
      <c r="B329" s="120" t="s">
        <v>1739</v>
      </c>
      <c r="C329" s="37" t="s">
        <v>1515</v>
      </c>
      <c r="D329" s="113">
        <v>2265004051</v>
      </c>
      <c r="E329" s="39" t="s">
        <v>1489</v>
      </c>
      <c r="F329" s="37" t="s">
        <v>1775</v>
      </c>
      <c r="G329" s="92">
        <v>0.1</v>
      </c>
      <c r="H329" s="92" t="b">
        <v>0</v>
      </c>
      <c r="I329" s="92">
        <v>1</v>
      </c>
      <c r="J329" s="120" t="s">
        <v>2097</v>
      </c>
      <c r="K329" s="36" t="s">
        <v>2112</v>
      </c>
    </row>
    <row r="330" spans="1:11" ht="19.5" customHeight="1" x14ac:dyDescent="0.25">
      <c r="A330" s="169"/>
      <c r="B330" s="120" t="s">
        <v>1739</v>
      </c>
      <c r="C330" s="37" t="s">
        <v>1515</v>
      </c>
      <c r="D330" s="113">
        <v>2265004055</v>
      </c>
      <c r="E330" s="39" t="s">
        <v>1490</v>
      </c>
      <c r="F330" s="37" t="s">
        <v>1775</v>
      </c>
      <c r="G330" s="92">
        <v>0.1</v>
      </c>
      <c r="H330" s="92" t="b">
        <v>0</v>
      </c>
      <c r="I330" s="92">
        <v>1</v>
      </c>
      <c r="J330" s="120" t="s">
        <v>2097</v>
      </c>
      <c r="K330" s="36" t="s">
        <v>2112</v>
      </c>
    </row>
    <row r="331" spans="1:11" ht="19.5" customHeight="1" x14ac:dyDescent="0.25">
      <c r="A331" s="169"/>
      <c r="B331" s="120" t="s">
        <v>1739</v>
      </c>
      <c r="C331" s="37" t="s">
        <v>1515</v>
      </c>
      <c r="D331" s="113">
        <v>2265004056</v>
      </c>
      <c r="E331" s="39" t="s">
        <v>1491</v>
      </c>
      <c r="F331" s="37" t="s">
        <v>1775</v>
      </c>
      <c r="G331" s="92">
        <v>0.1</v>
      </c>
      <c r="H331" s="92" t="b">
        <v>0</v>
      </c>
      <c r="I331" s="92">
        <v>1</v>
      </c>
      <c r="J331" s="120" t="s">
        <v>2097</v>
      </c>
      <c r="K331" s="36" t="s">
        <v>2112</v>
      </c>
    </row>
    <row r="332" spans="1:11" ht="19.5" customHeight="1" x14ac:dyDescent="0.25">
      <c r="A332" s="169"/>
      <c r="B332" s="120" t="s">
        <v>1739</v>
      </c>
      <c r="C332" s="37" t="s">
        <v>1515</v>
      </c>
      <c r="D332" s="113">
        <v>2265004066</v>
      </c>
      <c r="E332" s="39" t="s">
        <v>1492</v>
      </c>
      <c r="F332" s="37" t="s">
        <v>1775</v>
      </c>
      <c r="G332" s="92">
        <v>0.1</v>
      </c>
      <c r="H332" s="92" t="b">
        <v>0</v>
      </c>
      <c r="I332" s="92">
        <v>1</v>
      </c>
      <c r="J332" s="120" t="s">
        <v>2097</v>
      </c>
      <c r="K332" s="36" t="s">
        <v>2112</v>
      </c>
    </row>
    <row r="333" spans="1:11" ht="19.5" customHeight="1" x14ac:dyDescent="0.25">
      <c r="A333" s="169"/>
      <c r="B333" s="120" t="s">
        <v>1739</v>
      </c>
      <c r="C333" s="37" t="s">
        <v>1515</v>
      </c>
      <c r="D333" s="113">
        <v>2265004071</v>
      </c>
      <c r="E333" s="39" t="s">
        <v>1493</v>
      </c>
      <c r="F333" s="37" t="s">
        <v>1775</v>
      </c>
      <c r="G333" s="92">
        <v>0.1</v>
      </c>
      <c r="H333" s="92" t="b">
        <v>0</v>
      </c>
      <c r="I333" s="92">
        <v>1</v>
      </c>
      <c r="J333" s="120" t="s">
        <v>2097</v>
      </c>
      <c r="K333" s="36" t="s">
        <v>2112</v>
      </c>
    </row>
    <row r="334" spans="1:11" ht="19.5" customHeight="1" x14ac:dyDescent="0.25">
      <c r="A334" s="169"/>
      <c r="B334" s="120" t="s">
        <v>1739</v>
      </c>
      <c r="C334" s="37" t="s">
        <v>1515</v>
      </c>
      <c r="D334" s="113">
        <v>2265004075</v>
      </c>
      <c r="E334" s="39" t="s">
        <v>1494</v>
      </c>
      <c r="F334" s="37" t="s">
        <v>1775</v>
      </c>
      <c r="G334" s="92">
        <v>0.1</v>
      </c>
      <c r="H334" s="92" t="b">
        <v>0</v>
      </c>
      <c r="I334" s="92">
        <v>1</v>
      </c>
      <c r="J334" s="120" t="s">
        <v>2097</v>
      </c>
      <c r="K334" s="36" t="s">
        <v>2112</v>
      </c>
    </row>
    <row r="335" spans="1:11" ht="19.5" customHeight="1" x14ac:dyDescent="0.25">
      <c r="A335" s="169"/>
      <c r="B335" s="120" t="s">
        <v>1739</v>
      </c>
      <c r="C335" s="37" t="s">
        <v>1515</v>
      </c>
      <c r="D335" s="113">
        <v>2265004076</v>
      </c>
      <c r="E335" s="39" t="s">
        <v>1495</v>
      </c>
      <c r="F335" s="37" t="s">
        <v>1775</v>
      </c>
      <c r="G335" s="92">
        <v>0.1</v>
      </c>
      <c r="H335" s="92" t="b">
        <v>0</v>
      </c>
      <c r="I335" s="92">
        <v>1</v>
      </c>
      <c r="J335" s="120" t="s">
        <v>2097</v>
      </c>
      <c r="K335" s="36" t="s">
        <v>2112</v>
      </c>
    </row>
    <row r="336" spans="1:11" ht="19.5" customHeight="1" x14ac:dyDescent="0.25">
      <c r="A336" s="169"/>
      <c r="B336" s="120" t="s">
        <v>1739</v>
      </c>
      <c r="C336" s="37" t="s">
        <v>1515</v>
      </c>
      <c r="D336" s="113">
        <v>2260004015</v>
      </c>
      <c r="E336" s="37" t="s">
        <v>1496</v>
      </c>
      <c r="F336" s="37" t="s">
        <v>1775</v>
      </c>
      <c r="G336" s="92">
        <v>0.1</v>
      </c>
      <c r="H336" s="92" t="b">
        <v>0</v>
      </c>
      <c r="I336" s="92">
        <v>1</v>
      </c>
      <c r="J336" s="120" t="s">
        <v>2097</v>
      </c>
      <c r="K336" s="36" t="s">
        <v>2112</v>
      </c>
    </row>
    <row r="337" spans="1:11" ht="19.5" customHeight="1" x14ac:dyDescent="0.25">
      <c r="A337" s="169"/>
      <c r="B337" s="120" t="s">
        <v>1739</v>
      </c>
      <c r="C337" s="37" t="s">
        <v>1515</v>
      </c>
      <c r="D337" s="113">
        <v>2260004016</v>
      </c>
      <c r="E337" s="37" t="s">
        <v>1497</v>
      </c>
      <c r="F337" s="37" t="s">
        <v>1775</v>
      </c>
      <c r="G337" s="92">
        <v>0.1</v>
      </c>
      <c r="H337" s="92" t="b">
        <v>0</v>
      </c>
      <c r="I337" s="92">
        <v>1</v>
      </c>
      <c r="J337" s="120" t="s">
        <v>2097</v>
      </c>
      <c r="K337" s="36" t="s">
        <v>2112</v>
      </c>
    </row>
    <row r="338" spans="1:11" ht="19.5" customHeight="1" x14ac:dyDescent="0.25">
      <c r="A338" s="169"/>
      <c r="B338" s="120" t="s">
        <v>1739</v>
      </c>
      <c r="C338" s="37" t="s">
        <v>1515</v>
      </c>
      <c r="D338" s="113">
        <v>2260004020</v>
      </c>
      <c r="E338" s="37" t="s">
        <v>1498</v>
      </c>
      <c r="F338" s="37" t="s">
        <v>1775</v>
      </c>
      <c r="G338" s="92">
        <v>0.1</v>
      </c>
      <c r="H338" s="92" t="b">
        <v>0</v>
      </c>
      <c r="I338" s="92">
        <v>1</v>
      </c>
      <c r="J338" s="120" t="s">
        <v>2097</v>
      </c>
      <c r="K338" s="36" t="s">
        <v>2112</v>
      </c>
    </row>
    <row r="339" spans="1:11" ht="19.5" customHeight="1" x14ac:dyDescent="0.25">
      <c r="A339" s="169"/>
      <c r="B339" s="120" t="s">
        <v>1739</v>
      </c>
      <c r="C339" s="37" t="s">
        <v>1515</v>
      </c>
      <c r="D339" s="113">
        <v>2260004021</v>
      </c>
      <c r="E339" s="37" t="s">
        <v>1499</v>
      </c>
      <c r="F339" s="37" t="s">
        <v>1775</v>
      </c>
      <c r="G339" s="92">
        <v>0.1</v>
      </c>
      <c r="H339" s="92" t="b">
        <v>0</v>
      </c>
      <c r="I339" s="92">
        <v>1</v>
      </c>
      <c r="J339" s="120" t="s">
        <v>2097</v>
      </c>
      <c r="K339" s="36" t="s">
        <v>2112</v>
      </c>
    </row>
    <row r="340" spans="1:11" ht="19.5" customHeight="1" x14ac:dyDescent="0.25">
      <c r="A340" s="169"/>
      <c r="B340" s="120" t="s">
        <v>1739</v>
      </c>
      <c r="C340" s="37" t="s">
        <v>1515</v>
      </c>
      <c r="D340" s="113">
        <v>2260004025</v>
      </c>
      <c r="E340" s="37" t="s">
        <v>1500</v>
      </c>
      <c r="F340" s="37" t="s">
        <v>1775</v>
      </c>
      <c r="G340" s="92">
        <v>0.1</v>
      </c>
      <c r="H340" s="92" t="b">
        <v>0</v>
      </c>
      <c r="I340" s="92">
        <v>1</v>
      </c>
      <c r="J340" s="120" t="s">
        <v>2097</v>
      </c>
      <c r="K340" s="36" t="s">
        <v>2112</v>
      </c>
    </row>
    <row r="341" spans="1:11" ht="19.5" customHeight="1" x14ac:dyDescent="0.25">
      <c r="A341" s="169"/>
      <c r="B341" s="120" t="s">
        <v>1739</v>
      </c>
      <c r="C341" s="37" t="s">
        <v>1515</v>
      </c>
      <c r="D341" s="113">
        <v>2260004026</v>
      </c>
      <c r="E341" s="37" t="s">
        <v>1501</v>
      </c>
      <c r="F341" s="37" t="s">
        <v>1775</v>
      </c>
      <c r="G341" s="92">
        <v>0.1</v>
      </c>
      <c r="H341" s="92" t="b">
        <v>0</v>
      </c>
      <c r="I341" s="92">
        <v>1</v>
      </c>
      <c r="J341" s="120" t="s">
        <v>2097</v>
      </c>
      <c r="K341" s="36" t="s">
        <v>2112</v>
      </c>
    </row>
    <row r="342" spans="1:11" ht="19.5" customHeight="1" x14ac:dyDescent="0.25">
      <c r="A342" s="169"/>
      <c r="B342" s="120" t="s">
        <v>1739</v>
      </c>
      <c r="C342" s="37" t="s">
        <v>1515</v>
      </c>
      <c r="D342" s="113">
        <v>2260004030</v>
      </c>
      <c r="E342" s="37" t="s">
        <v>1502</v>
      </c>
      <c r="F342" s="37" t="s">
        <v>1775</v>
      </c>
      <c r="G342" s="92">
        <v>0.1</v>
      </c>
      <c r="H342" s="92" t="b">
        <v>0</v>
      </c>
      <c r="I342" s="92">
        <v>1</v>
      </c>
      <c r="J342" s="120" t="s">
        <v>2097</v>
      </c>
      <c r="K342" s="36" t="s">
        <v>2112</v>
      </c>
    </row>
    <row r="343" spans="1:11" ht="19.5" customHeight="1" x14ac:dyDescent="0.25">
      <c r="A343" s="169"/>
      <c r="B343" s="120" t="s">
        <v>1739</v>
      </c>
      <c r="C343" s="37" t="s">
        <v>1515</v>
      </c>
      <c r="D343" s="113">
        <v>2260004031</v>
      </c>
      <c r="E343" s="37" t="s">
        <v>1503</v>
      </c>
      <c r="F343" s="37" t="s">
        <v>1775</v>
      </c>
      <c r="G343" s="92">
        <v>0.1</v>
      </c>
      <c r="H343" s="92" t="b">
        <v>0</v>
      </c>
      <c r="I343" s="92">
        <v>1</v>
      </c>
      <c r="J343" s="120" t="s">
        <v>2097</v>
      </c>
      <c r="K343" s="36" t="s">
        <v>2112</v>
      </c>
    </row>
    <row r="344" spans="1:11" ht="19.5" customHeight="1" x14ac:dyDescent="0.25">
      <c r="A344" s="169"/>
      <c r="B344" s="120" t="s">
        <v>1739</v>
      </c>
      <c r="C344" s="37" t="s">
        <v>1515</v>
      </c>
      <c r="D344" s="113">
        <v>2260004035</v>
      </c>
      <c r="E344" s="37" t="s">
        <v>1504</v>
      </c>
      <c r="F344" s="37" t="s">
        <v>1775</v>
      </c>
      <c r="G344" s="92">
        <v>0.1</v>
      </c>
      <c r="H344" s="92" t="b">
        <v>0</v>
      </c>
      <c r="I344" s="92">
        <v>1</v>
      </c>
      <c r="J344" s="120" t="s">
        <v>2097</v>
      </c>
      <c r="K344" s="36" t="s">
        <v>2112</v>
      </c>
    </row>
    <row r="345" spans="1:11" ht="19.5" customHeight="1" x14ac:dyDescent="0.25">
      <c r="A345" s="169"/>
      <c r="B345" s="120" t="s">
        <v>1739</v>
      </c>
      <c r="C345" s="37" t="s">
        <v>1515</v>
      </c>
      <c r="D345" s="113">
        <v>2260004036</v>
      </c>
      <c r="E345" s="37" t="s">
        <v>1505</v>
      </c>
      <c r="F345" s="37" t="s">
        <v>1775</v>
      </c>
      <c r="G345" s="92">
        <v>0.1</v>
      </c>
      <c r="H345" s="92" t="b">
        <v>0</v>
      </c>
      <c r="I345" s="92">
        <v>1</v>
      </c>
      <c r="J345" s="120" t="s">
        <v>2097</v>
      </c>
      <c r="K345" s="36" t="s">
        <v>2112</v>
      </c>
    </row>
    <row r="346" spans="1:11" ht="19.5" customHeight="1" x14ac:dyDescent="0.25">
      <c r="A346" s="169"/>
      <c r="B346" s="120" t="s">
        <v>1739</v>
      </c>
      <c r="C346" s="37" t="s">
        <v>1515</v>
      </c>
      <c r="D346" s="113">
        <v>2260004071</v>
      </c>
      <c r="E346" s="37" t="s">
        <v>1506</v>
      </c>
      <c r="F346" s="37" t="s">
        <v>1775</v>
      </c>
      <c r="G346" s="92">
        <v>0.1</v>
      </c>
      <c r="H346" s="92" t="b">
        <v>0</v>
      </c>
      <c r="I346" s="92">
        <v>1</v>
      </c>
      <c r="J346" s="120" t="s">
        <v>2097</v>
      </c>
      <c r="K346" s="36" t="s">
        <v>2112</v>
      </c>
    </row>
    <row r="347" spans="1:11" ht="19.5" customHeight="1" x14ac:dyDescent="0.25">
      <c r="A347" s="169"/>
      <c r="B347" s="120" t="s">
        <v>1739</v>
      </c>
      <c r="C347" s="37" t="s">
        <v>1515</v>
      </c>
      <c r="D347" s="113">
        <v>2267004066</v>
      </c>
      <c r="E347" s="37" t="s">
        <v>1507</v>
      </c>
      <c r="F347" s="37" t="s">
        <v>1775</v>
      </c>
      <c r="G347" s="92">
        <v>0.1</v>
      </c>
      <c r="H347" s="92" t="b">
        <v>0</v>
      </c>
      <c r="I347" s="92">
        <v>1</v>
      </c>
      <c r="J347" s="120" t="s">
        <v>2097</v>
      </c>
      <c r="K347" s="36" t="s">
        <v>2112</v>
      </c>
    </row>
    <row r="348" spans="1:11" ht="19.5" customHeight="1" x14ac:dyDescent="0.25">
      <c r="A348" s="169"/>
      <c r="B348" s="120" t="s">
        <v>1739</v>
      </c>
      <c r="C348" s="37" t="s">
        <v>1515</v>
      </c>
      <c r="D348" s="113">
        <v>2270004031</v>
      </c>
      <c r="E348" s="37" t="s">
        <v>1508</v>
      </c>
      <c r="F348" s="37" t="s">
        <v>1775</v>
      </c>
      <c r="G348" s="92">
        <v>0.1</v>
      </c>
      <c r="H348" s="92" t="b">
        <v>1</v>
      </c>
      <c r="I348" s="92">
        <v>1</v>
      </c>
      <c r="J348" s="120" t="s">
        <v>2097</v>
      </c>
      <c r="K348" s="36" t="s">
        <v>2112</v>
      </c>
    </row>
    <row r="349" spans="1:11" ht="19.5" customHeight="1" x14ac:dyDescent="0.25">
      <c r="A349" s="169"/>
      <c r="B349" s="120" t="s">
        <v>1739</v>
      </c>
      <c r="C349" s="37" t="s">
        <v>1515</v>
      </c>
      <c r="D349" s="113">
        <v>2270004036</v>
      </c>
      <c r="E349" s="37" t="s">
        <v>1509</v>
      </c>
      <c r="F349" s="37" t="s">
        <v>1775</v>
      </c>
      <c r="G349" s="92">
        <v>0.1</v>
      </c>
      <c r="H349" s="92" t="b">
        <v>1</v>
      </c>
      <c r="I349" s="92">
        <v>1</v>
      </c>
      <c r="J349" s="120" t="s">
        <v>2097</v>
      </c>
      <c r="K349" s="36" t="s">
        <v>2112</v>
      </c>
    </row>
    <row r="350" spans="1:11" ht="19.5" customHeight="1" x14ac:dyDescent="0.25">
      <c r="A350" s="169"/>
      <c r="B350" s="120" t="s">
        <v>1739</v>
      </c>
      <c r="C350" s="37" t="s">
        <v>1515</v>
      </c>
      <c r="D350" s="113">
        <v>2270004046</v>
      </c>
      <c r="E350" s="37" t="s">
        <v>1510</v>
      </c>
      <c r="F350" s="37" t="s">
        <v>1775</v>
      </c>
      <c r="G350" s="92">
        <v>0.1</v>
      </c>
      <c r="H350" s="92" t="b">
        <v>1</v>
      </c>
      <c r="I350" s="92">
        <v>1</v>
      </c>
      <c r="J350" s="120" t="s">
        <v>2097</v>
      </c>
      <c r="K350" s="36" t="s">
        <v>2112</v>
      </c>
    </row>
    <row r="351" spans="1:11" ht="19.5" customHeight="1" x14ac:dyDescent="0.25">
      <c r="A351" s="169"/>
      <c r="B351" s="120" t="s">
        <v>1739</v>
      </c>
      <c r="C351" s="37" t="s">
        <v>1515</v>
      </c>
      <c r="D351" s="113">
        <v>2270004056</v>
      </c>
      <c r="E351" s="37" t="s">
        <v>1511</v>
      </c>
      <c r="F351" s="37" t="s">
        <v>1775</v>
      </c>
      <c r="G351" s="92">
        <v>0.1</v>
      </c>
      <c r="H351" s="92" t="b">
        <v>1</v>
      </c>
      <c r="I351" s="92">
        <v>1</v>
      </c>
      <c r="J351" s="120" t="s">
        <v>2097</v>
      </c>
      <c r="K351" s="36" t="s">
        <v>2112</v>
      </c>
    </row>
    <row r="352" spans="1:11" ht="19.5" customHeight="1" x14ac:dyDescent="0.25">
      <c r="A352" s="169"/>
      <c r="B352" s="120" t="s">
        <v>1739</v>
      </c>
      <c r="C352" s="37" t="s">
        <v>1515</v>
      </c>
      <c r="D352" s="113">
        <v>2270004066</v>
      </c>
      <c r="E352" s="37" t="s">
        <v>1512</v>
      </c>
      <c r="F352" s="37" t="s">
        <v>1775</v>
      </c>
      <c r="G352" s="92">
        <v>0.1</v>
      </c>
      <c r="H352" s="92" t="b">
        <v>1</v>
      </c>
      <c r="I352" s="92">
        <v>1</v>
      </c>
      <c r="J352" s="120" t="s">
        <v>2097</v>
      </c>
      <c r="K352" s="36" t="s">
        <v>2112</v>
      </c>
    </row>
    <row r="353" spans="1:11" ht="19.5" customHeight="1" x14ac:dyDescent="0.25">
      <c r="A353" s="169"/>
      <c r="B353" s="120" t="s">
        <v>1739</v>
      </c>
      <c r="C353" s="37" t="s">
        <v>1515</v>
      </c>
      <c r="D353" s="113">
        <v>2270004071</v>
      </c>
      <c r="E353" s="37" t="s">
        <v>1513</v>
      </c>
      <c r="F353" s="37" t="s">
        <v>1775</v>
      </c>
      <c r="G353" s="92">
        <v>0.1</v>
      </c>
      <c r="H353" s="92" t="b">
        <v>1</v>
      </c>
      <c r="I353" s="92">
        <v>1</v>
      </c>
      <c r="J353" s="120" t="s">
        <v>2097</v>
      </c>
      <c r="K353" s="36" t="s">
        <v>2112</v>
      </c>
    </row>
    <row r="354" spans="1:11" ht="19.5" customHeight="1" x14ac:dyDescent="0.25">
      <c r="A354" s="169"/>
      <c r="B354" s="120" t="s">
        <v>1739</v>
      </c>
      <c r="C354" s="37" t="s">
        <v>1515</v>
      </c>
      <c r="D354" s="113">
        <v>2270004076</v>
      </c>
      <c r="E354" s="37" t="s">
        <v>1514</v>
      </c>
      <c r="F354" s="37" t="s">
        <v>1775</v>
      </c>
      <c r="G354" s="92">
        <v>0.1</v>
      </c>
      <c r="H354" s="92" t="b">
        <v>1</v>
      </c>
      <c r="I354" s="92">
        <v>1</v>
      </c>
      <c r="J354" s="120" t="s">
        <v>2097</v>
      </c>
      <c r="K354" s="36" t="s">
        <v>2112</v>
      </c>
    </row>
    <row r="355" spans="1:11" ht="19.5" customHeight="1" x14ac:dyDescent="0.25">
      <c r="A355" s="76" t="s">
        <v>2023</v>
      </c>
      <c r="B355" s="102" t="s">
        <v>1740</v>
      </c>
      <c r="C355" s="38" t="s">
        <v>1648</v>
      </c>
      <c r="D355" s="131">
        <v>2265002003</v>
      </c>
      <c r="E355" s="68" t="s">
        <v>1520</v>
      </c>
      <c r="F355" s="38" t="s">
        <v>2022</v>
      </c>
      <c r="G355" s="76">
        <v>0.1</v>
      </c>
      <c r="H355" s="76" t="b">
        <v>0</v>
      </c>
      <c r="I355" s="76">
        <v>1</v>
      </c>
      <c r="J355" s="102" t="s">
        <v>2097</v>
      </c>
      <c r="K355" s="36" t="s">
        <v>2102</v>
      </c>
    </row>
    <row r="356" spans="1:11" ht="19.5" customHeight="1" x14ac:dyDescent="0.25">
      <c r="A356" s="76" t="s">
        <v>2023</v>
      </c>
      <c r="B356" s="102" t="s">
        <v>1740</v>
      </c>
      <c r="C356" s="38" t="s">
        <v>1648</v>
      </c>
      <c r="D356" s="131">
        <v>2265002006</v>
      </c>
      <c r="E356" s="68" t="s">
        <v>1521</v>
      </c>
      <c r="F356" s="38" t="s">
        <v>2022</v>
      </c>
      <c r="G356" s="76">
        <v>0.1</v>
      </c>
      <c r="H356" s="76" t="b">
        <v>0</v>
      </c>
      <c r="I356" s="76">
        <v>1</v>
      </c>
      <c r="J356" s="102" t="s">
        <v>2097</v>
      </c>
      <c r="K356" s="36" t="s">
        <v>2102</v>
      </c>
    </row>
    <row r="357" spans="1:11" ht="19.5" customHeight="1" x14ac:dyDescent="0.25">
      <c r="A357" s="76" t="s">
        <v>2023</v>
      </c>
      <c r="B357" s="102" t="s">
        <v>1740</v>
      </c>
      <c r="C357" s="38" t="s">
        <v>1648</v>
      </c>
      <c r="D357" s="131">
        <v>2265002009</v>
      </c>
      <c r="E357" s="68" t="s">
        <v>1522</v>
      </c>
      <c r="F357" s="38" t="s">
        <v>2022</v>
      </c>
      <c r="G357" s="76">
        <v>0.1</v>
      </c>
      <c r="H357" s="76" t="b">
        <v>0</v>
      </c>
      <c r="I357" s="76">
        <v>1</v>
      </c>
      <c r="J357" s="102" t="s">
        <v>2097</v>
      </c>
      <c r="K357" s="36" t="s">
        <v>2102</v>
      </c>
    </row>
    <row r="358" spans="1:11" ht="19.5" customHeight="1" x14ac:dyDescent="0.25">
      <c r="A358" s="76" t="s">
        <v>2023</v>
      </c>
      <c r="B358" s="102" t="s">
        <v>1740</v>
      </c>
      <c r="C358" s="38" t="s">
        <v>1648</v>
      </c>
      <c r="D358" s="131">
        <v>2265002015</v>
      </c>
      <c r="E358" s="68" t="s">
        <v>1523</v>
      </c>
      <c r="F358" s="38" t="s">
        <v>2022</v>
      </c>
      <c r="G358" s="76">
        <v>0.1</v>
      </c>
      <c r="H358" s="76" t="b">
        <v>0</v>
      </c>
      <c r="I358" s="76">
        <v>1</v>
      </c>
      <c r="J358" s="102" t="s">
        <v>2097</v>
      </c>
      <c r="K358" s="36" t="s">
        <v>2102</v>
      </c>
    </row>
    <row r="359" spans="1:11" ht="19.5" customHeight="1" x14ac:dyDescent="0.25">
      <c r="A359" s="76" t="s">
        <v>2023</v>
      </c>
      <c r="B359" s="102" t="s">
        <v>1740</v>
      </c>
      <c r="C359" s="38" t="s">
        <v>1648</v>
      </c>
      <c r="D359" s="131">
        <v>2265002021</v>
      </c>
      <c r="E359" s="68" t="s">
        <v>1524</v>
      </c>
      <c r="F359" s="38" t="s">
        <v>2022</v>
      </c>
      <c r="G359" s="76">
        <v>0.1</v>
      </c>
      <c r="H359" s="76" t="b">
        <v>0</v>
      </c>
      <c r="I359" s="76">
        <v>1</v>
      </c>
      <c r="J359" s="102" t="s">
        <v>2097</v>
      </c>
      <c r="K359" s="36" t="s">
        <v>2102</v>
      </c>
    </row>
    <row r="360" spans="1:11" ht="19.5" customHeight="1" x14ac:dyDescent="0.25">
      <c r="A360" s="76" t="s">
        <v>2023</v>
      </c>
      <c r="B360" s="102" t="s">
        <v>1740</v>
      </c>
      <c r="C360" s="38" t="s">
        <v>1648</v>
      </c>
      <c r="D360" s="131">
        <v>2265002024</v>
      </c>
      <c r="E360" s="68" t="s">
        <v>1525</v>
      </c>
      <c r="F360" s="38" t="s">
        <v>2022</v>
      </c>
      <c r="G360" s="76">
        <v>0.1</v>
      </c>
      <c r="H360" s="76" t="b">
        <v>0</v>
      </c>
      <c r="I360" s="76">
        <v>1</v>
      </c>
      <c r="J360" s="102" t="s">
        <v>2097</v>
      </c>
      <c r="K360" s="36" t="s">
        <v>2102</v>
      </c>
    </row>
    <row r="361" spans="1:11" ht="19.5" customHeight="1" x14ac:dyDescent="0.25">
      <c r="A361" s="76" t="s">
        <v>2023</v>
      </c>
      <c r="B361" s="102" t="s">
        <v>1740</v>
      </c>
      <c r="C361" s="38" t="s">
        <v>1648</v>
      </c>
      <c r="D361" s="131">
        <v>2265002027</v>
      </c>
      <c r="E361" s="68" t="s">
        <v>1526</v>
      </c>
      <c r="F361" s="38" t="s">
        <v>2022</v>
      </c>
      <c r="G361" s="76">
        <v>0.1</v>
      </c>
      <c r="H361" s="76" t="b">
        <v>0</v>
      </c>
      <c r="I361" s="76">
        <v>1</v>
      </c>
      <c r="J361" s="102" t="s">
        <v>2097</v>
      </c>
      <c r="K361" s="36" t="s">
        <v>2102</v>
      </c>
    </row>
    <row r="362" spans="1:11" ht="19.5" customHeight="1" x14ac:dyDescent="0.25">
      <c r="A362" s="76" t="s">
        <v>2023</v>
      </c>
      <c r="B362" s="102" t="s">
        <v>1740</v>
      </c>
      <c r="C362" s="38" t="s">
        <v>1648</v>
      </c>
      <c r="D362" s="131">
        <v>2265002030</v>
      </c>
      <c r="E362" s="68" t="s">
        <v>1527</v>
      </c>
      <c r="F362" s="38" t="s">
        <v>2022</v>
      </c>
      <c r="G362" s="76">
        <v>0.1</v>
      </c>
      <c r="H362" s="76" t="b">
        <v>0</v>
      </c>
      <c r="I362" s="76">
        <v>1</v>
      </c>
      <c r="J362" s="102" t="s">
        <v>2097</v>
      </c>
      <c r="K362" s="36" t="s">
        <v>2102</v>
      </c>
    </row>
    <row r="363" spans="1:11" ht="19.5" customHeight="1" x14ac:dyDescent="0.25">
      <c r="A363" s="76" t="s">
        <v>2023</v>
      </c>
      <c r="B363" s="102" t="s">
        <v>1740</v>
      </c>
      <c r="C363" s="38" t="s">
        <v>1648</v>
      </c>
      <c r="D363" s="131">
        <v>2265002033</v>
      </c>
      <c r="E363" s="68" t="s">
        <v>1528</v>
      </c>
      <c r="F363" s="38" t="s">
        <v>2022</v>
      </c>
      <c r="G363" s="76">
        <v>0.1</v>
      </c>
      <c r="H363" s="76" t="b">
        <v>0</v>
      </c>
      <c r="I363" s="76">
        <v>1</v>
      </c>
      <c r="J363" s="102" t="s">
        <v>2097</v>
      </c>
      <c r="K363" s="36" t="s">
        <v>2102</v>
      </c>
    </row>
    <row r="364" spans="1:11" ht="19.5" customHeight="1" x14ac:dyDescent="0.25">
      <c r="A364" s="76" t="s">
        <v>2023</v>
      </c>
      <c r="B364" s="102" t="s">
        <v>1740</v>
      </c>
      <c r="C364" s="38" t="s">
        <v>1648</v>
      </c>
      <c r="D364" s="131">
        <v>2265002039</v>
      </c>
      <c r="E364" s="68" t="s">
        <v>1529</v>
      </c>
      <c r="F364" s="38" t="s">
        <v>2022</v>
      </c>
      <c r="G364" s="76">
        <v>0.1</v>
      </c>
      <c r="H364" s="76" t="b">
        <v>0</v>
      </c>
      <c r="I364" s="76">
        <v>1</v>
      </c>
      <c r="J364" s="102" t="s">
        <v>2097</v>
      </c>
      <c r="K364" s="36" t="s">
        <v>2102</v>
      </c>
    </row>
    <row r="365" spans="1:11" ht="19.5" customHeight="1" x14ac:dyDescent="0.25">
      <c r="A365" s="76" t="s">
        <v>2023</v>
      </c>
      <c r="B365" s="102" t="s">
        <v>1740</v>
      </c>
      <c r="C365" s="38" t="s">
        <v>1648</v>
      </c>
      <c r="D365" s="131">
        <v>2265002042</v>
      </c>
      <c r="E365" s="68" t="s">
        <v>1530</v>
      </c>
      <c r="F365" s="38" t="s">
        <v>2022</v>
      </c>
      <c r="G365" s="76">
        <v>0.1</v>
      </c>
      <c r="H365" s="76" t="b">
        <v>0</v>
      </c>
      <c r="I365" s="76">
        <v>1</v>
      </c>
      <c r="J365" s="102" t="s">
        <v>2097</v>
      </c>
      <c r="K365" s="36" t="s">
        <v>2102</v>
      </c>
    </row>
    <row r="366" spans="1:11" ht="19.5" customHeight="1" x14ac:dyDescent="0.25">
      <c r="A366" s="76" t="s">
        <v>2023</v>
      </c>
      <c r="B366" s="102" t="s">
        <v>1740</v>
      </c>
      <c r="C366" s="38" t="s">
        <v>1648</v>
      </c>
      <c r="D366" s="131">
        <v>2265002045</v>
      </c>
      <c r="E366" s="68" t="s">
        <v>1531</v>
      </c>
      <c r="F366" s="38" t="s">
        <v>2022</v>
      </c>
      <c r="G366" s="76">
        <v>0.1</v>
      </c>
      <c r="H366" s="76" t="b">
        <v>0</v>
      </c>
      <c r="I366" s="76">
        <v>1</v>
      </c>
      <c r="J366" s="102" t="s">
        <v>2097</v>
      </c>
      <c r="K366" s="36" t="s">
        <v>2102</v>
      </c>
    </row>
    <row r="367" spans="1:11" ht="19.5" customHeight="1" x14ac:dyDescent="0.25">
      <c r="A367" s="76" t="s">
        <v>2023</v>
      </c>
      <c r="B367" s="102" t="s">
        <v>1740</v>
      </c>
      <c r="C367" s="38" t="s">
        <v>1648</v>
      </c>
      <c r="D367" s="131">
        <v>2265002054</v>
      </c>
      <c r="E367" s="68" t="s">
        <v>1532</v>
      </c>
      <c r="F367" s="38" t="s">
        <v>2022</v>
      </c>
      <c r="G367" s="76">
        <v>0.1</v>
      </c>
      <c r="H367" s="76" t="b">
        <v>0</v>
      </c>
      <c r="I367" s="76">
        <v>1</v>
      </c>
      <c r="J367" s="102" t="s">
        <v>2097</v>
      </c>
      <c r="K367" s="36" t="s">
        <v>2102</v>
      </c>
    </row>
    <row r="368" spans="1:11" ht="19.5" customHeight="1" x14ac:dyDescent="0.25">
      <c r="A368" s="76" t="s">
        <v>2023</v>
      </c>
      <c r="B368" s="102" t="s">
        <v>1740</v>
      </c>
      <c r="C368" s="38" t="s">
        <v>1648</v>
      </c>
      <c r="D368" s="131">
        <v>2265002057</v>
      </c>
      <c r="E368" s="68" t="s">
        <v>1533</v>
      </c>
      <c r="F368" s="38" t="s">
        <v>2022</v>
      </c>
      <c r="G368" s="76">
        <v>0.1</v>
      </c>
      <c r="H368" s="76" t="b">
        <v>0</v>
      </c>
      <c r="I368" s="76">
        <v>1</v>
      </c>
      <c r="J368" s="102" t="s">
        <v>2097</v>
      </c>
      <c r="K368" s="36" t="s">
        <v>2102</v>
      </c>
    </row>
    <row r="369" spans="1:11" ht="19.5" customHeight="1" x14ac:dyDescent="0.25">
      <c r="A369" s="76" t="s">
        <v>2023</v>
      </c>
      <c r="B369" s="102" t="s">
        <v>1740</v>
      </c>
      <c r="C369" s="38" t="s">
        <v>1648</v>
      </c>
      <c r="D369" s="131">
        <v>2265002060</v>
      </c>
      <c r="E369" s="68" t="s">
        <v>1534</v>
      </c>
      <c r="F369" s="38" t="s">
        <v>2022</v>
      </c>
      <c r="G369" s="76">
        <v>0.1</v>
      </c>
      <c r="H369" s="76" t="b">
        <v>0</v>
      </c>
      <c r="I369" s="76">
        <v>1</v>
      </c>
      <c r="J369" s="102" t="s">
        <v>2097</v>
      </c>
      <c r="K369" s="36" t="s">
        <v>2102</v>
      </c>
    </row>
    <row r="370" spans="1:11" ht="19.5" customHeight="1" x14ac:dyDescent="0.25">
      <c r="A370" s="76" t="s">
        <v>2023</v>
      </c>
      <c r="B370" s="102" t="s">
        <v>1740</v>
      </c>
      <c r="C370" s="38" t="s">
        <v>1648</v>
      </c>
      <c r="D370" s="131">
        <v>2265002066</v>
      </c>
      <c r="E370" s="68" t="s">
        <v>1535</v>
      </c>
      <c r="F370" s="38" t="s">
        <v>2022</v>
      </c>
      <c r="G370" s="76">
        <v>0.1</v>
      </c>
      <c r="H370" s="76" t="b">
        <v>0</v>
      </c>
      <c r="I370" s="76">
        <v>1</v>
      </c>
      <c r="J370" s="102" t="s">
        <v>2097</v>
      </c>
      <c r="K370" s="36" t="s">
        <v>2102</v>
      </c>
    </row>
    <row r="371" spans="1:11" ht="19.5" customHeight="1" x14ac:dyDescent="0.25">
      <c r="A371" s="76" t="s">
        <v>2023</v>
      </c>
      <c r="B371" s="102" t="s">
        <v>1740</v>
      </c>
      <c r="C371" s="38" t="s">
        <v>1648</v>
      </c>
      <c r="D371" s="131">
        <v>2265002072</v>
      </c>
      <c r="E371" s="68" t="s">
        <v>1536</v>
      </c>
      <c r="F371" s="38" t="s">
        <v>2022</v>
      </c>
      <c r="G371" s="76">
        <v>0.1</v>
      </c>
      <c r="H371" s="76" t="b">
        <v>0</v>
      </c>
      <c r="I371" s="76">
        <v>1</v>
      </c>
      <c r="J371" s="102" t="s">
        <v>2097</v>
      </c>
      <c r="K371" s="36" t="s">
        <v>2102</v>
      </c>
    </row>
    <row r="372" spans="1:11" ht="19.5" customHeight="1" x14ac:dyDescent="0.25">
      <c r="A372" s="76" t="s">
        <v>2023</v>
      </c>
      <c r="B372" s="102" t="s">
        <v>1740</v>
      </c>
      <c r="C372" s="38" t="s">
        <v>1648</v>
      </c>
      <c r="D372" s="131">
        <v>2265002078</v>
      </c>
      <c r="E372" s="68" t="s">
        <v>1537</v>
      </c>
      <c r="F372" s="38" t="s">
        <v>2022</v>
      </c>
      <c r="G372" s="76">
        <v>0.1</v>
      </c>
      <c r="H372" s="76" t="b">
        <v>0</v>
      </c>
      <c r="I372" s="76">
        <v>1</v>
      </c>
      <c r="J372" s="102" t="s">
        <v>2097</v>
      </c>
      <c r="K372" s="36" t="s">
        <v>2102</v>
      </c>
    </row>
    <row r="373" spans="1:11" ht="19.5" customHeight="1" x14ac:dyDescent="0.25">
      <c r="A373" s="76" t="s">
        <v>2023</v>
      </c>
      <c r="B373" s="102" t="s">
        <v>1740</v>
      </c>
      <c r="C373" s="38" t="s">
        <v>1648</v>
      </c>
      <c r="D373" s="131">
        <v>2265002081</v>
      </c>
      <c r="E373" s="68" t="s">
        <v>1538</v>
      </c>
      <c r="F373" s="38" t="s">
        <v>2022</v>
      </c>
      <c r="G373" s="76">
        <v>0.1</v>
      </c>
      <c r="H373" s="76" t="b">
        <v>0</v>
      </c>
      <c r="I373" s="76">
        <v>1</v>
      </c>
      <c r="J373" s="102" t="s">
        <v>2097</v>
      </c>
      <c r="K373" s="36" t="s">
        <v>2102</v>
      </c>
    </row>
    <row r="374" spans="1:11" ht="19.5" customHeight="1" x14ac:dyDescent="0.25">
      <c r="A374" s="76" t="s">
        <v>2023</v>
      </c>
      <c r="B374" s="102" t="s">
        <v>1740</v>
      </c>
      <c r="C374" s="38" t="s">
        <v>1648</v>
      </c>
      <c r="D374" s="131">
        <v>2260002006</v>
      </c>
      <c r="E374" s="38" t="s">
        <v>1555</v>
      </c>
      <c r="F374" s="38" t="s">
        <v>2022</v>
      </c>
      <c r="G374" s="76">
        <v>0.1</v>
      </c>
      <c r="H374" s="76" t="b">
        <v>0</v>
      </c>
      <c r="I374" s="76">
        <v>1</v>
      </c>
      <c r="J374" s="102" t="s">
        <v>2097</v>
      </c>
      <c r="K374" s="36" t="s">
        <v>2102</v>
      </c>
    </row>
    <row r="375" spans="1:11" ht="19.5" customHeight="1" x14ac:dyDescent="0.25">
      <c r="A375" s="76" t="s">
        <v>2023</v>
      </c>
      <c r="B375" s="102" t="s">
        <v>1740</v>
      </c>
      <c r="C375" s="38" t="s">
        <v>1648</v>
      </c>
      <c r="D375" s="131">
        <v>2260002009</v>
      </c>
      <c r="E375" s="38" t="s">
        <v>1556</v>
      </c>
      <c r="F375" s="38" t="s">
        <v>2022</v>
      </c>
      <c r="G375" s="76">
        <v>0.1</v>
      </c>
      <c r="H375" s="76" t="b">
        <v>0</v>
      </c>
      <c r="I375" s="76">
        <v>1</v>
      </c>
      <c r="J375" s="102" t="s">
        <v>2097</v>
      </c>
      <c r="K375" s="36" t="s">
        <v>2102</v>
      </c>
    </row>
    <row r="376" spans="1:11" ht="19.5" customHeight="1" x14ac:dyDescent="0.25">
      <c r="A376" s="76" t="s">
        <v>2023</v>
      </c>
      <c r="B376" s="102" t="s">
        <v>1740</v>
      </c>
      <c r="C376" s="38" t="s">
        <v>1648</v>
      </c>
      <c r="D376" s="131">
        <v>2260002021</v>
      </c>
      <c r="E376" s="38" t="s">
        <v>1557</v>
      </c>
      <c r="F376" s="38" t="s">
        <v>2022</v>
      </c>
      <c r="G376" s="76">
        <v>0.1</v>
      </c>
      <c r="H376" s="76" t="b">
        <v>0</v>
      </c>
      <c r="I376" s="76">
        <v>1</v>
      </c>
      <c r="J376" s="102" t="s">
        <v>2097</v>
      </c>
      <c r="K376" s="36" t="s">
        <v>2102</v>
      </c>
    </row>
    <row r="377" spans="1:11" ht="19.5" customHeight="1" x14ac:dyDescent="0.25">
      <c r="A377" s="76" t="s">
        <v>2023</v>
      </c>
      <c r="B377" s="102" t="s">
        <v>1740</v>
      </c>
      <c r="C377" s="38" t="s">
        <v>1648</v>
      </c>
      <c r="D377" s="131">
        <v>2260002027</v>
      </c>
      <c r="E377" s="38" t="s">
        <v>1558</v>
      </c>
      <c r="F377" s="38" t="s">
        <v>2022</v>
      </c>
      <c r="G377" s="76">
        <v>0.1</v>
      </c>
      <c r="H377" s="76" t="b">
        <v>0</v>
      </c>
      <c r="I377" s="76">
        <v>1</v>
      </c>
      <c r="J377" s="102" t="s">
        <v>2097</v>
      </c>
      <c r="K377" s="36" t="s">
        <v>2102</v>
      </c>
    </row>
    <row r="378" spans="1:11" ht="19.5" customHeight="1" x14ac:dyDescent="0.25">
      <c r="A378" s="76" t="s">
        <v>2023</v>
      </c>
      <c r="B378" s="102" t="s">
        <v>1740</v>
      </c>
      <c r="C378" s="38" t="s">
        <v>1648</v>
      </c>
      <c r="D378" s="131">
        <v>2260002039</v>
      </c>
      <c r="E378" s="38" t="s">
        <v>1559</v>
      </c>
      <c r="F378" s="38" t="s">
        <v>2022</v>
      </c>
      <c r="G378" s="76">
        <v>0.1</v>
      </c>
      <c r="H378" s="76" t="b">
        <v>0</v>
      </c>
      <c r="I378" s="76">
        <v>1</v>
      </c>
      <c r="J378" s="102" t="s">
        <v>2097</v>
      </c>
      <c r="K378" s="36" t="s">
        <v>2102</v>
      </c>
    </row>
    <row r="379" spans="1:11" ht="19.5" customHeight="1" x14ac:dyDescent="0.25">
      <c r="A379" s="76" t="s">
        <v>2023</v>
      </c>
      <c r="B379" s="102" t="s">
        <v>1740</v>
      </c>
      <c r="C379" s="38" t="s">
        <v>1648</v>
      </c>
      <c r="D379" s="131">
        <v>2260002054</v>
      </c>
      <c r="E379" s="38" t="s">
        <v>1560</v>
      </c>
      <c r="F379" s="38" t="s">
        <v>2022</v>
      </c>
      <c r="G379" s="76">
        <v>0.1</v>
      </c>
      <c r="H379" s="76" t="b">
        <v>0</v>
      </c>
      <c r="I379" s="76">
        <v>1</v>
      </c>
      <c r="J379" s="102" t="s">
        <v>2097</v>
      </c>
      <c r="K379" s="36" t="s">
        <v>2102</v>
      </c>
    </row>
    <row r="380" spans="1:11" ht="19.5" customHeight="1" x14ac:dyDescent="0.25">
      <c r="A380" s="76" t="s">
        <v>2023</v>
      </c>
      <c r="B380" s="102" t="s">
        <v>1740</v>
      </c>
      <c r="C380" s="38" t="s">
        <v>1648</v>
      </c>
      <c r="D380" s="131">
        <v>2268002081</v>
      </c>
      <c r="E380" s="38" t="s">
        <v>1568</v>
      </c>
      <c r="F380" s="38" t="s">
        <v>2022</v>
      </c>
      <c r="G380" s="76">
        <v>0.1</v>
      </c>
      <c r="H380" s="76" t="b">
        <v>0</v>
      </c>
      <c r="I380" s="76">
        <v>1</v>
      </c>
      <c r="J380" s="102" t="s">
        <v>2097</v>
      </c>
      <c r="K380" s="36" t="s">
        <v>2102</v>
      </c>
    </row>
    <row r="381" spans="1:11" ht="19.5" customHeight="1" x14ac:dyDescent="0.25">
      <c r="A381" s="76" t="s">
        <v>2023</v>
      </c>
      <c r="B381" s="102" t="s">
        <v>1740</v>
      </c>
      <c r="C381" s="38" t="s">
        <v>1648</v>
      </c>
      <c r="D381" s="131">
        <v>2267002003</v>
      </c>
      <c r="E381" s="38" t="s">
        <v>1579</v>
      </c>
      <c r="F381" s="38" t="s">
        <v>2022</v>
      </c>
      <c r="G381" s="76">
        <v>0.1</v>
      </c>
      <c r="H381" s="76" t="b">
        <v>0</v>
      </c>
      <c r="I381" s="76">
        <v>1</v>
      </c>
      <c r="J381" s="102" t="s">
        <v>2097</v>
      </c>
      <c r="K381" s="36" t="s">
        <v>2102</v>
      </c>
    </row>
    <row r="382" spans="1:11" ht="19.5" customHeight="1" x14ac:dyDescent="0.25">
      <c r="A382" s="76" t="s">
        <v>2023</v>
      </c>
      <c r="B382" s="102" t="s">
        <v>1740</v>
      </c>
      <c r="C382" s="38" t="s">
        <v>1648</v>
      </c>
      <c r="D382" s="131">
        <v>2267002015</v>
      </c>
      <c r="E382" s="38" t="s">
        <v>1580</v>
      </c>
      <c r="F382" s="38" t="s">
        <v>2022</v>
      </c>
      <c r="G382" s="76">
        <v>0.1</v>
      </c>
      <c r="H382" s="76" t="b">
        <v>0</v>
      </c>
      <c r="I382" s="76">
        <v>1</v>
      </c>
      <c r="J382" s="102" t="s">
        <v>2097</v>
      </c>
      <c r="K382" s="36" t="s">
        <v>2102</v>
      </c>
    </row>
    <row r="383" spans="1:11" ht="19.5" customHeight="1" x14ac:dyDescent="0.25">
      <c r="A383" s="76" t="s">
        <v>2023</v>
      </c>
      <c r="B383" s="102" t="s">
        <v>1740</v>
      </c>
      <c r="C383" s="38" t="s">
        <v>1648</v>
      </c>
      <c r="D383" s="131">
        <v>2267002021</v>
      </c>
      <c r="E383" s="38" t="s">
        <v>1581</v>
      </c>
      <c r="F383" s="38" t="s">
        <v>2022</v>
      </c>
      <c r="G383" s="76">
        <v>0.1</v>
      </c>
      <c r="H383" s="76" t="b">
        <v>0</v>
      </c>
      <c r="I383" s="76">
        <v>1</v>
      </c>
      <c r="J383" s="102" t="s">
        <v>2097</v>
      </c>
      <c r="K383" s="36" t="s">
        <v>2102</v>
      </c>
    </row>
    <row r="384" spans="1:11" ht="19.5" customHeight="1" x14ac:dyDescent="0.25">
      <c r="A384" s="76" t="s">
        <v>2023</v>
      </c>
      <c r="B384" s="102" t="s">
        <v>1740</v>
      </c>
      <c r="C384" s="38" t="s">
        <v>1648</v>
      </c>
      <c r="D384" s="131">
        <v>2267002024</v>
      </c>
      <c r="E384" s="38" t="s">
        <v>1582</v>
      </c>
      <c r="F384" s="38" t="s">
        <v>2022</v>
      </c>
      <c r="G384" s="76">
        <v>0.1</v>
      </c>
      <c r="H384" s="76" t="b">
        <v>0</v>
      </c>
      <c r="I384" s="76">
        <v>1</v>
      </c>
      <c r="J384" s="102" t="s">
        <v>2097</v>
      </c>
      <c r="K384" s="36" t="s">
        <v>2102</v>
      </c>
    </row>
    <row r="385" spans="1:11" ht="19.5" customHeight="1" x14ac:dyDescent="0.25">
      <c r="A385" s="76" t="s">
        <v>2023</v>
      </c>
      <c r="B385" s="102" t="s">
        <v>1740</v>
      </c>
      <c r="C385" s="38" t="s">
        <v>1648</v>
      </c>
      <c r="D385" s="131">
        <v>2267002030</v>
      </c>
      <c r="E385" s="38" t="s">
        <v>1583</v>
      </c>
      <c r="F385" s="38" t="s">
        <v>2022</v>
      </c>
      <c r="G385" s="76">
        <v>0.1</v>
      </c>
      <c r="H385" s="76" t="b">
        <v>0</v>
      </c>
      <c r="I385" s="76">
        <v>1</v>
      </c>
      <c r="J385" s="102" t="s">
        <v>2097</v>
      </c>
      <c r="K385" s="36" t="s">
        <v>2102</v>
      </c>
    </row>
    <row r="386" spans="1:11" ht="19.5" customHeight="1" x14ac:dyDescent="0.25">
      <c r="A386" s="76" t="s">
        <v>2023</v>
      </c>
      <c r="B386" s="102" t="s">
        <v>1740</v>
      </c>
      <c r="C386" s="38" t="s">
        <v>1648</v>
      </c>
      <c r="D386" s="131">
        <v>2267002033</v>
      </c>
      <c r="E386" s="38" t="s">
        <v>1584</v>
      </c>
      <c r="F386" s="38" t="s">
        <v>2022</v>
      </c>
      <c r="G386" s="76">
        <v>0.1</v>
      </c>
      <c r="H386" s="76" t="b">
        <v>0</v>
      </c>
      <c r="I386" s="76">
        <v>1</v>
      </c>
      <c r="J386" s="102" t="s">
        <v>2097</v>
      </c>
      <c r="K386" s="36" t="s">
        <v>2102</v>
      </c>
    </row>
    <row r="387" spans="1:11" ht="19.5" customHeight="1" x14ac:dyDescent="0.25">
      <c r="A387" s="76" t="s">
        <v>2023</v>
      </c>
      <c r="B387" s="102" t="s">
        <v>1740</v>
      </c>
      <c r="C387" s="38" t="s">
        <v>1648</v>
      </c>
      <c r="D387" s="131">
        <v>2267002039</v>
      </c>
      <c r="E387" s="38" t="s">
        <v>1585</v>
      </c>
      <c r="F387" s="38" t="s">
        <v>2022</v>
      </c>
      <c r="G387" s="76">
        <v>0.1</v>
      </c>
      <c r="H387" s="76" t="b">
        <v>0</v>
      </c>
      <c r="I387" s="76">
        <v>1</v>
      </c>
      <c r="J387" s="102" t="s">
        <v>2097</v>
      </c>
      <c r="K387" s="36" t="s">
        <v>2102</v>
      </c>
    </row>
    <row r="388" spans="1:11" ht="19.5" customHeight="1" x14ac:dyDescent="0.25">
      <c r="A388" s="76" t="s">
        <v>2023</v>
      </c>
      <c r="B388" s="102" t="s">
        <v>1740</v>
      </c>
      <c r="C388" s="38" t="s">
        <v>1648</v>
      </c>
      <c r="D388" s="131">
        <v>2267002045</v>
      </c>
      <c r="E388" s="38" t="s">
        <v>1586</v>
      </c>
      <c r="F388" s="38" t="s">
        <v>2022</v>
      </c>
      <c r="G388" s="76">
        <v>0.1</v>
      </c>
      <c r="H388" s="76" t="b">
        <v>0</v>
      </c>
      <c r="I388" s="76">
        <v>1</v>
      </c>
      <c r="J388" s="102" t="s">
        <v>2097</v>
      </c>
      <c r="K388" s="36" t="s">
        <v>2102</v>
      </c>
    </row>
    <row r="389" spans="1:11" ht="19.5" customHeight="1" x14ac:dyDescent="0.25">
      <c r="A389" s="76" t="s">
        <v>2023</v>
      </c>
      <c r="B389" s="102" t="s">
        <v>1740</v>
      </c>
      <c r="C389" s="38" t="s">
        <v>1648</v>
      </c>
      <c r="D389" s="131">
        <v>2267002054</v>
      </c>
      <c r="E389" s="38" t="s">
        <v>1587</v>
      </c>
      <c r="F389" s="38" t="s">
        <v>2022</v>
      </c>
      <c r="G389" s="76">
        <v>0.1</v>
      </c>
      <c r="H389" s="76" t="b">
        <v>0</v>
      </c>
      <c r="I389" s="76">
        <v>1</v>
      </c>
      <c r="J389" s="102" t="s">
        <v>2097</v>
      </c>
      <c r="K389" s="36" t="s">
        <v>2102</v>
      </c>
    </row>
    <row r="390" spans="1:11" ht="19.5" customHeight="1" x14ac:dyDescent="0.25">
      <c r="A390" s="76" t="s">
        <v>2023</v>
      </c>
      <c r="B390" s="102" t="s">
        <v>1740</v>
      </c>
      <c r="C390" s="38" t="s">
        <v>1648</v>
      </c>
      <c r="D390" s="131">
        <v>2267002057</v>
      </c>
      <c r="E390" s="38" t="s">
        <v>1588</v>
      </c>
      <c r="F390" s="38" t="s">
        <v>2022</v>
      </c>
      <c r="G390" s="76">
        <v>0.1</v>
      </c>
      <c r="H390" s="76" t="b">
        <v>0</v>
      </c>
      <c r="I390" s="76">
        <v>1</v>
      </c>
      <c r="J390" s="102" t="s">
        <v>2097</v>
      </c>
      <c r="K390" s="36" t="s">
        <v>2102</v>
      </c>
    </row>
    <row r="391" spans="1:11" ht="19.5" customHeight="1" x14ac:dyDescent="0.25">
      <c r="A391" s="76" t="s">
        <v>2023</v>
      </c>
      <c r="B391" s="102" t="s">
        <v>1740</v>
      </c>
      <c r="C391" s="38" t="s">
        <v>1648</v>
      </c>
      <c r="D391" s="131">
        <v>2267002060</v>
      </c>
      <c r="E391" s="38" t="s">
        <v>1589</v>
      </c>
      <c r="F391" s="38" t="s">
        <v>2022</v>
      </c>
      <c r="G391" s="76">
        <v>0.1</v>
      </c>
      <c r="H391" s="76" t="b">
        <v>0</v>
      </c>
      <c r="I391" s="76">
        <v>1</v>
      </c>
      <c r="J391" s="102" t="s">
        <v>2097</v>
      </c>
      <c r="K391" s="36" t="s">
        <v>2102</v>
      </c>
    </row>
    <row r="392" spans="1:11" ht="19.5" customHeight="1" x14ac:dyDescent="0.25">
      <c r="A392" s="76" t="s">
        <v>2023</v>
      </c>
      <c r="B392" s="102" t="s">
        <v>1740</v>
      </c>
      <c r="C392" s="38" t="s">
        <v>1648</v>
      </c>
      <c r="D392" s="131">
        <v>2267002066</v>
      </c>
      <c r="E392" s="38" t="s">
        <v>1590</v>
      </c>
      <c r="F392" s="38" t="s">
        <v>2022</v>
      </c>
      <c r="G392" s="76">
        <v>0.1</v>
      </c>
      <c r="H392" s="76" t="b">
        <v>0</v>
      </c>
      <c r="I392" s="76">
        <v>1</v>
      </c>
      <c r="J392" s="102" t="s">
        <v>2097</v>
      </c>
      <c r="K392" s="36" t="s">
        <v>2102</v>
      </c>
    </row>
    <row r="393" spans="1:11" ht="19.5" customHeight="1" x14ac:dyDescent="0.25">
      <c r="A393" s="76" t="s">
        <v>2023</v>
      </c>
      <c r="B393" s="102" t="s">
        <v>1740</v>
      </c>
      <c r="C393" s="38" t="s">
        <v>1648</v>
      </c>
      <c r="D393" s="131">
        <v>2267002072</v>
      </c>
      <c r="E393" s="38" t="s">
        <v>1591</v>
      </c>
      <c r="F393" s="38" t="s">
        <v>2022</v>
      </c>
      <c r="G393" s="76">
        <v>0.1</v>
      </c>
      <c r="H393" s="76" t="b">
        <v>0</v>
      </c>
      <c r="I393" s="76">
        <v>1</v>
      </c>
      <c r="J393" s="102" t="s">
        <v>2097</v>
      </c>
      <c r="K393" s="36" t="s">
        <v>2102</v>
      </c>
    </row>
    <row r="394" spans="1:11" ht="19.5" customHeight="1" x14ac:dyDescent="0.25">
      <c r="A394" s="76" t="s">
        <v>2023</v>
      </c>
      <c r="B394" s="102" t="s">
        <v>1740</v>
      </c>
      <c r="C394" s="38" t="s">
        <v>1648</v>
      </c>
      <c r="D394" s="131">
        <v>2267002081</v>
      </c>
      <c r="E394" s="38" t="s">
        <v>1592</v>
      </c>
      <c r="F394" s="38" t="s">
        <v>2022</v>
      </c>
      <c r="G394" s="76">
        <v>0.1</v>
      </c>
      <c r="H394" s="76" t="b">
        <v>0</v>
      </c>
      <c r="I394" s="76">
        <v>1</v>
      </c>
      <c r="J394" s="102" t="s">
        <v>2097</v>
      </c>
      <c r="K394" s="36" t="s">
        <v>2102</v>
      </c>
    </row>
    <row r="395" spans="1:11" ht="19.5" customHeight="1" x14ac:dyDescent="0.25">
      <c r="A395" s="76" t="s">
        <v>2023</v>
      </c>
      <c r="B395" s="102" t="s">
        <v>1740</v>
      </c>
      <c r="C395" s="38" t="s">
        <v>1648</v>
      </c>
      <c r="D395" s="131">
        <v>2270002003</v>
      </c>
      <c r="E395" s="38" t="s">
        <v>1605</v>
      </c>
      <c r="F395" s="38" t="s">
        <v>2022</v>
      </c>
      <c r="G395" s="76">
        <v>0.1</v>
      </c>
      <c r="H395" s="76" t="b">
        <v>1</v>
      </c>
      <c r="I395" s="76">
        <v>1</v>
      </c>
      <c r="J395" s="102" t="s">
        <v>2097</v>
      </c>
      <c r="K395" s="36" t="s">
        <v>2102</v>
      </c>
    </row>
    <row r="396" spans="1:11" ht="19.5" customHeight="1" x14ac:dyDescent="0.25">
      <c r="A396" s="76" t="s">
        <v>2023</v>
      </c>
      <c r="B396" s="102" t="s">
        <v>1740</v>
      </c>
      <c r="C396" s="38" t="s">
        <v>1648</v>
      </c>
      <c r="D396" s="131">
        <v>2270002006</v>
      </c>
      <c r="E396" s="38" t="s">
        <v>1606</v>
      </c>
      <c r="F396" s="38" t="s">
        <v>2022</v>
      </c>
      <c r="G396" s="76">
        <v>0.1</v>
      </c>
      <c r="H396" s="76" t="b">
        <v>1</v>
      </c>
      <c r="I396" s="76">
        <v>1</v>
      </c>
      <c r="J396" s="102" t="s">
        <v>2097</v>
      </c>
      <c r="K396" s="36" t="s">
        <v>2102</v>
      </c>
    </row>
    <row r="397" spans="1:11" ht="19.5" customHeight="1" x14ac:dyDescent="0.25">
      <c r="A397" s="76" t="s">
        <v>2023</v>
      </c>
      <c r="B397" s="102" t="s">
        <v>1740</v>
      </c>
      <c r="C397" s="38" t="s">
        <v>1648</v>
      </c>
      <c r="D397" s="131">
        <v>2270002009</v>
      </c>
      <c r="E397" s="38" t="s">
        <v>1607</v>
      </c>
      <c r="F397" s="38" t="s">
        <v>2022</v>
      </c>
      <c r="G397" s="76">
        <v>0.1</v>
      </c>
      <c r="H397" s="76" t="b">
        <v>1</v>
      </c>
      <c r="I397" s="76">
        <v>1</v>
      </c>
      <c r="J397" s="102" t="s">
        <v>2097</v>
      </c>
      <c r="K397" s="36" t="s">
        <v>2102</v>
      </c>
    </row>
    <row r="398" spans="1:11" ht="19.5" customHeight="1" x14ac:dyDescent="0.25">
      <c r="A398" s="76" t="s">
        <v>2023</v>
      </c>
      <c r="B398" s="102" t="s">
        <v>1740</v>
      </c>
      <c r="C398" s="38" t="s">
        <v>1648</v>
      </c>
      <c r="D398" s="131">
        <v>2270002015</v>
      </c>
      <c r="E398" s="38" t="s">
        <v>1608</v>
      </c>
      <c r="F398" s="38" t="s">
        <v>2022</v>
      </c>
      <c r="G398" s="76">
        <v>0.1</v>
      </c>
      <c r="H398" s="76" t="b">
        <v>1</v>
      </c>
      <c r="I398" s="76">
        <v>1</v>
      </c>
      <c r="J398" s="102" t="s">
        <v>2097</v>
      </c>
      <c r="K398" s="36" t="s">
        <v>2102</v>
      </c>
    </row>
    <row r="399" spans="1:11" ht="19.5" customHeight="1" x14ac:dyDescent="0.25">
      <c r="A399" s="76" t="s">
        <v>2023</v>
      </c>
      <c r="B399" s="102" t="s">
        <v>1740</v>
      </c>
      <c r="C399" s="38" t="s">
        <v>1648</v>
      </c>
      <c r="D399" s="131">
        <v>2270002018</v>
      </c>
      <c r="E399" s="38" t="s">
        <v>1609</v>
      </c>
      <c r="F399" s="38" t="s">
        <v>2022</v>
      </c>
      <c r="G399" s="76">
        <v>0.1</v>
      </c>
      <c r="H399" s="76" t="b">
        <v>1</v>
      </c>
      <c r="I399" s="76">
        <v>1</v>
      </c>
      <c r="J399" s="102" t="s">
        <v>2097</v>
      </c>
      <c r="K399" s="36" t="s">
        <v>2102</v>
      </c>
    </row>
    <row r="400" spans="1:11" ht="19.5" customHeight="1" x14ac:dyDescent="0.25">
      <c r="A400" s="76" t="s">
        <v>2023</v>
      </c>
      <c r="B400" s="102" t="s">
        <v>1740</v>
      </c>
      <c r="C400" s="38" t="s">
        <v>1648</v>
      </c>
      <c r="D400" s="131">
        <v>2270002021</v>
      </c>
      <c r="E400" s="38" t="s">
        <v>1610</v>
      </c>
      <c r="F400" s="38" t="s">
        <v>2022</v>
      </c>
      <c r="G400" s="76">
        <v>0.1</v>
      </c>
      <c r="H400" s="76" t="b">
        <v>1</v>
      </c>
      <c r="I400" s="76">
        <v>1</v>
      </c>
      <c r="J400" s="102" t="s">
        <v>2097</v>
      </c>
      <c r="K400" s="36" t="s">
        <v>2102</v>
      </c>
    </row>
    <row r="401" spans="1:11" ht="19.5" customHeight="1" x14ac:dyDescent="0.25">
      <c r="A401" s="76" t="s">
        <v>2023</v>
      </c>
      <c r="B401" s="102" t="s">
        <v>1740</v>
      </c>
      <c r="C401" s="38" t="s">
        <v>1648</v>
      </c>
      <c r="D401" s="131">
        <v>2270002024</v>
      </c>
      <c r="E401" s="38" t="s">
        <v>1611</v>
      </c>
      <c r="F401" s="38" t="s">
        <v>2022</v>
      </c>
      <c r="G401" s="76">
        <v>0.1</v>
      </c>
      <c r="H401" s="76" t="b">
        <v>1</v>
      </c>
      <c r="I401" s="76">
        <v>1</v>
      </c>
      <c r="J401" s="102" t="s">
        <v>2097</v>
      </c>
      <c r="K401" s="36" t="s">
        <v>2102</v>
      </c>
    </row>
    <row r="402" spans="1:11" ht="19.5" customHeight="1" x14ac:dyDescent="0.25">
      <c r="A402" s="76" t="s">
        <v>2023</v>
      </c>
      <c r="B402" s="102" t="s">
        <v>1740</v>
      </c>
      <c r="C402" s="38" t="s">
        <v>1648</v>
      </c>
      <c r="D402" s="131">
        <v>2270002027</v>
      </c>
      <c r="E402" s="38" t="s">
        <v>1612</v>
      </c>
      <c r="F402" s="38" t="s">
        <v>2022</v>
      </c>
      <c r="G402" s="76">
        <v>0.1</v>
      </c>
      <c r="H402" s="76" t="b">
        <v>1</v>
      </c>
      <c r="I402" s="76">
        <v>1</v>
      </c>
      <c r="J402" s="102" t="s">
        <v>2097</v>
      </c>
      <c r="K402" s="36" t="s">
        <v>2102</v>
      </c>
    </row>
    <row r="403" spans="1:11" ht="19.5" customHeight="1" x14ac:dyDescent="0.25">
      <c r="A403" s="76" t="s">
        <v>2023</v>
      </c>
      <c r="B403" s="102" t="s">
        <v>1740</v>
      </c>
      <c r="C403" s="38" t="s">
        <v>1648</v>
      </c>
      <c r="D403" s="131">
        <v>2270002030</v>
      </c>
      <c r="E403" s="38" t="s">
        <v>1613</v>
      </c>
      <c r="F403" s="38" t="s">
        <v>2022</v>
      </c>
      <c r="G403" s="76">
        <v>0.1</v>
      </c>
      <c r="H403" s="76" t="b">
        <v>1</v>
      </c>
      <c r="I403" s="76">
        <v>1</v>
      </c>
      <c r="J403" s="102" t="s">
        <v>2097</v>
      </c>
      <c r="K403" s="36" t="s">
        <v>2102</v>
      </c>
    </row>
    <row r="404" spans="1:11" ht="19.5" customHeight="1" x14ac:dyDescent="0.25">
      <c r="A404" s="76" t="s">
        <v>2023</v>
      </c>
      <c r="B404" s="102" t="s">
        <v>1740</v>
      </c>
      <c r="C404" s="38" t="s">
        <v>1648</v>
      </c>
      <c r="D404" s="131">
        <v>2270002033</v>
      </c>
      <c r="E404" s="38" t="s">
        <v>1614</v>
      </c>
      <c r="F404" s="38" t="s">
        <v>2022</v>
      </c>
      <c r="G404" s="76">
        <v>0.1</v>
      </c>
      <c r="H404" s="76" t="b">
        <v>1</v>
      </c>
      <c r="I404" s="76">
        <v>1</v>
      </c>
      <c r="J404" s="102" t="s">
        <v>2097</v>
      </c>
      <c r="K404" s="36" t="s">
        <v>2102</v>
      </c>
    </row>
    <row r="405" spans="1:11" ht="19.5" customHeight="1" x14ac:dyDescent="0.25">
      <c r="A405" s="76" t="s">
        <v>2023</v>
      </c>
      <c r="B405" s="102" t="s">
        <v>1740</v>
      </c>
      <c r="C405" s="38" t="s">
        <v>1648</v>
      </c>
      <c r="D405" s="131">
        <v>2270002036</v>
      </c>
      <c r="E405" s="38" t="s">
        <v>1615</v>
      </c>
      <c r="F405" s="38" t="s">
        <v>2022</v>
      </c>
      <c r="G405" s="76">
        <v>0.1</v>
      </c>
      <c r="H405" s="76" t="b">
        <v>1</v>
      </c>
      <c r="I405" s="76">
        <v>1</v>
      </c>
      <c r="J405" s="102" t="s">
        <v>2097</v>
      </c>
      <c r="K405" s="36" t="s">
        <v>2102</v>
      </c>
    </row>
    <row r="406" spans="1:11" ht="19.5" customHeight="1" x14ac:dyDescent="0.25">
      <c r="A406" s="76" t="s">
        <v>2023</v>
      </c>
      <c r="B406" s="102" t="s">
        <v>1740</v>
      </c>
      <c r="C406" s="38" t="s">
        <v>1648</v>
      </c>
      <c r="D406" s="131">
        <v>2270002039</v>
      </c>
      <c r="E406" s="38" t="s">
        <v>1616</v>
      </c>
      <c r="F406" s="38" t="s">
        <v>2022</v>
      </c>
      <c r="G406" s="76">
        <v>0.1</v>
      </c>
      <c r="H406" s="76" t="b">
        <v>1</v>
      </c>
      <c r="I406" s="76">
        <v>1</v>
      </c>
      <c r="J406" s="102" t="s">
        <v>2097</v>
      </c>
      <c r="K406" s="36" t="s">
        <v>2102</v>
      </c>
    </row>
    <row r="407" spans="1:11" ht="19.5" customHeight="1" x14ac:dyDescent="0.25">
      <c r="A407" s="76" t="s">
        <v>2023</v>
      </c>
      <c r="B407" s="102" t="s">
        <v>1740</v>
      </c>
      <c r="C407" s="38" t="s">
        <v>1648</v>
      </c>
      <c r="D407" s="131">
        <v>2270002042</v>
      </c>
      <c r="E407" s="38" t="s">
        <v>1617</v>
      </c>
      <c r="F407" s="38" t="s">
        <v>2022</v>
      </c>
      <c r="G407" s="76">
        <v>0.1</v>
      </c>
      <c r="H407" s="76" t="b">
        <v>1</v>
      </c>
      <c r="I407" s="76">
        <v>1</v>
      </c>
      <c r="J407" s="102" t="s">
        <v>2097</v>
      </c>
      <c r="K407" s="36" t="s">
        <v>2102</v>
      </c>
    </row>
    <row r="408" spans="1:11" ht="19.5" customHeight="1" x14ac:dyDescent="0.25">
      <c r="A408" s="76" t="s">
        <v>2023</v>
      </c>
      <c r="B408" s="102" t="s">
        <v>1740</v>
      </c>
      <c r="C408" s="38" t="s">
        <v>1648</v>
      </c>
      <c r="D408" s="131">
        <v>2270002045</v>
      </c>
      <c r="E408" s="38" t="s">
        <v>1618</v>
      </c>
      <c r="F408" s="38" t="s">
        <v>2022</v>
      </c>
      <c r="G408" s="76">
        <v>0.1</v>
      </c>
      <c r="H408" s="76" t="b">
        <v>1</v>
      </c>
      <c r="I408" s="76">
        <v>1</v>
      </c>
      <c r="J408" s="102" t="s">
        <v>2097</v>
      </c>
      <c r="K408" s="36" t="s">
        <v>2102</v>
      </c>
    </row>
    <row r="409" spans="1:11" ht="19.5" customHeight="1" x14ac:dyDescent="0.25">
      <c r="A409" s="76" t="s">
        <v>2023</v>
      </c>
      <c r="B409" s="102" t="s">
        <v>1740</v>
      </c>
      <c r="C409" s="38" t="s">
        <v>1648</v>
      </c>
      <c r="D409" s="131">
        <v>2270002048</v>
      </c>
      <c r="E409" s="38" t="s">
        <v>1619</v>
      </c>
      <c r="F409" s="38" t="s">
        <v>2022</v>
      </c>
      <c r="G409" s="76">
        <v>0.1</v>
      </c>
      <c r="H409" s="76" t="b">
        <v>1</v>
      </c>
      <c r="I409" s="76">
        <v>1</v>
      </c>
      <c r="J409" s="102" t="s">
        <v>2097</v>
      </c>
      <c r="K409" s="36" t="s">
        <v>2102</v>
      </c>
    </row>
    <row r="410" spans="1:11" ht="19.5" customHeight="1" x14ac:dyDescent="0.25">
      <c r="A410" s="76" t="s">
        <v>2023</v>
      </c>
      <c r="B410" s="102" t="s">
        <v>1740</v>
      </c>
      <c r="C410" s="38" t="s">
        <v>1648</v>
      </c>
      <c r="D410" s="131">
        <v>2270002051</v>
      </c>
      <c r="E410" s="38" t="s">
        <v>1620</v>
      </c>
      <c r="F410" s="38" t="s">
        <v>2022</v>
      </c>
      <c r="G410" s="76">
        <v>0.1</v>
      </c>
      <c r="H410" s="76" t="b">
        <v>1</v>
      </c>
      <c r="I410" s="76">
        <v>1</v>
      </c>
      <c r="J410" s="102" t="s">
        <v>2097</v>
      </c>
      <c r="K410" s="36" t="s">
        <v>2102</v>
      </c>
    </row>
    <row r="411" spans="1:11" ht="19.5" customHeight="1" x14ac:dyDescent="0.25">
      <c r="A411" s="76" t="s">
        <v>2023</v>
      </c>
      <c r="B411" s="102" t="s">
        <v>1740</v>
      </c>
      <c r="C411" s="38" t="s">
        <v>1648</v>
      </c>
      <c r="D411" s="131">
        <v>2270002054</v>
      </c>
      <c r="E411" s="38" t="s">
        <v>1621</v>
      </c>
      <c r="F411" s="38" t="s">
        <v>2022</v>
      </c>
      <c r="G411" s="76">
        <v>0.1</v>
      </c>
      <c r="H411" s="76" t="b">
        <v>1</v>
      </c>
      <c r="I411" s="76">
        <v>1</v>
      </c>
      <c r="J411" s="102" t="s">
        <v>2097</v>
      </c>
      <c r="K411" s="36" t="s">
        <v>2102</v>
      </c>
    </row>
    <row r="412" spans="1:11" ht="19.5" customHeight="1" x14ac:dyDescent="0.25">
      <c r="A412" s="76" t="s">
        <v>2023</v>
      </c>
      <c r="B412" s="102" t="s">
        <v>1740</v>
      </c>
      <c r="C412" s="38" t="s">
        <v>1648</v>
      </c>
      <c r="D412" s="131">
        <v>2270002057</v>
      </c>
      <c r="E412" s="38" t="s">
        <v>1622</v>
      </c>
      <c r="F412" s="38" t="s">
        <v>2022</v>
      </c>
      <c r="G412" s="76">
        <v>0.1</v>
      </c>
      <c r="H412" s="76" t="b">
        <v>1</v>
      </c>
      <c r="I412" s="76">
        <v>1</v>
      </c>
      <c r="J412" s="102" t="s">
        <v>2097</v>
      </c>
      <c r="K412" s="36" t="s">
        <v>2102</v>
      </c>
    </row>
    <row r="413" spans="1:11" ht="19.5" customHeight="1" x14ac:dyDescent="0.25">
      <c r="A413" s="76" t="s">
        <v>2023</v>
      </c>
      <c r="B413" s="102" t="s">
        <v>1740</v>
      </c>
      <c r="C413" s="38" t="s">
        <v>1648</v>
      </c>
      <c r="D413" s="131">
        <v>2270002060</v>
      </c>
      <c r="E413" s="38" t="s">
        <v>1623</v>
      </c>
      <c r="F413" s="38" t="s">
        <v>2022</v>
      </c>
      <c r="G413" s="76">
        <v>0.1</v>
      </c>
      <c r="H413" s="76" t="b">
        <v>1</v>
      </c>
      <c r="I413" s="76">
        <v>1</v>
      </c>
      <c r="J413" s="102" t="s">
        <v>2097</v>
      </c>
      <c r="K413" s="36" t="s">
        <v>2102</v>
      </c>
    </row>
    <row r="414" spans="1:11" ht="19.5" customHeight="1" x14ac:dyDescent="0.25">
      <c r="A414" s="76" t="s">
        <v>2023</v>
      </c>
      <c r="B414" s="102" t="s">
        <v>1740</v>
      </c>
      <c r="C414" s="38" t="s">
        <v>1648</v>
      </c>
      <c r="D414" s="131">
        <v>2270002066</v>
      </c>
      <c r="E414" s="38" t="s">
        <v>1624</v>
      </c>
      <c r="F414" s="38" t="s">
        <v>2022</v>
      </c>
      <c r="G414" s="76">
        <v>0.1</v>
      </c>
      <c r="H414" s="76" t="b">
        <v>1</v>
      </c>
      <c r="I414" s="76">
        <v>1</v>
      </c>
      <c r="J414" s="102" t="s">
        <v>2097</v>
      </c>
      <c r="K414" s="36" t="s">
        <v>2102</v>
      </c>
    </row>
    <row r="415" spans="1:11" ht="19.5" customHeight="1" x14ac:dyDescent="0.25">
      <c r="A415" s="76" t="s">
        <v>2023</v>
      </c>
      <c r="B415" s="102" t="s">
        <v>1740</v>
      </c>
      <c r="C415" s="38" t="s">
        <v>1648</v>
      </c>
      <c r="D415" s="131">
        <v>2270002069</v>
      </c>
      <c r="E415" s="38" t="s">
        <v>1625</v>
      </c>
      <c r="F415" s="38" t="s">
        <v>2022</v>
      </c>
      <c r="G415" s="76">
        <v>0.1</v>
      </c>
      <c r="H415" s="76" t="b">
        <v>1</v>
      </c>
      <c r="I415" s="76">
        <v>1</v>
      </c>
      <c r="J415" s="102" t="s">
        <v>2097</v>
      </c>
      <c r="K415" s="36" t="s">
        <v>2102</v>
      </c>
    </row>
    <row r="416" spans="1:11" ht="19.5" customHeight="1" x14ac:dyDescent="0.25">
      <c r="A416" s="76" t="s">
        <v>2023</v>
      </c>
      <c r="B416" s="102" t="s">
        <v>1740</v>
      </c>
      <c r="C416" s="38" t="s">
        <v>1648</v>
      </c>
      <c r="D416" s="131">
        <v>2270002072</v>
      </c>
      <c r="E416" s="38" t="s">
        <v>1626</v>
      </c>
      <c r="F416" s="38" t="s">
        <v>2022</v>
      </c>
      <c r="G416" s="76">
        <v>0.1</v>
      </c>
      <c r="H416" s="76" t="b">
        <v>1</v>
      </c>
      <c r="I416" s="76">
        <v>1</v>
      </c>
      <c r="J416" s="102" t="s">
        <v>2097</v>
      </c>
      <c r="K416" s="36" t="s">
        <v>2102</v>
      </c>
    </row>
    <row r="417" spans="1:11" ht="19.5" customHeight="1" x14ac:dyDescent="0.25">
      <c r="A417" s="76" t="s">
        <v>2023</v>
      </c>
      <c r="B417" s="102" t="s">
        <v>1740</v>
      </c>
      <c r="C417" s="38" t="s">
        <v>1648</v>
      </c>
      <c r="D417" s="131">
        <v>2270002075</v>
      </c>
      <c r="E417" s="38" t="s">
        <v>1627</v>
      </c>
      <c r="F417" s="38" t="s">
        <v>2022</v>
      </c>
      <c r="G417" s="76">
        <v>0.1</v>
      </c>
      <c r="H417" s="76" t="b">
        <v>1</v>
      </c>
      <c r="I417" s="76">
        <v>1</v>
      </c>
      <c r="J417" s="102" t="s">
        <v>2097</v>
      </c>
      <c r="K417" s="36" t="s">
        <v>2102</v>
      </c>
    </row>
    <row r="418" spans="1:11" ht="19.5" customHeight="1" x14ac:dyDescent="0.25">
      <c r="A418" s="76" t="s">
        <v>2023</v>
      </c>
      <c r="B418" s="102" t="s">
        <v>1740</v>
      </c>
      <c r="C418" s="38" t="s">
        <v>1648</v>
      </c>
      <c r="D418" s="131">
        <v>2270002078</v>
      </c>
      <c r="E418" s="38" t="s">
        <v>1628</v>
      </c>
      <c r="F418" s="38" t="s">
        <v>2022</v>
      </c>
      <c r="G418" s="76">
        <v>0.1</v>
      </c>
      <c r="H418" s="76" t="b">
        <v>1</v>
      </c>
      <c r="I418" s="76">
        <v>1</v>
      </c>
      <c r="J418" s="102" t="s">
        <v>2097</v>
      </c>
      <c r="K418" s="36" t="s">
        <v>2102</v>
      </c>
    </row>
    <row r="419" spans="1:11" ht="19.5" customHeight="1" x14ac:dyDescent="0.25">
      <c r="A419" s="76" t="s">
        <v>2023</v>
      </c>
      <c r="B419" s="102" t="s">
        <v>1740</v>
      </c>
      <c r="C419" s="38" t="s">
        <v>1648</v>
      </c>
      <c r="D419" s="131">
        <v>2270002081</v>
      </c>
      <c r="E419" s="38" t="s">
        <v>1629</v>
      </c>
      <c r="F419" s="38" t="s">
        <v>2022</v>
      </c>
      <c r="G419" s="76">
        <v>0.1</v>
      </c>
      <c r="H419" s="76" t="b">
        <v>1</v>
      </c>
      <c r="I419" s="76">
        <v>1</v>
      </c>
      <c r="J419" s="102" t="s">
        <v>2097</v>
      </c>
      <c r="K419" s="36" t="s">
        <v>2102</v>
      </c>
    </row>
    <row r="420" spans="1:11" ht="19.5" customHeight="1" x14ac:dyDescent="0.25">
      <c r="A420" s="92" t="s">
        <v>2025</v>
      </c>
      <c r="B420" s="120" t="s">
        <v>1741</v>
      </c>
      <c r="C420" s="37" t="s">
        <v>1647</v>
      </c>
      <c r="D420" s="113">
        <v>2265003010</v>
      </c>
      <c r="E420" s="39" t="s">
        <v>1539</v>
      </c>
      <c r="F420" s="37" t="s">
        <v>2024</v>
      </c>
      <c r="G420" s="92">
        <v>0.1</v>
      </c>
      <c r="H420" s="92" t="b">
        <v>0</v>
      </c>
      <c r="I420" s="92">
        <v>1</v>
      </c>
      <c r="J420" s="120" t="s">
        <v>2097</v>
      </c>
      <c r="K420" s="36" t="s">
        <v>2113</v>
      </c>
    </row>
    <row r="421" spans="1:11" ht="19.5" customHeight="1" x14ac:dyDescent="0.25">
      <c r="A421" s="92" t="s">
        <v>2025</v>
      </c>
      <c r="B421" s="120" t="s">
        <v>1741</v>
      </c>
      <c r="C421" s="37" t="s">
        <v>1647</v>
      </c>
      <c r="D421" s="113">
        <v>2265003020</v>
      </c>
      <c r="E421" s="39" t="s">
        <v>1540</v>
      </c>
      <c r="F421" s="37" t="s">
        <v>2024</v>
      </c>
      <c r="G421" s="92">
        <v>0.1</v>
      </c>
      <c r="H421" s="92" t="b">
        <v>0</v>
      </c>
      <c r="I421" s="92">
        <v>1</v>
      </c>
      <c r="J421" s="120" t="s">
        <v>2097</v>
      </c>
      <c r="K421" s="36" t="s">
        <v>2113</v>
      </c>
    </row>
    <row r="422" spans="1:11" ht="19.5" customHeight="1" x14ac:dyDescent="0.25">
      <c r="A422" s="92" t="s">
        <v>2025</v>
      </c>
      <c r="B422" s="120" t="s">
        <v>1741</v>
      </c>
      <c r="C422" s="37" t="s">
        <v>1647</v>
      </c>
      <c r="D422" s="113">
        <v>2265003030</v>
      </c>
      <c r="E422" s="39" t="s">
        <v>1541</v>
      </c>
      <c r="F422" s="37" t="s">
        <v>2024</v>
      </c>
      <c r="G422" s="92">
        <v>0.1</v>
      </c>
      <c r="H422" s="92" t="b">
        <v>0</v>
      </c>
      <c r="I422" s="92">
        <v>1</v>
      </c>
      <c r="J422" s="120" t="s">
        <v>2097</v>
      </c>
      <c r="K422" s="36" t="s">
        <v>2113</v>
      </c>
    </row>
    <row r="423" spans="1:11" ht="19.5" customHeight="1" x14ac:dyDescent="0.25">
      <c r="A423" s="92" t="s">
        <v>2025</v>
      </c>
      <c r="B423" s="120" t="s">
        <v>1741</v>
      </c>
      <c r="C423" s="37" t="s">
        <v>1647</v>
      </c>
      <c r="D423" s="113">
        <v>2265003040</v>
      </c>
      <c r="E423" s="39" t="s">
        <v>1542</v>
      </c>
      <c r="F423" s="37" t="s">
        <v>2024</v>
      </c>
      <c r="G423" s="92">
        <v>0.1</v>
      </c>
      <c r="H423" s="92" t="b">
        <v>0</v>
      </c>
      <c r="I423" s="92">
        <v>1</v>
      </c>
      <c r="J423" s="120" t="s">
        <v>2097</v>
      </c>
      <c r="K423" s="36" t="s">
        <v>2113</v>
      </c>
    </row>
    <row r="424" spans="1:11" ht="19.5" customHeight="1" x14ac:dyDescent="0.25">
      <c r="A424" s="92" t="s">
        <v>2025</v>
      </c>
      <c r="B424" s="120" t="s">
        <v>1741</v>
      </c>
      <c r="C424" s="37" t="s">
        <v>1647</v>
      </c>
      <c r="D424" s="113">
        <v>2265003050</v>
      </c>
      <c r="E424" s="39" t="s">
        <v>1543</v>
      </c>
      <c r="F424" s="37" t="s">
        <v>2024</v>
      </c>
      <c r="G424" s="92">
        <v>0.1</v>
      </c>
      <c r="H424" s="92" t="b">
        <v>0</v>
      </c>
      <c r="I424" s="92">
        <v>1</v>
      </c>
      <c r="J424" s="120" t="s">
        <v>2097</v>
      </c>
      <c r="K424" s="36" t="s">
        <v>2113</v>
      </c>
    </row>
    <row r="425" spans="1:11" ht="19.5" customHeight="1" x14ac:dyDescent="0.25">
      <c r="A425" s="92" t="s">
        <v>2025</v>
      </c>
      <c r="B425" s="120" t="s">
        <v>1741</v>
      </c>
      <c r="C425" s="37" t="s">
        <v>1647</v>
      </c>
      <c r="D425" s="113">
        <v>2265003060</v>
      </c>
      <c r="E425" s="39" t="s">
        <v>1544</v>
      </c>
      <c r="F425" s="37" t="s">
        <v>2024</v>
      </c>
      <c r="G425" s="92">
        <v>0.1</v>
      </c>
      <c r="H425" s="92" t="b">
        <v>0</v>
      </c>
      <c r="I425" s="92">
        <v>1</v>
      </c>
      <c r="J425" s="120" t="s">
        <v>2097</v>
      </c>
      <c r="K425" s="36" t="s">
        <v>2113</v>
      </c>
    </row>
    <row r="426" spans="1:11" ht="19.5" customHeight="1" x14ac:dyDescent="0.25">
      <c r="A426" s="92" t="s">
        <v>2025</v>
      </c>
      <c r="B426" s="120" t="s">
        <v>1741</v>
      </c>
      <c r="C426" s="37" t="s">
        <v>1647</v>
      </c>
      <c r="D426" s="113">
        <v>2265003070</v>
      </c>
      <c r="E426" s="39" t="s">
        <v>1545</v>
      </c>
      <c r="F426" s="37" t="s">
        <v>2024</v>
      </c>
      <c r="G426" s="92">
        <v>0.1</v>
      </c>
      <c r="H426" s="92" t="b">
        <v>0</v>
      </c>
      <c r="I426" s="92">
        <v>1</v>
      </c>
      <c r="J426" s="120" t="s">
        <v>2097</v>
      </c>
      <c r="K426" s="36" t="s">
        <v>2113</v>
      </c>
    </row>
    <row r="427" spans="1:11" ht="19.5" customHeight="1" x14ac:dyDescent="0.25">
      <c r="A427" s="92" t="s">
        <v>2025</v>
      </c>
      <c r="B427" s="120" t="s">
        <v>1741</v>
      </c>
      <c r="C427" s="37" t="s">
        <v>1647</v>
      </c>
      <c r="D427" s="113">
        <v>2265010010</v>
      </c>
      <c r="E427" s="39" t="s">
        <v>1554</v>
      </c>
      <c r="F427" s="37" t="s">
        <v>2024</v>
      </c>
      <c r="G427" s="92">
        <v>0.1</v>
      </c>
      <c r="H427" s="92" t="b">
        <v>0</v>
      </c>
      <c r="I427" s="92">
        <v>1</v>
      </c>
      <c r="J427" s="120" t="s">
        <v>2097</v>
      </c>
      <c r="K427" s="36" t="s">
        <v>2113</v>
      </c>
    </row>
    <row r="428" spans="1:11" ht="19.5" customHeight="1" x14ac:dyDescent="0.25">
      <c r="A428" s="92" t="s">
        <v>2025</v>
      </c>
      <c r="B428" s="120" t="s">
        <v>1741</v>
      </c>
      <c r="C428" s="37" t="s">
        <v>1647</v>
      </c>
      <c r="D428" s="113">
        <v>2260003030</v>
      </c>
      <c r="E428" s="37" t="s">
        <v>1561</v>
      </c>
      <c r="F428" s="37" t="s">
        <v>2024</v>
      </c>
      <c r="G428" s="92">
        <v>0.1</v>
      </c>
      <c r="H428" s="92" t="b">
        <v>0</v>
      </c>
      <c r="I428" s="92">
        <v>1</v>
      </c>
      <c r="J428" s="120" t="s">
        <v>2097</v>
      </c>
      <c r="K428" s="36" t="s">
        <v>2113</v>
      </c>
    </row>
    <row r="429" spans="1:11" ht="19.5" customHeight="1" x14ac:dyDescent="0.25">
      <c r="A429" s="92" t="s">
        <v>2025</v>
      </c>
      <c r="B429" s="120" t="s">
        <v>1741</v>
      </c>
      <c r="C429" s="37" t="s">
        <v>1647</v>
      </c>
      <c r="D429" s="113">
        <v>2260003040</v>
      </c>
      <c r="E429" s="37" t="s">
        <v>1562</v>
      </c>
      <c r="F429" s="37" t="s">
        <v>2024</v>
      </c>
      <c r="G429" s="92">
        <v>0.1</v>
      </c>
      <c r="H429" s="92" t="b">
        <v>0</v>
      </c>
      <c r="I429" s="92">
        <v>1</v>
      </c>
      <c r="J429" s="120" t="s">
        <v>2097</v>
      </c>
      <c r="K429" s="36" t="s">
        <v>2113</v>
      </c>
    </row>
    <row r="430" spans="1:11" ht="19.5" customHeight="1" x14ac:dyDescent="0.25">
      <c r="A430" s="92" t="s">
        <v>2025</v>
      </c>
      <c r="B430" s="120" t="s">
        <v>1741</v>
      </c>
      <c r="C430" s="37" t="s">
        <v>1647</v>
      </c>
      <c r="D430" s="113">
        <v>2268003020</v>
      </c>
      <c r="E430" s="37" t="s">
        <v>1569</v>
      </c>
      <c r="F430" s="37" t="s">
        <v>2024</v>
      </c>
      <c r="G430" s="92">
        <v>0.1</v>
      </c>
      <c r="H430" s="92" t="b">
        <v>0</v>
      </c>
      <c r="I430" s="92">
        <v>1</v>
      </c>
      <c r="J430" s="120" t="s">
        <v>2097</v>
      </c>
      <c r="K430" s="36" t="s">
        <v>2113</v>
      </c>
    </row>
    <row r="431" spans="1:11" ht="19.5" customHeight="1" x14ac:dyDescent="0.25">
      <c r="A431" s="92" t="s">
        <v>2025</v>
      </c>
      <c r="B431" s="120" t="s">
        <v>1741</v>
      </c>
      <c r="C431" s="37" t="s">
        <v>1647</v>
      </c>
      <c r="D431" s="113">
        <v>2268003030</v>
      </c>
      <c r="E431" s="37" t="s">
        <v>1570</v>
      </c>
      <c r="F431" s="37" t="s">
        <v>2024</v>
      </c>
      <c r="G431" s="92">
        <v>0.1</v>
      </c>
      <c r="H431" s="92" t="b">
        <v>0</v>
      </c>
      <c r="I431" s="92">
        <v>1</v>
      </c>
      <c r="J431" s="120" t="s">
        <v>2097</v>
      </c>
      <c r="K431" s="36" t="s">
        <v>2113</v>
      </c>
    </row>
    <row r="432" spans="1:11" ht="19.5" customHeight="1" x14ac:dyDescent="0.25">
      <c r="A432" s="92" t="s">
        <v>2025</v>
      </c>
      <c r="B432" s="120" t="s">
        <v>1741</v>
      </c>
      <c r="C432" s="37" t="s">
        <v>1647</v>
      </c>
      <c r="D432" s="113">
        <v>2268003040</v>
      </c>
      <c r="E432" s="37" t="s">
        <v>1571</v>
      </c>
      <c r="F432" s="37" t="s">
        <v>2024</v>
      </c>
      <c r="G432" s="92">
        <v>0.1</v>
      </c>
      <c r="H432" s="92" t="b">
        <v>0</v>
      </c>
      <c r="I432" s="92">
        <v>1</v>
      </c>
      <c r="J432" s="120" t="s">
        <v>2097</v>
      </c>
      <c r="K432" s="36" t="s">
        <v>2113</v>
      </c>
    </row>
    <row r="433" spans="1:11" ht="19.5" customHeight="1" x14ac:dyDescent="0.25">
      <c r="A433" s="92" t="s">
        <v>2025</v>
      </c>
      <c r="B433" s="120" t="s">
        <v>1741</v>
      </c>
      <c r="C433" s="37" t="s">
        <v>1647</v>
      </c>
      <c r="D433" s="113">
        <v>2268003060</v>
      </c>
      <c r="E433" s="37" t="s">
        <v>1572</v>
      </c>
      <c r="F433" s="37" t="s">
        <v>2024</v>
      </c>
      <c r="G433" s="92">
        <v>0.1</v>
      </c>
      <c r="H433" s="92" t="b">
        <v>0</v>
      </c>
      <c r="I433" s="92">
        <v>1</v>
      </c>
      <c r="J433" s="120" t="s">
        <v>2097</v>
      </c>
      <c r="K433" s="36" t="s">
        <v>2113</v>
      </c>
    </row>
    <row r="434" spans="1:11" ht="19.5" customHeight="1" x14ac:dyDescent="0.25">
      <c r="A434" s="92" t="s">
        <v>2025</v>
      </c>
      <c r="B434" s="120" t="s">
        <v>1741</v>
      </c>
      <c r="C434" s="37" t="s">
        <v>1647</v>
      </c>
      <c r="D434" s="113">
        <v>2268003070</v>
      </c>
      <c r="E434" s="37" t="s">
        <v>1573</v>
      </c>
      <c r="F434" s="37" t="s">
        <v>2024</v>
      </c>
      <c r="G434" s="92">
        <v>0.1</v>
      </c>
      <c r="H434" s="92" t="b">
        <v>0</v>
      </c>
      <c r="I434" s="92">
        <v>1</v>
      </c>
      <c r="J434" s="120" t="s">
        <v>2097</v>
      </c>
      <c r="K434" s="36" t="s">
        <v>2113</v>
      </c>
    </row>
    <row r="435" spans="1:11" ht="19.5" customHeight="1" x14ac:dyDescent="0.25">
      <c r="A435" s="92" t="s">
        <v>2025</v>
      </c>
      <c r="B435" s="120" t="s">
        <v>1741</v>
      </c>
      <c r="C435" s="37" t="s">
        <v>1647</v>
      </c>
      <c r="D435" s="113">
        <v>2268010010</v>
      </c>
      <c r="E435" s="37" t="s">
        <v>1578</v>
      </c>
      <c r="F435" s="37" t="s">
        <v>2024</v>
      </c>
      <c r="G435" s="92">
        <v>0.1</v>
      </c>
      <c r="H435" s="92" t="b">
        <v>0</v>
      </c>
      <c r="I435" s="92">
        <v>1</v>
      </c>
      <c r="J435" s="120" t="s">
        <v>2097</v>
      </c>
      <c r="K435" s="36" t="s">
        <v>2113</v>
      </c>
    </row>
    <row r="436" spans="1:11" ht="19.5" customHeight="1" x14ac:dyDescent="0.25">
      <c r="A436" s="92" t="s">
        <v>2025</v>
      </c>
      <c r="B436" s="120" t="s">
        <v>1741</v>
      </c>
      <c r="C436" s="37" t="s">
        <v>1647</v>
      </c>
      <c r="D436" s="113">
        <v>2267003010</v>
      </c>
      <c r="E436" s="37" t="s">
        <v>1593</v>
      </c>
      <c r="F436" s="37" t="s">
        <v>2024</v>
      </c>
      <c r="G436" s="92">
        <v>0.1</v>
      </c>
      <c r="H436" s="92" t="b">
        <v>0</v>
      </c>
      <c r="I436" s="92">
        <v>1</v>
      </c>
      <c r="J436" s="120" t="s">
        <v>2097</v>
      </c>
      <c r="K436" s="36" t="s">
        <v>2113</v>
      </c>
    </row>
    <row r="437" spans="1:11" ht="19.5" customHeight="1" x14ac:dyDescent="0.25">
      <c r="A437" s="92" t="s">
        <v>2025</v>
      </c>
      <c r="B437" s="120" t="s">
        <v>1741</v>
      </c>
      <c r="C437" s="37" t="s">
        <v>1647</v>
      </c>
      <c r="D437" s="113">
        <v>2267003020</v>
      </c>
      <c r="E437" s="37" t="s">
        <v>1594</v>
      </c>
      <c r="F437" s="37" t="s">
        <v>2024</v>
      </c>
      <c r="G437" s="92">
        <v>0.1</v>
      </c>
      <c r="H437" s="92" t="b">
        <v>0</v>
      </c>
      <c r="I437" s="92">
        <v>1</v>
      </c>
      <c r="J437" s="120" t="s">
        <v>2097</v>
      </c>
      <c r="K437" s="36" t="s">
        <v>2113</v>
      </c>
    </row>
    <row r="438" spans="1:11" ht="19.5" customHeight="1" x14ac:dyDescent="0.25">
      <c r="A438" s="92" t="s">
        <v>2025</v>
      </c>
      <c r="B438" s="120" t="s">
        <v>1741</v>
      </c>
      <c r="C438" s="37" t="s">
        <v>1647</v>
      </c>
      <c r="D438" s="113">
        <v>2267003030</v>
      </c>
      <c r="E438" s="37" t="s">
        <v>1595</v>
      </c>
      <c r="F438" s="37" t="s">
        <v>2024</v>
      </c>
      <c r="G438" s="92">
        <v>0.1</v>
      </c>
      <c r="H438" s="92" t="b">
        <v>0</v>
      </c>
      <c r="I438" s="92">
        <v>1</v>
      </c>
      <c r="J438" s="120" t="s">
        <v>2097</v>
      </c>
      <c r="K438" s="36" t="s">
        <v>2113</v>
      </c>
    </row>
    <row r="439" spans="1:11" ht="19.5" customHeight="1" x14ac:dyDescent="0.25">
      <c r="A439" s="92" t="s">
        <v>2025</v>
      </c>
      <c r="B439" s="120" t="s">
        <v>1741</v>
      </c>
      <c r="C439" s="37" t="s">
        <v>1647</v>
      </c>
      <c r="D439" s="113">
        <v>2267003040</v>
      </c>
      <c r="E439" s="37" t="s">
        <v>1596</v>
      </c>
      <c r="F439" s="37" t="s">
        <v>2024</v>
      </c>
      <c r="G439" s="92">
        <v>0.1</v>
      </c>
      <c r="H439" s="92" t="b">
        <v>0</v>
      </c>
      <c r="I439" s="92">
        <v>1</v>
      </c>
      <c r="J439" s="120" t="s">
        <v>2097</v>
      </c>
      <c r="K439" s="36" t="s">
        <v>2113</v>
      </c>
    </row>
    <row r="440" spans="1:11" ht="19.5" customHeight="1" x14ac:dyDescent="0.25">
      <c r="A440" s="92" t="s">
        <v>2025</v>
      </c>
      <c r="B440" s="120" t="s">
        <v>1741</v>
      </c>
      <c r="C440" s="37" t="s">
        <v>1647</v>
      </c>
      <c r="D440" s="113">
        <v>2267003050</v>
      </c>
      <c r="E440" s="37" t="s">
        <v>1597</v>
      </c>
      <c r="F440" s="37" t="s">
        <v>2024</v>
      </c>
      <c r="G440" s="92">
        <v>0.1</v>
      </c>
      <c r="H440" s="92" t="b">
        <v>0</v>
      </c>
      <c r="I440" s="92">
        <v>1</v>
      </c>
      <c r="J440" s="120" t="s">
        <v>2097</v>
      </c>
      <c r="K440" s="36" t="s">
        <v>2113</v>
      </c>
    </row>
    <row r="441" spans="1:11" ht="19.5" customHeight="1" x14ac:dyDescent="0.25">
      <c r="A441" s="92" t="s">
        <v>2025</v>
      </c>
      <c r="B441" s="120" t="s">
        <v>1741</v>
      </c>
      <c r="C441" s="37" t="s">
        <v>1647</v>
      </c>
      <c r="D441" s="113">
        <v>2267003070</v>
      </c>
      <c r="E441" s="37" t="s">
        <v>1598</v>
      </c>
      <c r="F441" s="37" t="s">
        <v>2024</v>
      </c>
      <c r="G441" s="92">
        <v>0.1</v>
      </c>
      <c r="H441" s="92" t="b">
        <v>0</v>
      </c>
      <c r="I441" s="92">
        <v>1</v>
      </c>
      <c r="J441" s="120" t="s">
        <v>2097</v>
      </c>
      <c r="K441" s="36" t="s">
        <v>2113</v>
      </c>
    </row>
    <row r="442" spans="1:11" ht="19.5" customHeight="1" x14ac:dyDescent="0.25">
      <c r="A442" s="92" t="s">
        <v>2025</v>
      </c>
      <c r="B442" s="120" t="s">
        <v>1741</v>
      </c>
      <c r="C442" s="37" t="s">
        <v>1647</v>
      </c>
      <c r="D442" s="113">
        <v>2270003010</v>
      </c>
      <c r="E442" s="37" t="s">
        <v>1630</v>
      </c>
      <c r="F442" s="37" t="s">
        <v>2024</v>
      </c>
      <c r="G442" s="92">
        <v>0.1</v>
      </c>
      <c r="H442" s="92" t="b">
        <v>1</v>
      </c>
      <c r="I442" s="92">
        <v>1</v>
      </c>
      <c r="J442" s="120" t="s">
        <v>2097</v>
      </c>
      <c r="K442" s="36" t="s">
        <v>2113</v>
      </c>
    </row>
    <row r="443" spans="1:11" ht="19.5" customHeight="1" x14ac:dyDescent="0.25">
      <c r="A443" s="92" t="s">
        <v>2025</v>
      </c>
      <c r="B443" s="120" t="s">
        <v>1741</v>
      </c>
      <c r="C443" s="37" t="s">
        <v>1647</v>
      </c>
      <c r="D443" s="113">
        <v>2270003020</v>
      </c>
      <c r="E443" s="37" t="s">
        <v>1631</v>
      </c>
      <c r="F443" s="37" t="s">
        <v>2024</v>
      </c>
      <c r="G443" s="92">
        <v>0.1</v>
      </c>
      <c r="H443" s="92" t="b">
        <v>1</v>
      </c>
      <c r="I443" s="92">
        <v>1</v>
      </c>
      <c r="J443" s="120" t="s">
        <v>2097</v>
      </c>
      <c r="K443" s="36" t="s">
        <v>2113</v>
      </c>
    </row>
    <row r="444" spans="1:11" ht="19.5" customHeight="1" x14ac:dyDescent="0.25">
      <c r="A444" s="92" t="s">
        <v>2025</v>
      </c>
      <c r="B444" s="120" t="s">
        <v>1741</v>
      </c>
      <c r="C444" s="37" t="s">
        <v>1647</v>
      </c>
      <c r="D444" s="113">
        <v>2270003030</v>
      </c>
      <c r="E444" s="37" t="s">
        <v>1632</v>
      </c>
      <c r="F444" s="37" t="s">
        <v>2024</v>
      </c>
      <c r="G444" s="92">
        <v>0.1</v>
      </c>
      <c r="H444" s="92" t="b">
        <v>1</v>
      </c>
      <c r="I444" s="92">
        <v>1</v>
      </c>
      <c r="J444" s="120" t="s">
        <v>2097</v>
      </c>
      <c r="K444" s="36" t="s">
        <v>2113</v>
      </c>
    </row>
    <row r="445" spans="1:11" ht="19.5" customHeight="1" x14ac:dyDescent="0.25">
      <c r="A445" s="92" t="s">
        <v>2025</v>
      </c>
      <c r="B445" s="120" t="s">
        <v>1741</v>
      </c>
      <c r="C445" s="37" t="s">
        <v>1647</v>
      </c>
      <c r="D445" s="113">
        <v>2270003040</v>
      </c>
      <c r="E445" s="37" t="s">
        <v>1633</v>
      </c>
      <c r="F445" s="37" t="s">
        <v>2024</v>
      </c>
      <c r="G445" s="92">
        <v>0.1</v>
      </c>
      <c r="H445" s="92" t="b">
        <v>1</v>
      </c>
      <c r="I445" s="92">
        <v>1</v>
      </c>
      <c r="J445" s="120" t="s">
        <v>2097</v>
      </c>
      <c r="K445" s="36" t="s">
        <v>2113</v>
      </c>
    </row>
    <row r="446" spans="1:11" ht="19.5" customHeight="1" x14ac:dyDescent="0.25">
      <c r="A446" s="92" t="s">
        <v>2025</v>
      </c>
      <c r="B446" s="120" t="s">
        <v>1741</v>
      </c>
      <c r="C446" s="37" t="s">
        <v>1647</v>
      </c>
      <c r="D446" s="113">
        <v>2270003050</v>
      </c>
      <c r="E446" s="37" t="s">
        <v>1634</v>
      </c>
      <c r="F446" s="37" t="s">
        <v>2024</v>
      </c>
      <c r="G446" s="92">
        <v>0.1</v>
      </c>
      <c r="H446" s="92" t="b">
        <v>1</v>
      </c>
      <c r="I446" s="92">
        <v>1</v>
      </c>
      <c r="J446" s="120" t="s">
        <v>2097</v>
      </c>
      <c r="K446" s="36" t="s">
        <v>2113</v>
      </c>
    </row>
    <row r="447" spans="1:11" ht="19.5" customHeight="1" x14ac:dyDescent="0.25">
      <c r="A447" s="92" t="s">
        <v>2025</v>
      </c>
      <c r="B447" s="120" t="s">
        <v>1741</v>
      </c>
      <c r="C447" s="37" t="s">
        <v>1647</v>
      </c>
      <c r="D447" s="113">
        <v>2270003060</v>
      </c>
      <c r="E447" s="37" t="s">
        <v>1635</v>
      </c>
      <c r="F447" s="37" t="s">
        <v>2024</v>
      </c>
      <c r="G447" s="92">
        <v>0.1</v>
      </c>
      <c r="H447" s="92" t="b">
        <v>1</v>
      </c>
      <c r="I447" s="92">
        <v>1</v>
      </c>
      <c r="J447" s="120" t="s">
        <v>2097</v>
      </c>
      <c r="K447" s="36" t="s">
        <v>2113</v>
      </c>
    </row>
    <row r="448" spans="1:11" ht="19.5" customHeight="1" x14ac:dyDescent="0.25">
      <c r="A448" s="92" t="s">
        <v>2025</v>
      </c>
      <c r="B448" s="120" t="s">
        <v>1741</v>
      </c>
      <c r="C448" s="37" t="s">
        <v>1647</v>
      </c>
      <c r="D448" s="113">
        <v>2270003070</v>
      </c>
      <c r="E448" s="37" t="s">
        <v>1636</v>
      </c>
      <c r="F448" s="37" t="s">
        <v>2024</v>
      </c>
      <c r="G448" s="92">
        <v>0.1</v>
      </c>
      <c r="H448" s="92" t="b">
        <v>1</v>
      </c>
      <c r="I448" s="92">
        <v>1</v>
      </c>
      <c r="J448" s="120" t="s">
        <v>2097</v>
      </c>
      <c r="K448" s="36" t="s">
        <v>2113</v>
      </c>
    </row>
    <row r="449" spans="1:11" ht="19.5" customHeight="1" x14ac:dyDescent="0.25">
      <c r="A449" s="92" t="s">
        <v>2025</v>
      </c>
      <c r="B449" s="120" t="s">
        <v>1741</v>
      </c>
      <c r="C449" s="37" t="s">
        <v>1647</v>
      </c>
      <c r="D449" s="113">
        <v>2270010010</v>
      </c>
      <c r="E449" s="37" t="s">
        <v>1643</v>
      </c>
      <c r="F449" s="37" t="s">
        <v>2024</v>
      </c>
      <c r="G449" s="92">
        <v>0.1</v>
      </c>
      <c r="H449" s="92" t="b">
        <v>1</v>
      </c>
      <c r="I449" s="92">
        <v>1</v>
      </c>
      <c r="J449" s="120" t="s">
        <v>2097</v>
      </c>
      <c r="K449" s="36" t="s">
        <v>2113</v>
      </c>
    </row>
    <row r="450" spans="1:11" ht="19.5" customHeight="1" x14ac:dyDescent="0.25">
      <c r="A450" s="77" t="s">
        <v>2026</v>
      </c>
      <c r="B450" s="103" t="s">
        <v>1742</v>
      </c>
      <c r="C450" s="40" t="s">
        <v>1646</v>
      </c>
      <c r="D450" s="127">
        <v>2265006005</v>
      </c>
      <c r="E450" s="41" t="s">
        <v>1546</v>
      </c>
      <c r="F450" s="41" t="s">
        <v>2006</v>
      </c>
      <c r="G450" s="155">
        <v>0.1</v>
      </c>
      <c r="H450" s="155" t="b">
        <v>0</v>
      </c>
      <c r="I450" s="155">
        <v>1</v>
      </c>
      <c r="J450" s="103" t="s">
        <v>2097</v>
      </c>
      <c r="K450" s="36" t="s">
        <v>2106</v>
      </c>
    </row>
    <row r="451" spans="1:11" ht="19.5" customHeight="1" x14ac:dyDescent="0.25">
      <c r="A451" s="77" t="s">
        <v>2026</v>
      </c>
      <c r="B451" s="103" t="s">
        <v>1742</v>
      </c>
      <c r="C451" s="40" t="s">
        <v>1646</v>
      </c>
      <c r="D451" s="127">
        <v>2265006010</v>
      </c>
      <c r="E451" s="41" t="s">
        <v>1547</v>
      </c>
      <c r="F451" s="41" t="s">
        <v>2006</v>
      </c>
      <c r="G451" s="155">
        <v>0.1</v>
      </c>
      <c r="H451" s="155" t="b">
        <v>0</v>
      </c>
      <c r="I451" s="155">
        <v>1</v>
      </c>
      <c r="J451" s="103" t="s">
        <v>2097</v>
      </c>
      <c r="K451" s="36" t="s">
        <v>2106</v>
      </c>
    </row>
    <row r="452" spans="1:11" ht="19.5" customHeight="1" x14ac:dyDescent="0.25">
      <c r="A452" s="77" t="s">
        <v>2026</v>
      </c>
      <c r="B452" s="103" t="s">
        <v>1742</v>
      </c>
      <c r="C452" s="40" t="s">
        <v>1646</v>
      </c>
      <c r="D452" s="127">
        <v>2265006015</v>
      </c>
      <c r="E452" s="41" t="s">
        <v>1548</v>
      </c>
      <c r="F452" s="41" t="s">
        <v>2006</v>
      </c>
      <c r="G452" s="155">
        <v>0.1</v>
      </c>
      <c r="H452" s="155" t="b">
        <v>0</v>
      </c>
      <c r="I452" s="155">
        <v>1</v>
      </c>
      <c r="J452" s="103" t="s">
        <v>2097</v>
      </c>
      <c r="K452" s="36" t="s">
        <v>2106</v>
      </c>
    </row>
    <row r="453" spans="1:11" ht="19.5" customHeight="1" x14ac:dyDescent="0.25">
      <c r="A453" s="77" t="s">
        <v>2026</v>
      </c>
      <c r="B453" s="103" t="s">
        <v>1742</v>
      </c>
      <c r="C453" s="40" t="s">
        <v>1646</v>
      </c>
      <c r="D453" s="127">
        <v>2265006025</v>
      </c>
      <c r="E453" s="41" t="s">
        <v>1549</v>
      </c>
      <c r="F453" s="41" t="s">
        <v>2006</v>
      </c>
      <c r="G453" s="155">
        <v>0.1</v>
      </c>
      <c r="H453" s="155" t="b">
        <v>0</v>
      </c>
      <c r="I453" s="155">
        <v>1</v>
      </c>
      <c r="J453" s="103" t="s">
        <v>2097</v>
      </c>
      <c r="K453" s="36" t="s">
        <v>2106</v>
      </c>
    </row>
    <row r="454" spans="1:11" ht="19.5" customHeight="1" x14ac:dyDescent="0.25">
      <c r="A454" s="77" t="s">
        <v>2026</v>
      </c>
      <c r="B454" s="103" t="s">
        <v>1742</v>
      </c>
      <c r="C454" s="40" t="s">
        <v>1646</v>
      </c>
      <c r="D454" s="127">
        <v>2265006030</v>
      </c>
      <c r="E454" s="41" t="s">
        <v>1550</v>
      </c>
      <c r="F454" s="41" t="s">
        <v>2006</v>
      </c>
      <c r="G454" s="155">
        <v>0.1</v>
      </c>
      <c r="H454" s="155" t="b">
        <v>0</v>
      </c>
      <c r="I454" s="155">
        <v>1</v>
      </c>
      <c r="J454" s="103" t="s">
        <v>2097</v>
      </c>
      <c r="K454" s="36" t="s">
        <v>2106</v>
      </c>
    </row>
    <row r="455" spans="1:11" ht="19.5" customHeight="1" x14ac:dyDescent="0.25">
      <c r="A455" s="77" t="s">
        <v>2026</v>
      </c>
      <c r="B455" s="103" t="s">
        <v>1742</v>
      </c>
      <c r="C455" s="40" t="s">
        <v>1646</v>
      </c>
      <c r="D455" s="127">
        <v>2265006035</v>
      </c>
      <c r="E455" s="41" t="s">
        <v>1551</v>
      </c>
      <c r="F455" s="41" t="s">
        <v>2006</v>
      </c>
      <c r="G455" s="155">
        <v>0.1</v>
      </c>
      <c r="H455" s="155" t="b">
        <v>0</v>
      </c>
      <c r="I455" s="155">
        <v>1</v>
      </c>
      <c r="J455" s="103" t="s">
        <v>2097</v>
      </c>
      <c r="K455" s="36" t="s">
        <v>2106</v>
      </c>
    </row>
    <row r="456" spans="1:11" ht="19.5" customHeight="1" x14ac:dyDescent="0.25">
      <c r="A456" s="77" t="s">
        <v>2026</v>
      </c>
      <c r="B456" s="103" t="s">
        <v>1742</v>
      </c>
      <c r="C456" s="40" t="s">
        <v>1646</v>
      </c>
      <c r="D456" s="127">
        <v>2260006005</v>
      </c>
      <c r="E456" s="40" t="s">
        <v>1563</v>
      </c>
      <c r="F456" s="41" t="s">
        <v>2006</v>
      </c>
      <c r="G456" s="155">
        <v>0.1</v>
      </c>
      <c r="H456" s="155" t="b">
        <v>0</v>
      </c>
      <c r="I456" s="155">
        <v>1</v>
      </c>
      <c r="J456" s="103" t="s">
        <v>2097</v>
      </c>
      <c r="K456" s="36" t="s">
        <v>2106</v>
      </c>
    </row>
    <row r="457" spans="1:11" ht="19.5" customHeight="1" x14ac:dyDescent="0.25">
      <c r="A457" s="77" t="s">
        <v>2026</v>
      </c>
      <c r="B457" s="103" t="s">
        <v>1742</v>
      </c>
      <c r="C457" s="40" t="s">
        <v>1646</v>
      </c>
      <c r="D457" s="127">
        <v>2260006010</v>
      </c>
      <c r="E457" s="40" t="s">
        <v>1564</v>
      </c>
      <c r="F457" s="41" t="s">
        <v>2006</v>
      </c>
      <c r="G457" s="155">
        <v>0.1</v>
      </c>
      <c r="H457" s="155" t="b">
        <v>0</v>
      </c>
      <c r="I457" s="155">
        <v>1</v>
      </c>
      <c r="J457" s="103" t="s">
        <v>2097</v>
      </c>
      <c r="K457" s="36" t="s">
        <v>2106</v>
      </c>
    </row>
    <row r="458" spans="1:11" ht="19.5" customHeight="1" x14ac:dyDescent="0.25">
      <c r="A458" s="77" t="s">
        <v>2026</v>
      </c>
      <c r="B458" s="103" t="s">
        <v>1742</v>
      </c>
      <c r="C458" s="40" t="s">
        <v>1646</v>
      </c>
      <c r="D458" s="127">
        <v>2260006015</v>
      </c>
      <c r="E458" s="40" t="s">
        <v>1565</v>
      </c>
      <c r="F458" s="41" t="s">
        <v>2006</v>
      </c>
      <c r="G458" s="155">
        <v>0.1</v>
      </c>
      <c r="H458" s="155" t="b">
        <v>0</v>
      </c>
      <c r="I458" s="155">
        <v>1</v>
      </c>
      <c r="J458" s="103" t="s">
        <v>2097</v>
      </c>
      <c r="K458" s="36" t="s">
        <v>2106</v>
      </c>
    </row>
    <row r="459" spans="1:11" ht="19.5" customHeight="1" x14ac:dyDescent="0.25">
      <c r="A459" s="77" t="s">
        <v>2026</v>
      </c>
      <c r="B459" s="103" t="s">
        <v>1742</v>
      </c>
      <c r="C459" s="40" t="s">
        <v>1646</v>
      </c>
      <c r="D459" s="127">
        <v>2260006035</v>
      </c>
      <c r="E459" s="40" t="s">
        <v>1566</v>
      </c>
      <c r="F459" s="41" t="s">
        <v>2006</v>
      </c>
      <c r="G459" s="155">
        <v>0.1</v>
      </c>
      <c r="H459" s="155" t="b">
        <v>0</v>
      </c>
      <c r="I459" s="155">
        <v>1</v>
      </c>
      <c r="J459" s="103" t="s">
        <v>2097</v>
      </c>
      <c r="K459" s="36" t="s">
        <v>2106</v>
      </c>
    </row>
    <row r="460" spans="1:11" ht="19.5" customHeight="1" x14ac:dyDescent="0.25">
      <c r="A460" s="77" t="s">
        <v>2026</v>
      </c>
      <c r="B460" s="103" t="s">
        <v>1742</v>
      </c>
      <c r="C460" s="40" t="s">
        <v>1646</v>
      </c>
      <c r="D460" s="127">
        <v>2268006005</v>
      </c>
      <c r="E460" s="40" t="s">
        <v>1574</v>
      </c>
      <c r="F460" s="41" t="s">
        <v>2006</v>
      </c>
      <c r="G460" s="155">
        <v>0.1</v>
      </c>
      <c r="H460" s="155" t="b">
        <v>0</v>
      </c>
      <c r="I460" s="155">
        <v>1</v>
      </c>
      <c r="J460" s="103" t="s">
        <v>2097</v>
      </c>
      <c r="K460" s="36" t="s">
        <v>2106</v>
      </c>
    </row>
    <row r="461" spans="1:11" ht="19.5" customHeight="1" x14ac:dyDescent="0.25">
      <c r="A461" s="77" t="s">
        <v>2026</v>
      </c>
      <c r="B461" s="103" t="s">
        <v>1742</v>
      </c>
      <c r="C461" s="40" t="s">
        <v>1646</v>
      </c>
      <c r="D461" s="127">
        <v>2268006010</v>
      </c>
      <c r="E461" s="40" t="s">
        <v>1575</v>
      </c>
      <c r="F461" s="41" t="s">
        <v>2006</v>
      </c>
      <c r="G461" s="155">
        <v>0.1</v>
      </c>
      <c r="H461" s="155" t="b">
        <v>0</v>
      </c>
      <c r="I461" s="155">
        <v>1</v>
      </c>
      <c r="J461" s="103" t="s">
        <v>2097</v>
      </c>
      <c r="K461" s="36" t="s">
        <v>2106</v>
      </c>
    </row>
    <row r="462" spans="1:11" ht="19.5" customHeight="1" x14ac:dyDescent="0.25">
      <c r="A462" s="77" t="s">
        <v>2026</v>
      </c>
      <c r="B462" s="103" t="s">
        <v>1742</v>
      </c>
      <c r="C462" s="40" t="s">
        <v>1646</v>
      </c>
      <c r="D462" s="127">
        <v>2268006015</v>
      </c>
      <c r="E462" s="40" t="s">
        <v>1576</v>
      </c>
      <c r="F462" s="41" t="s">
        <v>2006</v>
      </c>
      <c r="G462" s="155">
        <v>0.1</v>
      </c>
      <c r="H462" s="155" t="b">
        <v>0</v>
      </c>
      <c r="I462" s="155">
        <v>1</v>
      </c>
      <c r="J462" s="103" t="s">
        <v>2097</v>
      </c>
      <c r="K462" s="36" t="s">
        <v>2106</v>
      </c>
    </row>
    <row r="463" spans="1:11" ht="19.5" customHeight="1" x14ac:dyDescent="0.25">
      <c r="A463" s="77" t="s">
        <v>2026</v>
      </c>
      <c r="B463" s="103" t="s">
        <v>1742</v>
      </c>
      <c r="C463" s="40" t="s">
        <v>1646</v>
      </c>
      <c r="D463" s="127">
        <v>2268006020</v>
      </c>
      <c r="E463" s="40" t="s">
        <v>1577</v>
      </c>
      <c r="F463" s="41" t="s">
        <v>2006</v>
      </c>
      <c r="G463" s="155">
        <v>0.1</v>
      </c>
      <c r="H463" s="155" t="b">
        <v>0</v>
      </c>
      <c r="I463" s="155">
        <v>1</v>
      </c>
      <c r="J463" s="103" t="s">
        <v>2097</v>
      </c>
      <c r="K463" s="36" t="s">
        <v>2106</v>
      </c>
    </row>
    <row r="464" spans="1:11" ht="19.5" customHeight="1" x14ac:dyDescent="0.25">
      <c r="A464" s="77" t="s">
        <v>2026</v>
      </c>
      <c r="B464" s="103" t="s">
        <v>1742</v>
      </c>
      <c r="C464" s="40" t="s">
        <v>1646</v>
      </c>
      <c r="D464" s="127">
        <v>2267006005</v>
      </c>
      <c r="E464" s="40" t="s">
        <v>1599</v>
      </c>
      <c r="F464" s="41" t="s">
        <v>2006</v>
      </c>
      <c r="G464" s="155">
        <v>0.1</v>
      </c>
      <c r="H464" s="155" t="b">
        <v>0</v>
      </c>
      <c r="I464" s="155">
        <v>1</v>
      </c>
      <c r="J464" s="103" t="s">
        <v>2097</v>
      </c>
      <c r="K464" s="36" t="s">
        <v>2106</v>
      </c>
    </row>
    <row r="465" spans="1:11" ht="19.5" customHeight="1" x14ac:dyDescent="0.25">
      <c r="A465" s="77" t="s">
        <v>2026</v>
      </c>
      <c r="B465" s="103" t="s">
        <v>1742</v>
      </c>
      <c r="C465" s="40" t="s">
        <v>1646</v>
      </c>
      <c r="D465" s="127">
        <v>2267006010</v>
      </c>
      <c r="E465" s="40" t="s">
        <v>1600</v>
      </c>
      <c r="F465" s="41" t="s">
        <v>2006</v>
      </c>
      <c r="G465" s="155">
        <v>0.1</v>
      </c>
      <c r="H465" s="155" t="b">
        <v>0</v>
      </c>
      <c r="I465" s="155">
        <v>1</v>
      </c>
      <c r="J465" s="103" t="s">
        <v>2097</v>
      </c>
      <c r="K465" s="36" t="s">
        <v>2106</v>
      </c>
    </row>
    <row r="466" spans="1:11" ht="19.5" customHeight="1" x14ac:dyDescent="0.25">
      <c r="A466" s="77" t="s">
        <v>2026</v>
      </c>
      <c r="B466" s="103" t="s">
        <v>1742</v>
      </c>
      <c r="C466" s="40" t="s">
        <v>1646</v>
      </c>
      <c r="D466" s="127">
        <v>2267006015</v>
      </c>
      <c r="E466" s="40" t="s">
        <v>1601</v>
      </c>
      <c r="F466" s="41" t="s">
        <v>2006</v>
      </c>
      <c r="G466" s="155">
        <v>0.1</v>
      </c>
      <c r="H466" s="155" t="b">
        <v>0</v>
      </c>
      <c r="I466" s="155">
        <v>1</v>
      </c>
      <c r="J466" s="103" t="s">
        <v>2097</v>
      </c>
      <c r="K466" s="36" t="s">
        <v>2106</v>
      </c>
    </row>
    <row r="467" spans="1:11" ht="19.5" customHeight="1" x14ac:dyDescent="0.25">
      <c r="A467" s="77" t="s">
        <v>2026</v>
      </c>
      <c r="B467" s="103" t="s">
        <v>1742</v>
      </c>
      <c r="C467" s="40" t="s">
        <v>1646</v>
      </c>
      <c r="D467" s="127">
        <v>2267006025</v>
      </c>
      <c r="E467" s="40" t="s">
        <v>1602</v>
      </c>
      <c r="F467" s="41" t="s">
        <v>2006</v>
      </c>
      <c r="G467" s="155">
        <v>0.1</v>
      </c>
      <c r="H467" s="155" t="b">
        <v>0</v>
      </c>
      <c r="I467" s="155">
        <v>1</v>
      </c>
      <c r="J467" s="103" t="s">
        <v>2097</v>
      </c>
      <c r="K467" s="36" t="s">
        <v>2106</v>
      </c>
    </row>
    <row r="468" spans="1:11" ht="19.5" customHeight="1" x14ac:dyDescent="0.25">
      <c r="A468" s="77" t="s">
        <v>2026</v>
      </c>
      <c r="B468" s="103" t="s">
        <v>1742</v>
      </c>
      <c r="C468" s="40" t="s">
        <v>1646</v>
      </c>
      <c r="D468" s="127">
        <v>2267006030</v>
      </c>
      <c r="E468" s="40" t="s">
        <v>1603</v>
      </c>
      <c r="F468" s="41" t="s">
        <v>2006</v>
      </c>
      <c r="G468" s="155">
        <v>0.1</v>
      </c>
      <c r="H468" s="155" t="b">
        <v>0</v>
      </c>
      <c r="I468" s="155">
        <v>1</v>
      </c>
      <c r="J468" s="103" t="s">
        <v>2097</v>
      </c>
      <c r="K468" s="36" t="s">
        <v>2106</v>
      </c>
    </row>
    <row r="469" spans="1:11" ht="19.5" customHeight="1" x14ac:dyDescent="0.25">
      <c r="A469" s="77" t="s">
        <v>2026</v>
      </c>
      <c r="B469" s="103" t="s">
        <v>1742</v>
      </c>
      <c r="C469" s="40" t="s">
        <v>1646</v>
      </c>
      <c r="D469" s="127">
        <v>2267006035</v>
      </c>
      <c r="E469" s="40" t="s">
        <v>1604</v>
      </c>
      <c r="F469" s="41" t="s">
        <v>2006</v>
      </c>
      <c r="G469" s="155">
        <v>0.1</v>
      </c>
      <c r="H469" s="155" t="b">
        <v>0</v>
      </c>
      <c r="I469" s="155">
        <v>1</v>
      </c>
      <c r="J469" s="103" t="s">
        <v>2097</v>
      </c>
      <c r="K469" s="36" t="s">
        <v>2106</v>
      </c>
    </row>
    <row r="470" spans="1:11" ht="19.5" customHeight="1" x14ac:dyDescent="0.25">
      <c r="A470" s="77" t="s">
        <v>2026</v>
      </c>
      <c r="B470" s="103" t="s">
        <v>1742</v>
      </c>
      <c r="C470" s="40" t="s">
        <v>1646</v>
      </c>
      <c r="D470" s="127">
        <v>2270006005</v>
      </c>
      <c r="E470" s="40" t="s">
        <v>1637</v>
      </c>
      <c r="F470" s="41" t="s">
        <v>2006</v>
      </c>
      <c r="G470" s="155">
        <v>0.1</v>
      </c>
      <c r="H470" s="155" t="b">
        <v>1</v>
      </c>
      <c r="I470" s="155">
        <v>1</v>
      </c>
      <c r="J470" s="103" t="s">
        <v>2097</v>
      </c>
      <c r="K470" s="36" t="s">
        <v>2106</v>
      </c>
    </row>
    <row r="471" spans="1:11" ht="19.5" customHeight="1" x14ac:dyDescent="0.25">
      <c r="A471" s="77" t="s">
        <v>2026</v>
      </c>
      <c r="B471" s="103" t="s">
        <v>1742</v>
      </c>
      <c r="C471" s="40" t="s">
        <v>1646</v>
      </c>
      <c r="D471" s="127">
        <v>2270006010</v>
      </c>
      <c r="E471" s="40" t="s">
        <v>1638</v>
      </c>
      <c r="F471" s="41" t="s">
        <v>2006</v>
      </c>
      <c r="G471" s="155">
        <v>0.1</v>
      </c>
      <c r="H471" s="155" t="b">
        <v>1</v>
      </c>
      <c r="I471" s="155">
        <v>1</v>
      </c>
      <c r="J471" s="103" t="s">
        <v>2097</v>
      </c>
      <c r="K471" s="36" t="s">
        <v>2106</v>
      </c>
    </row>
    <row r="472" spans="1:11" ht="19.5" customHeight="1" x14ac:dyDescent="0.25">
      <c r="A472" s="77" t="s">
        <v>2026</v>
      </c>
      <c r="B472" s="103" t="s">
        <v>1742</v>
      </c>
      <c r="C472" s="40" t="s">
        <v>1646</v>
      </c>
      <c r="D472" s="127">
        <v>2270006015</v>
      </c>
      <c r="E472" s="40" t="s">
        <v>1639</v>
      </c>
      <c r="F472" s="41" t="s">
        <v>2006</v>
      </c>
      <c r="G472" s="155">
        <v>0.1</v>
      </c>
      <c r="H472" s="155" t="b">
        <v>1</v>
      </c>
      <c r="I472" s="155">
        <v>1</v>
      </c>
      <c r="J472" s="103" t="s">
        <v>2097</v>
      </c>
      <c r="K472" s="36" t="s">
        <v>2106</v>
      </c>
    </row>
    <row r="473" spans="1:11" ht="19.5" customHeight="1" x14ac:dyDescent="0.25">
      <c r="A473" s="77" t="s">
        <v>2026</v>
      </c>
      <c r="B473" s="103" t="s">
        <v>1742</v>
      </c>
      <c r="C473" s="40" t="s">
        <v>1646</v>
      </c>
      <c r="D473" s="127">
        <v>2270006025</v>
      </c>
      <c r="E473" s="40" t="s">
        <v>1640</v>
      </c>
      <c r="F473" s="41" t="s">
        <v>2006</v>
      </c>
      <c r="G473" s="155">
        <v>0.1</v>
      </c>
      <c r="H473" s="155" t="b">
        <v>1</v>
      </c>
      <c r="I473" s="155">
        <v>1</v>
      </c>
      <c r="J473" s="103" t="s">
        <v>2097</v>
      </c>
      <c r="K473" s="36" t="s">
        <v>2106</v>
      </c>
    </row>
    <row r="474" spans="1:11" ht="19.5" customHeight="1" x14ac:dyDescent="0.25">
      <c r="A474" s="77" t="s">
        <v>2026</v>
      </c>
      <c r="B474" s="103" t="s">
        <v>1742</v>
      </c>
      <c r="C474" s="40" t="s">
        <v>1646</v>
      </c>
      <c r="D474" s="127">
        <v>2270006030</v>
      </c>
      <c r="E474" s="40" t="s">
        <v>1641</v>
      </c>
      <c r="F474" s="41" t="s">
        <v>2006</v>
      </c>
      <c r="G474" s="155">
        <v>0.1</v>
      </c>
      <c r="H474" s="155" t="b">
        <v>1</v>
      </c>
      <c r="I474" s="155">
        <v>1</v>
      </c>
      <c r="J474" s="103" t="s">
        <v>2097</v>
      </c>
      <c r="K474" s="36" t="s">
        <v>2106</v>
      </c>
    </row>
    <row r="475" spans="1:11" ht="19.5" customHeight="1" x14ac:dyDescent="0.25">
      <c r="A475" s="77" t="s">
        <v>2026</v>
      </c>
      <c r="B475" s="103" t="s">
        <v>1742</v>
      </c>
      <c r="C475" s="40" t="s">
        <v>1646</v>
      </c>
      <c r="D475" s="127">
        <v>2270006035</v>
      </c>
      <c r="E475" s="40" t="s">
        <v>1642</v>
      </c>
      <c r="F475" s="41" t="s">
        <v>2006</v>
      </c>
      <c r="G475" s="155">
        <v>0.1</v>
      </c>
      <c r="H475" s="155" t="b">
        <v>1</v>
      </c>
      <c r="I475" s="155">
        <v>1</v>
      </c>
      <c r="J475" s="103" t="s">
        <v>2097</v>
      </c>
      <c r="K475" s="36" t="s">
        <v>2106</v>
      </c>
    </row>
    <row r="476" spans="1:11" ht="19.5" customHeight="1" x14ac:dyDescent="0.25">
      <c r="A476" s="79"/>
      <c r="B476" s="104" t="s">
        <v>1743</v>
      </c>
      <c r="C476" s="42" t="s">
        <v>1645</v>
      </c>
      <c r="D476" s="115">
        <v>2265007010</v>
      </c>
      <c r="E476" s="43" t="s">
        <v>1552</v>
      </c>
      <c r="F476" s="42" t="s">
        <v>1460</v>
      </c>
      <c r="G476" s="79">
        <v>0.1</v>
      </c>
      <c r="H476" s="79" t="b">
        <v>0</v>
      </c>
      <c r="I476" s="79">
        <v>1</v>
      </c>
      <c r="J476" s="104" t="s">
        <v>2097</v>
      </c>
      <c r="K476" s="158" t="s">
        <v>1687</v>
      </c>
    </row>
    <row r="477" spans="1:11" ht="19.5" customHeight="1" x14ac:dyDescent="0.25">
      <c r="A477" s="79"/>
      <c r="B477" s="104" t="s">
        <v>1743</v>
      </c>
      <c r="C477" s="42" t="s">
        <v>1645</v>
      </c>
      <c r="D477" s="115">
        <v>2265007015</v>
      </c>
      <c r="E477" s="43" t="s">
        <v>1553</v>
      </c>
      <c r="F477" s="42" t="s">
        <v>1460</v>
      </c>
      <c r="G477" s="79">
        <v>0.1</v>
      </c>
      <c r="H477" s="79" t="b">
        <v>0</v>
      </c>
      <c r="I477" s="79">
        <v>1</v>
      </c>
      <c r="J477" s="104" t="s">
        <v>2097</v>
      </c>
      <c r="K477" s="158" t="s">
        <v>1687</v>
      </c>
    </row>
    <row r="478" spans="1:11" ht="19.5" customHeight="1" x14ac:dyDescent="0.25">
      <c r="A478" s="79"/>
      <c r="B478" s="104" t="s">
        <v>1743</v>
      </c>
      <c r="C478" s="42" t="s">
        <v>1645</v>
      </c>
      <c r="D478" s="115">
        <v>2260007005</v>
      </c>
      <c r="E478" s="42" t="s">
        <v>1567</v>
      </c>
      <c r="F478" s="43" t="s">
        <v>1460</v>
      </c>
      <c r="G478" s="88">
        <v>0.1</v>
      </c>
      <c r="H478" s="88" t="b">
        <v>0</v>
      </c>
      <c r="I478" s="79">
        <v>1</v>
      </c>
      <c r="J478" s="104" t="s">
        <v>2097</v>
      </c>
      <c r="K478" s="158" t="s">
        <v>1687</v>
      </c>
    </row>
    <row r="479" spans="1:11" ht="19.5" customHeight="1" x14ac:dyDescent="0.25">
      <c r="A479" s="79"/>
      <c r="B479" s="104" t="s">
        <v>1743</v>
      </c>
      <c r="C479" s="42" t="s">
        <v>1645</v>
      </c>
      <c r="D479" s="115">
        <v>2270007015</v>
      </c>
      <c r="E479" s="42" t="s">
        <v>1644</v>
      </c>
      <c r="F479" s="42" t="s">
        <v>1460</v>
      </c>
      <c r="G479" s="79">
        <v>0.1</v>
      </c>
      <c r="H479" s="79" t="b">
        <v>1</v>
      </c>
      <c r="I479" s="79">
        <v>1</v>
      </c>
      <c r="J479" s="104" t="s">
        <v>2097</v>
      </c>
      <c r="K479" s="158" t="s">
        <v>1687</v>
      </c>
    </row>
    <row r="480" spans="1:11" ht="19.5" customHeight="1" x14ac:dyDescent="0.25">
      <c r="A480" s="78"/>
      <c r="B480" s="100" t="s">
        <v>1744</v>
      </c>
      <c r="C480" s="48" t="s">
        <v>1710</v>
      </c>
      <c r="D480" s="112">
        <v>2201110080</v>
      </c>
      <c r="E480" s="52" t="s">
        <v>1890</v>
      </c>
      <c r="F480" s="48" t="s">
        <v>1461</v>
      </c>
      <c r="G480" s="160">
        <v>0.05</v>
      </c>
      <c r="H480" s="78" t="b">
        <v>0</v>
      </c>
      <c r="I480" s="160">
        <v>0.96699999999999997</v>
      </c>
      <c r="J480" s="100" t="s">
        <v>2096</v>
      </c>
      <c r="K480" s="36"/>
    </row>
    <row r="481" spans="1:11" ht="19.5" customHeight="1" x14ac:dyDescent="0.25">
      <c r="A481" s="78"/>
      <c r="B481" s="100" t="s">
        <v>1744</v>
      </c>
      <c r="C481" s="48" t="s">
        <v>1710</v>
      </c>
      <c r="D481" s="112">
        <v>2201210080</v>
      </c>
      <c r="E481" s="52" t="s">
        <v>1891</v>
      </c>
      <c r="F481" s="48" t="s">
        <v>1461</v>
      </c>
      <c r="G481" s="160">
        <v>8.4000000000000005E-2</v>
      </c>
      <c r="H481" s="78" t="b">
        <v>0</v>
      </c>
      <c r="I481" s="78">
        <v>0.97</v>
      </c>
      <c r="J481" s="100" t="s">
        <v>2096</v>
      </c>
      <c r="K481" s="36"/>
    </row>
    <row r="482" spans="1:11" ht="19.5" customHeight="1" x14ac:dyDescent="0.25">
      <c r="A482" s="78"/>
      <c r="B482" s="100" t="s">
        <v>1744</v>
      </c>
      <c r="C482" s="48" t="s">
        <v>1710</v>
      </c>
      <c r="D482" s="112">
        <v>2201310080</v>
      </c>
      <c r="E482" s="52" t="s">
        <v>1892</v>
      </c>
      <c r="F482" s="48" t="s">
        <v>1461</v>
      </c>
      <c r="G482" s="160">
        <v>9.2999999999999999E-2</v>
      </c>
      <c r="H482" s="78" t="b">
        <v>0</v>
      </c>
      <c r="I482" s="78">
        <v>0.97</v>
      </c>
      <c r="J482" s="100" t="s">
        <v>2096</v>
      </c>
      <c r="K482" s="36"/>
    </row>
    <row r="483" spans="1:11" ht="19.5" customHeight="1" x14ac:dyDescent="0.25">
      <c r="A483" s="78"/>
      <c r="B483" s="100" t="s">
        <v>1744</v>
      </c>
      <c r="C483" s="48" t="s">
        <v>1710</v>
      </c>
      <c r="D483" s="112">
        <v>2201320080</v>
      </c>
      <c r="E483" s="52" t="s">
        <v>1893</v>
      </c>
      <c r="F483" s="48" t="s">
        <v>1461</v>
      </c>
      <c r="G483" s="160">
        <v>0.1</v>
      </c>
      <c r="H483" s="78" t="b">
        <v>0</v>
      </c>
      <c r="I483" s="78">
        <v>0.97</v>
      </c>
      <c r="J483" s="100" t="s">
        <v>2096</v>
      </c>
      <c r="K483" s="36"/>
    </row>
    <row r="484" spans="1:11" ht="19.5" customHeight="1" x14ac:dyDescent="0.25">
      <c r="A484" s="78"/>
      <c r="B484" s="100" t="s">
        <v>1744</v>
      </c>
      <c r="C484" s="48" t="s">
        <v>1710</v>
      </c>
      <c r="D484" s="112">
        <v>2201410080</v>
      </c>
      <c r="E484" s="52" t="s">
        <v>1894</v>
      </c>
      <c r="F484" s="48" t="s">
        <v>1461</v>
      </c>
      <c r="G484" s="160">
        <v>6.3E-2</v>
      </c>
      <c r="H484" s="78" t="b">
        <v>0</v>
      </c>
      <c r="I484" s="78">
        <v>0.97</v>
      </c>
      <c r="J484" s="100" t="s">
        <v>2096</v>
      </c>
      <c r="K484" s="36"/>
    </row>
    <row r="485" spans="1:11" ht="19.5" customHeight="1" x14ac:dyDescent="0.25">
      <c r="A485" s="78"/>
      <c r="B485" s="100" t="s">
        <v>1744</v>
      </c>
      <c r="C485" s="48" t="s">
        <v>1710</v>
      </c>
      <c r="D485" s="112">
        <v>2201420080</v>
      </c>
      <c r="E485" s="52" t="s">
        <v>1895</v>
      </c>
      <c r="F485" s="48" t="s">
        <v>1461</v>
      </c>
      <c r="G485" s="160">
        <v>6.3E-2</v>
      </c>
      <c r="H485" s="78" t="b">
        <v>0</v>
      </c>
      <c r="I485" s="78">
        <v>0.97</v>
      </c>
      <c r="J485" s="100" t="s">
        <v>2096</v>
      </c>
      <c r="K485" s="36"/>
    </row>
    <row r="486" spans="1:11" ht="19.5" customHeight="1" x14ac:dyDescent="0.25">
      <c r="A486" s="78"/>
      <c r="B486" s="100" t="s">
        <v>1744</v>
      </c>
      <c r="C486" s="48" t="s">
        <v>1710</v>
      </c>
      <c r="D486" s="112">
        <v>2201430080</v>
      </c>
      <c r="E486" s="52" t="s">
        <v>1896</v>
      </c>
      <c r="F486" s="48" t="s">
        <v>1461</v>
      </c>
      <c r="G486" s="160">
        <v>3.4000000000000002E-2</v>
      </c>
      <c r="H486" s="78" t="b">
        <v>0</v>
      </c>
      <c r="I486" s="78">
        <v>0.97</v>
      </c>
      <c r="J486" s="100" t="s">
        <v>2096</v>
      </c>
      <c r="K486" s="36"/>
    </row>
    <row r="487" spans="1:11" ht="19.5" customHeight="1" x14ac:dyDescent="0.25">
      <c r="A487" s="78"/>
      <c r="B487" s="100" t="s">
        <v>1744</v>
      </c>
      <c r="C487" s="48" t="s">
        <v>1710</v>
      </c>
      <c r="D487" s="112">
        <v>2201510080</v>
      </c>
      <c r="E487" s="52" t="s">
        <v>1897</v>
      </c>
      <c r="F487" s="48" t="s">
        <v>1461</v>
      </c>
      <c r="G487" s="160">
        <v>5.7000000000000002E-2</v>
      </c>
      <c r="H487" s="78" t="b">
        <v>0</v>
      </c>
      <c r="I487" s="78">
        <v>0.97</v>
      </c>
      <c r="J487" s="100" t="s">
        <v>2096</v>
      </c>
      <c r="K487" s="36"/>
    </row>
    <row r="488" spans="1:11" ht="19.5" customHeight="1" x14ac:dyDescent="0.25">
      <c r="A488" s="78"/>
      <c r="B488" s="100" t="s">
        <v>1744</v>
      </c>
      <c r="C488" s="48" t="s">
        <v>1710</v>
      </c>
      <c r="D488" s="112">
        <v>2201520080</v>
      </c>
      <c r="E488" s="52" t="s">
        <v>1898</v>
      </c>
      <c r="F488" s="48" t="s">
        <v>1461</v>
      </c>
      <c r="G488" s="160">
        <v>5.5E-2</v>
      </c>
      <c r="H488" s="78" t="b">
        <v>0</v>
      </c>
      <c r="I488" s="78">
        <v>0.97</v>
      </c>
      <c r="J488" s="100" t="s">
        <v>2096</v>
      </c>
      <c r="K488" s="36"/>
    </row>
    <row r="489" spans="1:11" ht="19.5" customHeight="1" x14ac:dyDescent="0.25">
      <c r="A489" s="78"/>
      <c r="B489" s="100" t="s">
        <v>1744</v>
      </c>
      <c r="C489" s="48" t="s">
        <v>1710</v>
      </c>
      <c r="D489" s="112">
        <v>2201530080</v>
      </c>
      <c r="E489" s="52" t="s">
        <v>1899</v>
      </c>
      <c r="F489" s="48" t="s">
        <v>1461</v>
      </c>
      <c r="G489" s="160">
        <v>5.6000000000000001E-2</v>
      </c>
      <c r="H489" s="78" t="b">
        <v>0</v>
      </c>
      <c r="I489" s="78">
        <v>0.97</v>
      </c>
      <c r="J489" s="100" t="s">
        <v>2096</v>
      </c>
      <c r="K489" s="36"/>
    </row>
    <row r="490" spans="1:11" ht="19.5" customHeight="1" x14ac:dyDescent="0.25">
      <c r="A490" s="78"/>
      <c r="B490" s="100" t="s">
        <v>1744</v>
      </c>
      <c r="C490" s="48" t="s">
        <v>1710</v>
      </c>
      <c r="D490" s="112">
        <v>2201540080</v>
      </c>
      <c r="E490" s="52" t="s">
        <v>1900</v>
      </c>
      <c r="F490" s="48" t="s">
        <v>1461</v>
      </c>
      <c r="G490" s="160">
        <v>4.9000000000000002E-2</v>
      </c>
      <c r="H490" s="78" t="b">
        <v>0</v>
      </c>
      <c r="I490" s="78">
        <v>0.97</v>
      </c>
      <c r="J490" s="100" t="s">
        <v>2096</v>
      </c>
      <c r="K490" s="36"/>
    </row>
    <row r="491" spans="1:11" ht="19.5" customHeight="1" x14ac:dyDescent="0.25">
      <c r="A491" s="78"/>
      <c r="B491" s="100" t="s">
        <v>1744</v>
      </c>
      <c r="C491" s="48" t="s">
        <v>1710</v>
      </c>
      <c r="D491" s="112">
        <v>2201610080</v>
      </c>
      <c r="E491" s="52" t="s">
        <v>1901</v>
      </c>
      <c r="F491" s="48" t="s">
        <v>1461</v>
      </c>
      <c r="G491" s="160">
        <v>3.9E-2</v>
      </c>
      <c r="H491" s="78" t="b">
        <v>0</v>
      </c>
      <c r="I491" s="78">
        <v>0.97</v>
      </c>
      <c r="J491" s="100" t="s">
        <v>2096</v>
      </c>
    </row>
    <row r="492" spans="1:11" ht="19.5" customHeight="1" x14ac:dyDescent="0.25">
      <c r="A492" s="78"/>
      <c r="B492" s="100" t="s">
        <v>1744</v>
      </c>
      <c r="C492" s="48" t="s">
        <v>1710</v>
      </c>
      <c r="D492" s="112">
        <v>2201620080</v>
      </c>
      <c r="E492" s="52" t="s">
        <v>1902</v>
      </c>
      <c r="F492" s="48" t="s">
        <v>1461</v>
      </c>
      <c r="G492" s="160">
        <v>0.04</v>
      </c>
      <c r="H492" s="78" t="b">
        <v>0</v>
      </c>
      <c r="I492" s="78">
        <v>0.97</v>
      </c>
      <c r="J492" s="100" t="s">
        <v>2096</v>
      </c>
    </row>
    <row r="493" spans="1:11" ht="19.5" customHeight="1" x14ac:dyDescent="0.25">
      <c r="A493" s="78" t="s">
        <v>1885</v>
      </c>
      <c r="B493" s="100" t="s">
        <v>1744</v>
      </c>
      <c r="C493" s="48" t="s">
        <v>1710</v>
      </c>
      <c r="D493" s="112">
        <v>2203110080</v>
      </c>
      <c r="E493" s="52" t="s">
        <v>1916</v>
      </c>
      <c r="F493" s="48" t="s">
        <v>1461</v>
      </c>
      <c r="G493" s="78">
        <v>0.13</v>
      </c>
      <c r="H493" s="78" t="b">
        <v>0</v>
      </c>
      <c r="I493" s="78">
        <v>0.96699999999999997</v>
      </c>
      <c r="J493" s="100" t="s">
        <v>2096</v>
      </c>
    </row>
    <row r="494" spans="1:11" ht="19.5" customHeight="1" x14ac:dyDescent="0.25">
      <c r="A494" s="78" t="s">
        <v>1885</v>
      </c>
      <c r="B494" s="100" t="s">
        <v>1744</v>
      </c>
      <c r="C494" s="48" t="s">
        <v>1710</v>
      </c>
      <c r="D494" s="112">
        <v>2203210080</v>
      </c>
      <c r="E494" s="52" t="s">
        <v>1917</v>
      </c>
      <c r="F494" s="48" t="s">
        <v>1461</v>
      </c>
      <c r="G494" s="78">
        <v>0.13</v>
      </c>
      <c r="H494" s="78" t="b">
        <v>0</v>
      </c>
      <c r="I494" s="78">
        <v>0.97</v>
      </c>
      <c r="J494" s="100" t="s">
        <v>2096</v>
      </c>
    </row>
    <row r="495" spans="1:11" ht="19.5" customHeight="1" x14ac:dyDescent="0.25">
      <c r="A495" s="78" t="s">
        <v>1885</v>
      </c>
      <c r="B495" s="100" t="s">
        <v>1744</v>
      </c>
      <c r="C495" s="48" t="s">
        <v>1710</v>
      </c>
      <c r="D495" s="112">
        <v>2203310080</v>
      </c>
      <c r="E495" s="52" t="s">
        <v>1918</v>
      </c>
      <c r="F495" s="48" t="s">
        <v>1461</v>
      </c>
      <c r="G495" s="78">
        <v>0.13</v>
      </c>
      <c r="H495" s="78" t="b">
        <v>0</v>
      </c>
      <c r="I495" s="78">
        <v>0.97</v>
      </c>
      <c r="J495" s="100" t="s">
        <v>2096</v>
      </c>
    </row>
    <row r="496" spans="1:11" ht="19.5" customHeight="1" x14ac:dyDescent="0.25">
      <c r="A496" s="78" t="s">
        <v>1885</v>
      </c>
      <c r="B496" s="100" t="s">
        <v>1744</v>
      </c>
      <c r="C496" s="48" t="s">
        <v>1710</v>
      </c>
      <c r="D496" s="112">
        <v>2203320080</v>
      </c>
      <c r="E496" s="52" t="s">
        <v>1919</v>
      </c>
      <c r="F496" s="48" t="s">
        <v>1461</v>
      </c>
      <c r="G496" s="78">
        <v>0.13</v>
      </c>
      <c r="H496" s="78" t="b">
        <v>0</v>
      </c>
      <c r="I496" s="78">
        <v>0.97</v>
      </c>
      <c r="J496" s="100" t="s">
        <v>2096</v>
      </c>
    </row>
    <row r="497" spans="1:11" ht="19.5" customHeight="1" x14ac:dyDescent="0.25">
      <c r="A497" s="78" t="s">
        <v>1885</v>
      </c>
      <c r="B497" s="100" t="s">
        <v>1744</v>
      </c>
      <c r="C497" s="48" t="s">
        <v>1710</v>
      </c>
      <c r="D497" s="112">
        <v>2203410080</v>
      </c>
      <c r="E497" s="52" t="s">
        <v>1920</v>
      </c>
      <c r="F497" s="48" t="s">
        <v>1461</v>
      </c>
      <c r="G497" s="78">
        <v>0.13</v>
      </c>
      <c r="H497" s="78" t="b">
        <v>0</v>
      </c>
      <c r="I497" s="78">
        <v>0.97</v>
      </c>
      <c r="J497" s="100" t="s">
        <v>2096</v>
      </c>
    </row>
    <row r="498" spans="1:11" ht="19.5" customHeight="1" thickBot="1" x14ac:dyDescent="0.3">
      <c r="A498" s="78" t="s">
        <v>1885</v>
      </c>
      <c r="B498" s="100" t="s">
        <v>1744</v>
      </c>
      <c r="C498" s="48" t="s">
        <v>1710</v>
      </c>
      <c r="D498" s="112">
        <v>2203420080</v>
      </c>
      <c r="E498" s="52" t="s">
        <v>1921</v>
      </c>
      <c r="F498" s="48" t="s">
        <v>1461</v>
      </c>
      <c r="G498" s="78">
        <v>0.13</v>
      </c>
      <c r="H498" s="78" t="b">
        <v>0</v>
      </c>
      <c r="I498" s="78">
        <v>0.97</v>
      </c>
      <c r="J498" s="100" t="s">
        <v>2096</v>
      </c>
      <c r="K498" s="159"/>
    </row>
    <row r="499" spans="1:11" ht="19.5" customHeight="1" x14ac:dyDescent="0.25">
      <c r="A499" s="78" t="s">
        <v>1885</v>
      </c>
      <c r="B499" s="100" t="s">
        <v>1744</v>
      </c>
      <c r="C499" s="48" t="s">
        <v>1710</v>
      </c>
      <c r="D499" s="112">
        <v>2203430080</v>
      </c>
      <c r="E499" s="52" t="s">
        <v>1922</v>
      </c>
      <c r="F499" s="48" t="s">
        <v>1461</v>
      </c>
      <c r="G499" s="78">
        <v>0.13</v>
      </c>
      <c r="H499" s="78" t="b">
        <v>0</v>
      </c>
      <c r="I499" s="78">
        <v>0.97</v>
      </c>
      <c r="J499" s="100" t="s">
        <v>2096</v>
      </c>
    </row>
    <row r="500" spans="1:11" ht="19.5" customHeight="1" x14ac:dyDescent="0.25">
      <c r="A500" s="78" t="s">
        <v>1885</v>
      </c>
      <c r="B500" s="100" t="s">
        <v>1744</v>
      </c>
      <c r="C500" s="48" t="s">
        <v>1710</v>
      </c>
      <c r="D500" s="112">
        <v>2203510080</v>
      </c>
      <c r="E500" s="52" t="s">
        <v>1923</v>
      </c>
      <c r="F500" s="48" t="s">
        <v>1461</v>
      </c>
      <c r="G500" s="78">
        <v>0.13</v>
      </c>
      <c r="H500" s="78" t="b">
        <v>0</v>
      </c>
      <c r="I500" s="78">
        <v>0.97</v>
      </c>
      <c r="J500" s="100" t="s">
        <v>2096</v>
      </c>
    </row>
    <row r="501" spans="1:11" ht="19.5" customHeight="1" x14ac:dyDescent="0.25">
      <c r="A501" s="78" t="s">
        <v>1885</v>
      </c>
      <c r="B501" s="100" t="s">
        <v>1744</v>
      </c>
      <c r="C501" s="48" t="s">
        <v>1710</v>
      </c>
      <c r="D501" s="112">
        <v>2203520080</v>
      </c>
      <c r="E501" s="52" t="s">
        <v>1924</v>
      </c>
      <c r="F501" s="48" t="s">
        <v>1461</v>
      </c>
      <c r="G501" s="78">
        <v>0.13</v>
      </c>
      <c r="H501" s="78" t="b">
        <v>0</v>
      </c>
      <c r="I501" s="78">
        <v>0.97</v>
      </c>
      <c r="J501" s="100" t="s">
        <v>2096</v>
      </c>
    </row>
    <row r="502" spans="1:11" ht="19.5" customHeight="1" x14ac:dyDescent="0.25">
      <c r="A502" s="78" t="s">
        <v>1885</v>
      </c>
      <c r="B502" s="100" t="s">
        <v>1744</v>
      </c>
      <c r="C502" s="48" t="s">
        <v>1710</v>
      </c>
      <c r="D502" s="112">
        <v>2203530080</v>
      </c>
      <c r="E502" s="52" t="s">
        <v>1925</v>
      </c>
      <c r="F502" s="48" t="s">
        <v>1461</v>
      </c>
      <c r="G502" s="78">
        <v>0.13</v>
      </c>
      <c r="H502" s="78" t="b">
        <v>0</v>
      </c>
      <c r="I502" s="78">
        <v>0.97</v>
      </c>
      <c r="J502" s="100" t="s">
        <v>2096</v>
      </c>
    </row>
    <row r="503" spans="1:11" ht="19.5" customHeight="1" x14ac:dyDescent="0.25">
      <c r="A503" s="78" t="s">
        <v>1885</v>
      </c>
      <c r="B503" s="100" t="s">
        <v>1744</v>
      </c>
      <c r="C503" s="48" t="s">
        <v>1710</v>
      </c>
      <c r="D503" s="112">
        <v>2203540080</v>
      </c>
      <c r="E503" s="52" t="s">
        <v>1926</v>
      </c>
      <c r="F503" s="48" t="s">
        <v>1461</v>
      </c>
      <c r="G503" s="78">
        <v>0.13</v>
      </c>
      <c r="H503" s="78" t="b">
        <v>0</v>
      </c>
      <c r="I503" s="78">
        <v>0.97</v>
      </c>
      <c r="J503" s="100" t="s">
        <v>2096</v>
      </c>
    </row>
    <row r="504" spans="1:11" ht="19.5" customHeight="1" x14ac:dyDescent="0.25">
      <c r="A504" s="78" t="s">
        <v>1885</v>
      </c>
      <c r="B504" s="100" t="s">
        <v>1744</v>
      </c>
      <c r="C504" s="48" t="s">
        <v>1710</v>
      </c>
      <c r="D504" s="112">
        <v>2203610080</v>
      </c>
      <c r="E504" s="52" t="s">
        <v>1927</v>
      </c>
      <c r="F504" s="48" t="s">
        <v>1461</v>
      </c>
      <c r="G504" s="78">
        <v>0.13</v>
      </c>
      <c r="H504" s="78" t="b">
        <v>0</v>
      </c>
      <c r="I504" s="78">
        <v>0.97</v>
      </c>
      <c r="J504" s="100" t="s">
        <v>2096</v>
      </c>
    </row>
    <row r="505" spans="1:11" ht="19.5" customHeight="1" x14ac:dyDescent="0.25">
      <c r="A505" s="78" t="s">
        <v>1885</v>
      </c>
      <c r="B505" s="100" t="s">
        <v>1744</v>
      </c>
      <c r="C505" s="48" t="s">
        <v>1710</v>
      </c>
      <c r="D505" s="112">
        <v>2203620080</v>
      </c>
      <c r="E505" s="52" t="s">
        <v>1928</v>
      </c>
      <c r="F505" s="48" t="s">
        <v>1461</v>
      </c>
      <c r="G505" s="78">
        <v>0.13</v>
      </c>
      <c r="H505" s="78" t="b">
        <v>0</v>
      </c>
      <c r="I505" s="78">
        <v>0.97</v>
      </c>
      <c r="J505" s="100" t="s">
        <v>2096</v>
      </c>
    </row>
    <row r="506" spans="1:11" ht="19.5" customHeight="1" x14ac:dyDescent="0.25">
      <c r="A506" s="74"/>
      <c r="B506" s="114" t="s">
        <v>1745</v>
      </c>
      <c r="C506" s="59" t="s">
        <v>1711</v>
      </c>
      <c r="D506" s="118">
        <v>2202110080</v>
      </c>
      <c r="E506" s="62" t="s">
        <v>1903</v>
      </c>
      <c r="F506" s="59" t="s">
        <v>1712</v>
      </c>
      <c r="G506" s="74">
        <v>0.05</v>
      </c>
      <c r="H506" s="74" t="b">
        <v>1</v>
      </c>
      <c r="I506" s="156">
        <v>0.96699999999999997</v>
      </c>
      <c r="J506" s="114" t="s">
        <v>2096</v>
      </c>
    </row>
    <row r="507" spans="1:11" ht="19.5" customHeight="1" x14ac:dyDescent="0.25">
      <c r="A507" s="74"/>
      <c r="B507" s="114" t="s">
        <v>1745</v>
      </c>
      <c r="C507" s="59" t="s">
        <v>1711</v>
      </c>
      <c r="D507" s="118">
        <v>2202210080</v>
      </c>
      <c r="E507" s="62" t="s">
        <v>1904</v>
      </c>
      <c r="F507" s="59" t="s">
        <v>1712</v>
      </c>
      <c r="G507" s="156">
        <v>6.7000000000000004E-2</v>
      </c>
      <c r="H507" s="74" t="b">
        <v>1</v>
      </c>
      <c r="I507" s="74">
        <v>0.97</v>
      </c>
      <c r="J507" s="114" t="s">
        <v>2096</v>
      </c>
      <c r="K507" s="36"/>
    </row>
    <row r="508" spans="1:11" ht="19.5" customHeight="1" x14ac:dyDescent="0.25">
      <c r="A508" s="74"/>
      <c r="B508" s="114" t="s">
        <v>1745</v>
      </c>
      <c r="C508" s="59" t="s">
        <v>1711</v>
      </c>
      <c r="D508" s="118">
        <v>2202310080</v>
      </c>
      <c r="E508" s="62" t="s">
        <v>1905</v>
      </c>
      <c r="F508" s="59" t="s">
        <v>1712</v>
      </c>
      <c r="G508" s="156">
        <v>8.5000000000000006E-2</v>
      </c>
      <c r="H508" s="74" t="b">
        <v>1</v>
      </c>
      <c r="I508" s="74">
        <v>0.97</v>
      </c>
      <c r="J508" s="114" t="s">
        <v>2096</v>
      </c>
      <c r="K508" s="36"/>
    </row>
    <row r="509" spans="1:11" ht="19.5" customHeight="1" x14ac:dyDescent="0.25">
      <c r="A509" s="74"/>
      <c r="B509" s="114" t="s">
        <v>1745</v>
      </c>
      <c r="C509" s="59" t="s">
        <v>1711</v>
      </c>
      <c r="D509" s="118">
        <v>2202320080</v>
      </c>
      <c r="E509" s="62" t="s">
        <v>1906</v>
      </c>
      <c r="F509" s="59" t="s">
        <v>1712</v>
      </c>
      <c r="G509" s="156">
        <v>7.6999999999999999E-2</v>
      </c>
      <c r="H509" s="74" t="b">
        <v>1</v>
      </c>
      <c r="I509" s="74">
        <v>0.97</v>
      </c>
      <c r="J509" s="114" t="s">
        <v>2096</v>
      </c>
      <c r="K509" s="36"/>
    </row>
    <row r="510" spans="1:11" ht="19.5" customHeight="1" x14ac:dyDescent="0.25">
      <c r="A510" s="74"/>
      <c r="B510" s="114" t="s">
        <v>1745</v>
      </c>
      <c r="C510" s="59" t="s">
        <v>1711</v>
      </c>
      <c r="D510" s="118">
        <v>2202410080</v>
      </c>
      <c r="E510" s="62" t="s">
        <v>1907</v>
      </c>
      <c r="F510" s="59" t="s">
        <v>1712</v>
      </c>
      <c r="G510" s="156">
        <v>6.8000000000000005E-2</v>
      </c>
      <c r="H510" s="74" t="b">
        <v>1</v>
      </c>
      <c r="I510" s="74">
        <v>0.97</v>
      </c>
      <c r="J510" s="114" t="s">
        <v>2096</v>
      </c>
      <c r="K510" s="36"/>
    </row>
    <row r="511" spans="1:11" ht="19.5" customHeight="1" x14ac:dyDescent="0.25">
      <c r="A511" s="74"/>
      <c r="B511" s="114" t="s">
        <v>1745</v>
      </c>
      <c r="C511" s="59" t="s">
        <v>1711</v>
      </c>
      <c r="D511" s="118">
        <v>2202420080</v>
      </c>
      <c r="E511" s="62" t="s">
        <v>1908</v>
      </c>
      <c r="F511" s="59" t="s">
        <v>1712</v>
      </c>
      <c r="G511" s="156">
        <v>7.0000000000000007E-2</v>
      </c>
      <c r="H511" s="74" t="b">
        <v>1</v>
      </c>
      <c r="I511" s="74">
        <v>0.97</v>
      </c>
      <c r="J511" s="114" t="s">
        <v>2096</v>
      </c>
      <c r="K511" s="36"/>
    </row>
    <row r="512" spans="1:11" ht="19.5" customHeight="1" x14ac:dyDescent="0.25">
      <c r="A512" s="74"/>
      <c r="B512" s="114" t="s">
        <v>1745</v>
      </c>
      <c r="C512" s="59" t="s">
        <v>1711</v>
      </c>
      <c r="D512" s="118">
        <v>2202430080</v>
      </c>
      <c r="E512" s="62" t="s">
        <v>1909</v>
      </c>
      <c r="F512" s="59" t="s">
        <v>1712</v>
      </c>
      <c r="G512" s="156">
        <v>7.0000000000000007E-2</v>
      </c>
      <c r="H512" s="74" t="b">
        <v>1</v>
      </c>
      <c r="I512" s="74">
        <v>0.97</v>
      </c>
      <c r="J512" s="114" t="s">
        <v>2096</v>
      </c>
      <c r="K512" s="36"/>
    </row>
    <row r="513" spans="1:11" ht="19.5" customHeight="1" x14ac:dyDescent="0.25">
      <c r="A513" s="74"/>
      <c r="B513" s="114" t="s">
        <v>1745</v>
      </c>
      <c r="C513" s="59" t="s">
        <v>1711</v>
      </c>
      <c r="D513" s="118">
        <v>2202510080</v>
      </c>
      <c r="E513" s="62" t="s">
        <v>1910</v>
      </c>
      <c r="F513" s="59" t="s">
        <v>1712</v>
      </c>
      <c r="G513" s="156">
        <v>8.2000000000000003E-2</v>
      </c>
      <c r="H513" s="74" t="b">
        <v>1</v>
      </c>
      <c r="I513" s="74">
        <v>0.97</v>
      </c>
      <c r="J513" s="114" t="s">
        <v>2096</v>
      </c>
      <c r="K513" s="36"/>
    </row>
    <row r="514" spans="1:11" ht="19.5" customHeight="1" x14ac:dyDescent="0.25">
      <c r="A514" s="74"/>
      <c r="B514" s="114" t="s">
        <v>1745</v>
      </c>
      <c r="C514" s="59" t="s">
        <v>1711</v>
      </c>
      <c r="D514" s="118">
        <v>2202520080</v>
      </c>
      <c r="E514" s="62" t="s">
        <v>1911</v>
      </c>
      <c r="F514" s="59" t="s">
        <v>1712</v>
      </c>
      <c r="G514" s="156">
        <v>8.3000000000000004E-2</v>
      </c>
      <c r="H514" s="74" t="b">
        <v>1</v>
      </c>
      <c r="I514" s="74">
        <v>0.97</v>
      </c>
      <c r="J514" s="114" t="s">
        <v>2096</v>
      </c>
      <c r="K514" s="36"/>
    </row>
    <row r="515" spans="1:11" ht="19.5" customHeight="1" x14ac:dyDescent="0.25">
      <c r="A515" s="74"/>
      <c r="B515" s="114" t="s">
        <v>1745</v>
      </c>
      <c r="C515" s="59" t="s">
        <v>1711</v>
      </c>
      <c r="D515" s="118">
        <v>2202530080</v>
      </c>
      <c r="E515" s="62" t="s">
        <v>1912</v>
      </c>
      <c r="F515" s="59" t="s">
        <v>1712</v>
      </c>
      <c r="G515" s="156">
        <v>8.3000000000000004E-2</v>
      </c>
      <c r="H515" s="74" t="b">
        <v>1</v>
      </c>
      <c r="I515" s="74">
        <v>0.97</v>
      </c>
      <c r="J515" s="114" t="s">
        <v>2096</v>
      </c>
      <c r="K515" s="36"/>
    </row>
    <row r="516" spans="1:11" ht="19.5" customHeight="1" x14ac:dyDescent="0.25">
      <c r="A516" s="74"/>
      <c r="B516" s="114" t="s">
        <v>1745</v>
      </c>
      <c r="C516" s="59" t="s">
        <v>1711</v>
      </c>
      <c r="D516" s="118">
        <v>2202540080</v>
      </c>
      <c r="E516" s="62" t="s">
        <v>1913</v>
      </c>
      <c r="F516" s="59" t="s">
        <v>1712</v>
      </c>
      <c r="G516" s="156">
        <v>7.6999999999999999E-2</v>
      </c>
      <c r="H516" s="74" t="b">
        <v>1</v>
      </c>
      <c r="I516" s="74">
        <v>0.97</v>
      </c>
      <c r="J516" s="114" t="s">
        <v>2096</v>
      </c>
      <c r="K516" s="36"/>
    </row>
    <row r="517" spans="1:11" ht="19.5" customHeight="1" x14ac:dyDescent="0.25">
      <c r="A517" s="74"/>
      <c r="B517" s="114" t="s">
        <v>1745</v>
      </c>
      <c r="C517" s="59" t="s">
        <v>1711</v>
      </c>
      <c r="D517" s="118">
        <v>2202610080</v>
      </c>
      <c r="E517" s="62" t="s">
        <v>1914</v>
      </c>
      <c r="F517" s="59" t="s">
        <v>1712</v>
      </c>
      <c r="G517" s="156">
        <v>7.6999999999999999E-2</v>
      </c>
      <c r="H517" s="74" t="b">
        <v>1</v>
      </c>
      <c r="I517" s="74">
        <v>0.97</v>
      </c>
      <c r="J517" s="114" t="s">
        <v>2096</v>
      </c>
      <c r="K517" s="36"/>
    </row>
    <row r="518" spans="1:11" ht="19.5" customHeight="1" x14ac:dyDescent="0.25">
      <c r="A518" s="141"/>
      <c r="B518" s="133" t="s">
        <v>1745</v>
      </c>
      <c r="C518" s="132" t="s">
        <v>1711</v>
      </c>
      <c r="D518" s="134">
        <v>2202620080</v>
      </c>
      <c r="E518" s="135" t="s">
        <v>1915</v>
      </c>
      <c r="F518" s="132" t="s">
        <v>1712</v>
      </c>
      <c r="G518" s="161">
        <v>9.7000000000000003E-2</v>
      </c>
      <c r="H518" s="141" t="b">
        <v>1</v>
      </c>
      <c r="I518" s="141">
        <v>0.97</v>
      </c>
      <c r="J518" s="133" t="s">
        <v>2096</v>
      </c>
      <c r="K518" s="36"/>
    </row>
    <row r="519" spans="1:11" ht="19.5" customHeight="1" x14ac:dyDescent="0.25">
      <c r="K519" s="36"/>
    </row>
    <row r="520" spans="1:11" ht="19.5" customHeight="1" x14ac:dyDescent="0.25">
      <c r="K520" s="36"/>
    </row>
    <row r="521" spans="1:11" ht="19.5" customHeight="1" x14ac:dyDescent="0.25">
      <c r="K521" s="36"/>
    </row>
    <row r="522" spans="1:11" ht="19.5" customHeight="1" x14ac:dyDescent="0.25">
      <c r="K522" s="36"/>
    </row>
  </sheetData>
  <mergeCells count="2">
    <mergeCell ref="A316:A354"/>
    <mergeCell ref="A306:A315"/>
  </mergeCells>
  <conditionalFormatting sqref="D19">
    <cfRule type="duplicateValues" dxfId="24" priority="26"/>
  </conditionalFormatting>
  <conditionalFormatting sqref="D14">
    <cfRule type="duplicateValues" dxfId="23" priority="25"/>
  </conditionalFormatting>
  <conditionalFormatting sqref="D18">
    <cfRule type="duplicateValues" dxfId="22" priority="24"/>
  </conditionalFormatting>
  <conditionalFormatting sqref="D17">
    <cfRule type="duplicateValues" dxfId="21" priority="23"/>
  </conditionalFormatting>
  <conditionalFormatting sqref="D15">
    <cfRule type="duplicateValues" dxfId="20" priority="22"/>
  </conditionalFormatting>
  <conditionalFormatting sqref="D16">
    <cfRule type="duplicateValues" dxfId="19" priority="21"/>
  </conditionalFormatting>
  <conditionalFormatting sqref="D13">
    <cfRule type="duplicateValues" dxfId="18" priority="20"/>
  </conditionalFormatting>
  <conditionalFormatting sqref="D8">
    <cfRule type="duplicateValues" dxfId="17" priority="19"/>
  </conditionalFormatting>
  <conditionalFormatting sqref="D12">
    <cfRule type="duplicateValues" dxfId="16" priority="18"/>
  </conditionalFormatting>
  <conditionalFormatting sqref="D11">
    <cfRule type="duplicateValues" dxfId="15" priority="17"/>
  </conditionalFormatting>
  <conditionalFormatting sqref="D9">
    <cfRule type="duplicateValues" dxfId="14" priority="16"/>
  </conditionalFormatting>
  <conditionalFormatting sqref="D10">
    <cfRule type="duplicateValues" dxfId="13" priority="15"/>
  </conditionalFormatting>
  <conditionalFormatting sqref="D7">
    <cfRule type="duplicateValues" dxfId="12" priority="14"/>
  </conditionalFormatting>
  <conditionalFormatting sqref="D6">
    <cfRule type="duplicateValues" dxfId="11" priority="12"/>
  </conditionalFormatting>
  <conditionalFormatting sqref="D5">
    <cfRule type="duplicateValues" dxfId="10" priority="11"/>
  </conditionalFormatting>
  <conditionalFormatting sqref="D3">
    <cfRule type="duplicateValues" dxfId="9" priority="10"/>
  </conditionalFormatting>
  <conditionalFormatting sqref="D4">
    <cfRule type="duplicateValues" dxfId="8" priority="9"/>
  </conditionalFormatting>
  <conditionalFormatting sqref="D20">
    <cfRule type="duplicateValues" dxfId="7" priority="7"/>
  </conditionalFormatting>
  <conditionalFormatting sqref="D24">
    <cfRule type="duplicateValues" dxfId="6" priority="6"/>
  </conditionalFormatting>
  <conditionalFormatting sqref="D23">
    <cfRule type="duplicateValues" dxfId="5" priority="5"/>
  </conditionalFormatting>
  <conditionalFormatting sqref="D21">
    <cfRule type="duplicateValues" dxfId="4" priority="4"/>
  </conditionalFormatting>
  <conditionalFormatting sqref="D22">
    <cfRule type="duplicateValues" dxfId="3" priority="3"/>
  </conditionalFormatting>
  <conditionalFormatting sqref="D1 D25:D41 D142:D1048576 D44:D140">
    <cfRule type="duplicateValues" dxfId="2" priority="33"/>
  </conditionalFormatting>
  <conditionalFormatting sqref="D2">
    <cfRule type="duplicateValues" dxfId="1" priority="2"/>
  </conditionalFormatting>
  <conditionalFormatting sqref="D141">
    <cfRule type="duplicateValues" dxfId="0" priority="1"/>
  </conditionalFormatting>
  <pageMargins left="0.7" right="0.7" top="0.75" bottom="0.75" header="0.3" footer="0.3"/>
  <pageSetup orientation="portrait" r:id="rId1"/>
  <ignoredErrors>
    <ignoredError sqref="D232:D233 D53 D48:D50 D51:D52 D117 D123 D174:D178 D185 D236 D274 D180:D182 D55:D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9"/>
  <sheetViews>
    <sheetView workbookViewId="0">
      <selection activeCell="B2" sqref="B2"/>
    </sheetView>
  </sheetViews>
  <sheetFormatPr defaultRowHeight="15" x14ac:dyDescent="0.25"/>
  <cols>
    <col min="1" max="1" width="25" style="33" customWidth="1"/>
    <col min="2" max="2" width="16" customWidth="1"/>
  </cols>
  <sheetData>
    <row r="1" spans="1:2" x14ac:dyDescent="0.25">
      <c r="A1" s="33" t="s">
        <v>1992</v>
      </c>
      <c r="B1" s="33" t="s">
        <v>1993</v>
      </c>
    </row>
    <row r="2" spans="1:2" x14ac:dyDescent="0.25">
      <c r="A2" s="33">
        <v>2265008005</v>
      </c>
      <c r="B2">
        <v>2265008005</v>
      </c>
    </row>
    <row r="3" spans="1:2" x14ac:dyDescent="0.25">
      <c r="A3" s="33">
        <v>2267008005</v>
      </c>
      <c r="B3">
        <v>2267008005</v>
      </c>
    </row>
    <row r="4" spans="1:2" x14ac:dyDescent="0.25">
      <c r="A4" s="33">
        <v>2268008005</v>
      </c>
      <c r="B4">
        <v>2268008005</v>
      </c>
    </row>
    <row r="5" spans="1:2" x14ac:dyDescent="0.25">
      <c r="A5" s="33">
        <v>2270008005</v>
      </c>
      <c r="B5">
        <v>2270008005</v>
      </c>
    </row>
    <row r="6" spans="1:2" x14ac:dyDescent="0.25">
      <c r="A6" s="33">
        <v>2275001000</v>
      </c>
      <c r="B6">
        <v>2275001000</v>
      </c>
    </row>
    <row r="7" spans="1:2" x14ac:dyDescent="0.25">
      <c r="A7" s="33">
        <v>2275020000</v>
      </c>
      <c r="B7">
        <v>2275020000</v>
      </c>
    </row>
    <row r="8" spans="1:2" x14ac:dyDescent="0.25">
      <c r="A8" s="143">
        <v>2275050000</v>
      </c>
      <c r="B8" s="33"/>
    </row>
    <row r="9" spans="1:2" x14ac:dyDescent="0.25">
      <c r="A9" s="33">
        <v>2275050011</v>
      </c>
      <c r="B9">
        <v>2275050011</v>
      </c>
    </row>
    <row r="10" spans="1:2" x14ac:dyDescent="0.25">
      <c r="A10" s="33">
        <v>2275050012</v>
      </c>
      <c r="B10">
        <v>2275050012</v>
      </c>
    </row>
    <row r="11" spans="1:2" x14ac:dyDescent="0.25">
      <c r="A11" s="33">
        <v>2275060000</v>
      </c>
      <c r="B11" s="33"/>
    </row>
    <row r="12" spans="1:2" x14ac:dyDescent="0.25">
      <c r="A12" s="33">
        <v>2275060011</v>
      </c>
      <c r="B12">
        <v>2275060011</v>
      </c>
    </row>
    <row r="13" spans="1:2" x14ac:dyDescent="0.25">
      <c r="A13" s="33">
        <v>2275060012</v>
      </c>
      <c r="B13">
        <v>2275060012</v>
      </c>
    </row>
    <row r="14" spans="1:2" x14ac:dyDescent="0.25">
      <c r="A14" s="33">
        <v>2275070000</v>
      </c>
      <c r="B14">
        <v>2275070000</v>
      </c>
    </row>
    <row r="15" spans="1:2" x14ac:dyDescent="0.25">
      <c r="A15" s="33">
        <v>2275087000</v>
      </c>
      <c r="B15">
        <v>2275087000</v>
      </c>
    </row>
    <row r="16" spans="1:2" x14ac:dyDescent="0.25">
      <c r="B16">
        <v>2501080050</v>
      </c>
    </row>
    <row r="17" spans="1:2" x14ac:dyDescent="0.25">
      <c r="A17"/>
      <c r="B17">
        <v>2501080100</v>
      </c>
    </row>
    <row r="18" spans="1:2" x14ac:dyDescent="0.25">
      <c r="A18"/>
    </row>
    <row r="19" spans="1:2" x14ac:dyDescent="0.25">
      <c r="A19"/>
    </row>
    <row r="20" spans="1:2" x14ac:dyDescent="0.25">
      <c r="A20"/>
    </row>
    <row r="21" spans="1:2" x14ac:dyDescent="0.25">
      <c r="A21"/>
    </row>
    <row r="22" spans="1:2" x14ac:dyDescent="0.25">
      <c r="A22"/>
    </row>
    <row r="23" spans="1:2" x14ac:dyDescent="0.25">
      <c r="A23"/>
    </row>
    <row r="24" spans="1:2" x14ac:dyDescent="0.25">
      <c r="A24"/>
    </row>
    <row r="25" spans="1:2" x14ac:dyDescent="0.25">
      <c r="A25"/>
    </row>
    <row r="26" spans="1:2" x14ac:dyDescent="0.25">
      <c r="A26"/>
    </row>
    <row r="27" spans="1:2" x14ac:dyDescent="0.25">
      <c r="A27"/>
    </row>
    <row r="28" spans="1:2" x14ac:dyDescent="0.25">
      <c r="A28"/>
    </row>
    <row r="29" spans="1:2" x14ac:dyDescent="0.25">
      <c r="A29"/>
    </row>
    <row r="30" spans="1:2" x14ac:dyDescent="0.25">
      <c r="A30"/>
    </row>
    <row r="31" spans="1:2" x14ac:dyDescent="0.25">
      <c r="A31"/>
    </row>
    <row r="32" spans="1: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</sheetData>
  <autoFilter ref="A1:B15">
    <sortState ref="A2:B15">
      <sortCondition ref="A1:A15"/>
    </sortState>
  </autoFilter>
  <sortState ref="B2:B2029">
    <sortCondition ref="B2:B202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selection activeCell="D23" sqref="D23"/>
    </sheetView>
  </sheetViews>
  <sheetFormatPr defaultRowHeight="15" x14ac:dyDescent="0.25"/>
  <cols>
    <col min="1" max="1" width="19.7109375" style="140" customWidth="1"/>
    <col min="2" max="2" width="44" customWidth="1"/>
    <col min="3" max="3" width="32.42578125" customWidth="1"/>
  </cols>
  <sheetData>
    <row r="1" spans="1:2" s="33" customFormat="1" x14ac:dyDescent="0.25">
      <c r="A1" s="140" t="s">
        <v>1194</v>
      </c>
      <c r="B1" s="33" t="s">
        <v>2084</v>
      </c>
    </row>
    <row r="2" spans="1:2" x14ac:dyDescent="0.25">
      <c r="A2" s="138">
        <v>2201110080</v>
      </c>
      <c r="B2" s="137" t="s">
        <v>1890</v>
      </c>
    </row>
    <row r="3" spans="1:2" x14ac:dyDescent="0.25">
      <c r="A3" s="138">
        <v>2201210080</v>
      </c>
      <c r="B3" s="137" t="s">
        <v>1891</v>
      </c>
    </row>
    <row r="4" spans="1:2" x14ac:dyDescent="0.25">
      <c r="A4" s="138">
        <v>2201310080</v>
      </c>
      <c r="B4" s="137" t="s">
        <v>1892</v>
      </c>
    </row>
    <row r="5" spans="1:2" x14ac:dyDescent="0.25">
      <c r="A5" s="138">
        <v>2201320080</v>
      </c>
      <c r="B5" s="137" t="s">
        <v>1893</v>
      </c>
    </row>
    <row r="6" spans="1:2" x14ac:dyDescent="0.25">
      <c r="A6" s="138">
        <v>2201410080</v>
      </c>
      <c r="B6" s="137" t="s">
        <v>1894</v>
      </c>
    </row>
    <row r="7" spans="1:2" x14ac:dyDescent="0.25">
      <c r="A7" s="138">
        <v>2201420080</v>
      </c>
      <c r="B7" s="137" t="s">
        <v>1895</v>
      </c>
    </row>
    <row r="8" spans="1:2" x14ac:dyDescent="0.25">
      <c r="A8" s="138">
        <v>2201430080</v>
      </c>
      <c r="B8" s="137" t="s">
        <v>1896</v>
      </c>
    </row>
    <row r="9" spans="1:2" x14ac:dyDescent="0.25">
      <c r="A9" s="138">
        <v>2201510080</v>
      </c>
      <c r="B9" s="137" t="s">
        <v>1897</v>
      </c>
    </row>
    <row r="10" spans="1:2" x14ac:dyDescent="0.25">
      <c r="A10" s="138">
        <v>2201520080</v>
      </c>
      <c r="B10" s="137" t="s">
        <v>1898</v>
      </c>
    </row>
    <row r="11" spans="1:2" x14ac:dyDescent="0.25">
      <c r="A11" s="138">
        <v>2201530080</v>
      </c>
      <c r="B11" s="137" t="s">
        <v>1899</v>
      </c>
    </row>
    <row r="12" spans="1:2" x14ac:dyDescent="0.25">
      <c r="A12" s="138">
        <v>2201540080</v>
      </c>
      <c r="B12" s="137" t="s">
        <v>1900</v>
      </c>
    </row>
    <row r="13" spans="1:2" x14ac:dyDescent="0.25">
      <c r="A13" s="138">
        <v>2201610080</v>
      </c>
      <c r="B13" s="137" t="s">
        <v>1901</v>
      </c>
    </row>
    <row r="14" spans="1:2" x14ac:dyDescent="0.25">
      <c r="A14" s="138">
        <v>2201620080</v>
      </c>
      <c r="B14" s="137" t="s">
        <v>1902</v>
      </c>
    </row>
    <row r="15" spans="1:2" x14ac:dyDescent="0.25">
      <c r="A15" s="139">
        <v>2202110080</v>
      </c>
      <c r="B15" s="136" t="s">
        <v>1903</v>
      </c>
    </row>
    <row r="16" spans="1:2" x14ac:dyDescent="0.25">
      <c r="A16" s="139">
        <v>2202210080</v>
      </c>
      <c r="B16" s="136" t="s">
        <v>1904</v>
      </c>
    </row>
    <row r="17" spans="1:2" x14ac:dyDescent="0.25">
      <c r="A17" s="139">
        <v>2202310080</v>
      </c>
      <c r="B17" s="136" t="s">
        <v>1905</v>
      </c>
    </row>
    <row r="18" spans="1:2" x14ac:dyDescent="0.25">
      <c r="A18" s="139">
        <v>2202320080</v>
      </c>
      <c r="B18" s="136" t="s">
        <v>1906</v>
      </c>
    </row>
    <row r="19" spans="1:2" x14ac:dyDescent="0.25">
      <c r="A19" s="139">
        <v>2202410080</v>
      </c>
      <c r="B19" s="136" t="s">
        <v>1907</v>
      </c>
    </row>
    <row r="20" spans="1:2" x14ac:dyDescent="0.25">
      <c r="A20" s="139">
        <v>2202420080</v>
      </c>
      <c r="B20" s="136" t="s">
        <v>1908</v>
      </c>
    </row>
    <row r="21" spans="1:2" x14ac:dyDescent="0.25">
      <c r="A21" s="139">
        <v>2202430080</v>
      </c>
      <c r="B21" s="136" t="s">
        <v>1909</v>
      </c>
    </row>
    <row r="22" spans="1:2" x14ac:dyDescent="0.25">
      <c r="A22" s="139">
        <v>2202510080</v>
      </c>
      <c r="B22" s="136" t="s">
        <v>1910</v>
      </c>
    </row>
    <row r="23" spans="1:2" x14ac:dyDescent="0.25">
      <c r="A23" s="139">
        <v>2202520080</v>
      </c>
      <c r="B23" s="136" t="s">
        <v>1911</v>
      </c>
    </row>
    <row r="24" spans="1:2" x14ac:dyDescent="0.25">
      <c r="A24" s="139">
        <v>2202530080</v>
      </c>
      <c r="B24" s="136" t="s">
        <v>1912</v>
      </c>
    </row>
    <row r="25" spans="1:2" x14ac:dyDescent="0.25">
      <c r="A25" s="139">
        <v>2202540080</v>
      </c>
      <c r="B25" s="136" t="s">
        <v>1913</v>
      </c>
    </row>
    <row r="26" spans="1:2" x14ac:dyDescent="0.25">
      <c r="A26" s="139">
        <v>2202610080</v>
      </c>
      <c r="B26" s="136" t="s">
        <v>1914</v>
      </c>
    </row>
    <row r="27" spans="1:2" x14ac:dyDescent="0.25">
      <c r="A27" s="139">
        <v>2202620080</v>
      </c>
      <c r="B27" s="136" t="s">
        <v>1915</v>
      </c>
    </row>
    <row r="28" spans="1:2" x14ac:dyDescent="0.25">
      <c r="A28" s="138">
        <v>2203110080</v>
      </c>
      <c r="B28" s="137" t="s">
        <v>1916</v>
      </c>
    </row>
    <row r="29" spans="1:2" x14ac:dyDescent="0.25">
      <c r="A29" s="138">
        <v>2203210080</v>
      </c>
      <c r="B29" s="137" t="s">
        <v>1917</v>
      </c>
    </row>
    <row r="30" spans="1:2" x14ac:dyDescent="0.25">
      <c r="A30" s="138">
        <v>2203310080</v>
      </c>
      <c r="B30" s="137" t="s">
        <v>1918</v>
      </c>
    </row>
    <row r="31" spans="1:2" x14ac:dyDescent="0.25">
      <c r="A31" s="138">
        <v>2203320080</v>
      </c>
      <c r="B31" s="137" t="s">
        <v>1919</v>
      </c>
    </row>
    <row r="32" spans="1:2" x14ac:dyDescent="0.25">
      <c r="A32" s="138">
        <v>2203410080</v>
      </c>
      <c r="B32" s="137" t="s">
        <v>1920</v>
      </c>
    </row>
    <row r="33" spans="1:2" x14ac:dyDescent="0.25">
      <c r="A33" s="138">
        <v>2203420080</v>
      </c>
      <c r="B33" s="137" t="s">
        <v>1921</v>
      </c>
    </row>
    <row r="34" spans="1:2" x14ac:dyDescent="0.25">
      <c r="A34" s="138">
        <v>2203430080</v>
      </c>
      <c r="B34" s="137" t="s">
        <v>1922</v>
      </c>
    </row>
    <row r="35" spans="1:2" x14ac:dyDescent="0.25">
      <c r="A35" s="138">
        <v>2203510080</v>
      </c>
      <c r="B35" s="137" t="s">
        <v>1923</v>
      </c>
    </row>
    <row r="36" spans="1:2" x14ac:dyDescent="0.25">
      <c r="A36" s="138">
        <v>2203520080</v>
      </c>
      <c r="B36" s="137" t="s">
        <v>1924</v>
      </c>
    </row>
    <row r="37" spans="1:2" x14ac:dyDescent="0.25">
      <c r="A37" s="138">
        <v>2203530080</v>
      </c>
      <c r="B37" s="137" t="s">
        <v>1925</v>
      </c>
    </row>
    <row r="38" spans="1:2" x14ac:dyDescent="0.25">
      <c r="A38" s="138">
        <v>2203540080</v>
      </c>
      <c r="B38" s="137" t="s">
        <v>1926</v>
      </c>
    </row>
    <row r="39" spans="1:2" x14ac:dyDescent="0.25">
      <c r="A39" s="138">
        <v>2203610080</v>
      </c>
      <c r="B39" s="137" t="s">
        <v>1927</v>
      </c>
    </row>
    <row r="40" spans="1:2" x14ac:dyDescent="0.25">
      <c r="A40" s="138">
        <v>2203620080</v>
      </c>
      <c r="B40" s="137" t="s">
        <v>1928</v>
      </c>
    </row>
    <row r="41" spans="1:2" x14ac:dyDescent="0.25">
      <c r="A41" s="139">
        <v>2204110080</v>
      </c>
      <c r="B41" s="136" t="s">
        <v>1929</v>
      </c>
    </row>
    <row r="42" spans="1:2" x14ac:dyDescent="0.25">
      <c r="A42" s="139">
        <v>2204210080</v>
      </c>
      <c r="B42" s="136" t="s">
        <v>1930</v>
      </c>
    </row>
    <row r="43" spans="1:2" x14ac:dyDescent="0.25">
      <c r="A43" s="139">
        <v>2204310080</v>
      </c>
      <c r="B43" s="136" t="s">
        <v>1931</v>
      </c>
    </row>
    <row r="44" spans="1:2" x14ac:dyDescent="0.25">
      <c r="A44" s="139">
        <v>2204320080</v>
      </c>
      <c r="B44" s="136" t="s">
        <v>1932</v>
      </c>
    </row>
    <row r="45" spans="1:2" x14ac:dyDescent="0.25">
      <c r="A45" s="139">
        <v>2204410080</v>
      </c>
      <c r="B45" s="136" t="s">
        <v>1933</v>
      </c>
    </row>
    <row r="46" spans="1:2" x14ac:dyDescent="0.25">
      <c r="A46" s="139">
        <v>2204420080</v>
      </c>
      <c r="B46" s="136" t="s">
        <v>1934</v>
      </c>
    </row>
    <row r="47" spans="1:2" x14ac:dyDescent="0.25">
      <c r="A47" s="139">
        <v>2204430080</v>
      </c>
      <c r="B47" s="136" t="s">
        <v>1935</v>
      </c>
    </row>
    <row r="48" spans="1:2" x14ac:dyDescent="0.25">
      <c r="A48" s="139">
        <v>2204510080</v>
      </c>
      <c r="B48" s="136" t="s">
        <v>1936</v>
      </c>
    </row>
    <row r="49" spans="1:2" x14ac:dyDescent="0.25">
      <c r="A49" s="139">
        <v>2204520080</v>
      </c>
      <c r="B49" s="136" t="s">
        <v>1937</v>
      </c>
    </row>
    <row r="50" spans="1:2" x14ac:dyDescent="0.25">
      <c r="A50" s="139">
        <v>2204530080</v>
      </c>
      <c r="B50" s="136" t="s">
        <v>1938</v>
      </c>
    </row>
    <row r="51" spans="1:2" x14ac:dyDescent="0.25">
      <c r="A51" s="139">
        <v>2204540080</v>
      </c>
      <c r="B51" s="136" t="s">
        <v>1939</v>
      </c>
    </row>
    <row r="52" spans="1:2" x14ac:dyDescent="0.25">
      <c r="A52" s="139">
        <v>2204610080</v>
      </c>
      <c r="B52" s="136" t="s">
        <v>1940</v>
      </c>
    </row>
    <row r="53" spans="1:2" x14ac:dyDescent="0.25">
      <c r="A53" s="139">
        <v>2204620080</v>
      </c>
      <c r="B53" s="136" t="s">
        <v>1941</v>
      </c>
    </row>
    <row r="54" spans="1:2" x14ac:dyDescent="0.25">
      <c r="A54" s="138">
        <v>2205110080</v>
      </c>
      <c r="B54" s="137" t="s">
        <v>1942</v>
      </c>
    </row>
    <row r="55" spans="1:2" x14ac:dyDescent="0.25">
      <c r="A55" s="138">
        <v>2205210080</v>
      </c>
      <c r="B55" s="137" t="s">
        <v>1943</v>
      </c>
    </row>
    <row r="56" spans="1:2" x14ac:dyDescent="0.25">
      <c r="A56" s="138">
        <v>2205310080</v>
      </c>
      <c r="B56" s="137" t="s">
        <v>1944</v>
      </c>
    </row>
    <row r="57" spans="1:2" x14ac:dyDescent="0.25">
      <c r="A57" s="138">
        <v>2205320080</v>
      </c>
      <c r="B57" s="137" t="s">
        <v>1945</v>
      </c>
    </row>
    <row r="58" spans="1:2" x14ac:dyDescent="0.25">
      <c r="A58" s="138">
        <v>2205410080</v>
      </c>
      <c r="B58" s="137" t="s">
        <v>1946</v>
      </c>
    </row>
    <row r="59" spans="1:2" x14ac:dyDescent="0.25">
      <c r="A59" s="138">
        <v>2205420080</v>
      </c>
      <c r="B59" s="137" t="s">
        <v>1947</v>
      </c>
    </row>
    <row r="60" spans="1:2" x14ac:dyDescent="0.25">
      <c r="A60" s="138">
        <v>2205430080</v>
      </c>
      <c r="B60" s="137" t="s">
        <v>1948</v>
      </c>
    </row>
    <row r="61" spans="1:2" x14ac:dyDescent="0.25">
      <c r="A61" s="138">
        <v>2205510080</v>
      </c>
      <c r="B61" s="137" t="s">
        <v>1949</v>
      </c>
    </row>
    <row r="62" spans="1:2" x14ac:dyDescent="0.25">
      <c r="A62" s="138">
        <v>2205520080</v>
      </c>
      <c r="B62" s="137" t="s">
        <v>1950</v>
      </c>
    </row>
    <row r="63" spans="1:2" x14ac:dyDescent="0.25">
      <c r="A63" s="138">
        <v>2205530080</v>
      </c>
      <c r="B63" s="137" t="s">
        <v>1951</v>
      </c>
    </row>
    <row r="64" spans="1:2" x14ac:dyDescent="0.25">
      <c r="A64" s="138">
        <v>2205540080</v>
      </c>
      <c r="B64" s="137" t="s">
        <v>1952</v>
      </c>
    </row>
    <row r="65" spans="1:2" x14ac:dyDescent="0.25">
      <c r="A65" s="138">
        <v>2205610080</v>
      </c>
      <c r="B65" s="137" t="s">
        <v>1953</v>
      </c>
    </row>
    <row r="66" spans="1:2" x14ac:dyDescent="0.25">
      <c r="A66" s="138">
        <v>2205620080</v>
      </c>
      <c r="B66" s="137" t="s">
        <v>1954</v>
      </c>
    </row>
    <row r="67" spans="1:2" x14ac:dyDescent="0.25">
      <c r="A67" s="139">
        <v>2209110080</v>
      </c>
      <c r="B67" s="136" t="s">
        <v>1955</v>
      </c>
    </row>
    <row r="68" spans="1:2" x14ac:dyDescent="0.25">
      <c r="A68" s="139">
        <v>2209210080</v>
      </c>
      <c r="B68" s="136" t="s">
        <v>1956</v>
      </c>
    </row>
    <row r="69" spans="1:2" x14ac:dyDescent="0.25">
      <c r="A69" s="139">
        <v>2209310080</v>
      </c>
      <c r="B69" s="136" t="s">
        <v>1957</v>
      </c>
    </row>
    <row r="70" spans="1:2" x14ac:dyDescent="0.25">
      <c r="A70" s="139">
        <v>2209320080</v>
      </c>
      <c r="B70" s="136" t="s">
        <v>1958</v>
      </c>
    </row>
    <row r="71" spans="1:2" x14ac:dyDescent="0.25">
      <c r="A71" s="139">
        <v>2209410080</v>
      </c>
      <c r="B71" s="136" t="s">
        <v>1959</v>
      </c>
    </row>
    <row r="72" spans="1:2" x14ac:dyDescent="0.25">
      <c r="A72" s="139">
        <v>2209420080</v>
      </c>
      <c r="B72" s="136" t="s">
        <v>1960</v>
      </c>
    </row>
    <row r="73" spans="1:2" x14ac:dyDescent="0.25">
      <c r="A73" s="139">
        <v>2209430080</v>
      </c>
      <c r="B73" s="136" t="s">
        <v>1961</v>
      </c>
    </row>
    <row r="74" spans="1:2" x14ac:dyDescent="0.25">
      <c r="A74" s="139">
        <v>2209510080</v>
      </c>
      <c r="B74" s="136" t="s">
        <v>1962</v>
      </c>
    </row>
    <row r="75" spans="1:2" x14ac:dyDescent="0.25">
      <c r="A75" s="139">
        <v>2209520080</v>
      </c>
      <c r="B75" s="136" t="s">
        <v>1963</v>
      </c>
    </row>
    <row r="76" spans="1:2" x14ac:dyDescent="0.25">
      <c r="A76" s="139">
        <v>2209530080</v>
      </c>
      <c r="B76" s="136" t="s">
        <v>1964</v>
      </c>
    </row>
    <row r="77" spans="1:2" x14ac:dyDescent="0.25">
      <c r="A77" s="139">
        <v>2209540080</v>
      </c>
      <c r="B77" s="136" t="s">
        <v>1965</v>
      </c>
    </row>
    <row r="78" spans="1:2" x14ac:dyDescent="0.25">
      <c r="A78" s="139">
        <v>2209610080</v>
      </c>
      <c r="B78" s="136" t="s">
        <v>1966</v>
      </c>
    </row>
    <row r="79" spans="1:2" x14ac:dyDescent="0.25">
      <c r="A79" s="139">
        <v>2209620080</v>
      </c>
      <c r="B79" s="136" t="s">
        <v>1967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1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15" sqref="C15"/>
    </sheetView>
  </sheetViews>
  <sheetFormatPr defaultRowHeight="15" x14ac:dyDescent="0.25"/>
  <cols>
    <col min="1" max="1" width="16.5703125" style="25" customWidth="1"/>
    <col min="2" max="2" width="54" style="26" customWidth="1"/>
    <col min="3" max="3" width="75" style="25" customWidth="1"/>
    <col min="4" max="4" width="44" style="25" customWidth="1"/>
    <col min="5" max="5" width="70.7109375" style="33" customWidth="1"/>
    <col min="6" max="6" width="65.28515625" style="33" customWidth="1"/>
    <col min="7" max="16384" width="9.140625" style="33"/>
  </cols>
  <sheetData>
    <row r="1" spans="1:17" x14ac:dyDescent="0.25">
      <c r="A1" s="94" t="s">
        <v>1777</v>
      </c>
      <c r="B1" s="95"/>
    </row>
    <row r="2" spans="1:17" s="32" customFormat="1" ht="31.5" x14ac:dyDescent="0.25">
      <c r="A2" s="69" t="s">
        <v>1749</v>
      </c>
      <c r="B2" s="34" t="s">
        <v>1243</v>
      </c>
      <c r="C2" s="72" t="s">
        <v>1233</v>
      </c>
      <c r="D2" s="72" t="s">
        <v>1701</v>
      </c>
      <c r="E2" s="32" t="s">
        <v>1517</v>
      </c>
      <c r="F2" s="32" t="s">
        <v>1778</v>
      </c>
    </row>
    <row r="3" spans="1:17" x14ac:dyDescent="0.25">
      <c r="A3" s="25">
        <v>40100101</v>
      </c>
      <c r="B3" s="26" t="s">
        <v>1699</v>
      </c>
      <c r="C3" s="25" t="s">
        <v>1694</v>
      </c>
      <c r="D3" s="25" t="s">
        <v>1256</v>
      </c>
      <c r="E3" s="33" t="s">
        <v>1702</v>
      </c>
    </row>
    <row r="4" spans="1:17" x14ac:dyDescent="0.25">
      <c r="A4" s="25">
        <v>31502101</v>
      </c>
      <c r="B4" s="26" t="s">
        <v>1695</v>
      </c>
      <c r="C4" s="25" t="s">
        <v>1694</v>
      </c>
      <c r="D4" s="25" t="s">
        <v>1256</v>
      </c>
      <c r="E4" s="33" t="s">
        <v>1702</v>
      </c>
    </row>
    <row r="5" spans="1:17" x14ac:dyDescent="0.25">
      <c r="A5" s="25">
        <v>50100701</v>
      </c>
      <c r="B5" s="26" t="s">
        <v>1696</v>
      </c>
      <c r="C5" s="25" t="s">
        <v>1693</v>
      </c>
      <c r="D5" s="25" t="s">
        <v>1256</v>
      </c>
      <c r="E5" s="33" t="s">
        <v>1702</v>
      </c>
    </row>
    <row r="6" spans="1:17" x14ac:dyDescent="0.25">
      <c r="A6" s="25">
        <v>50100402</v>
      </c>
      <c r="B6" s="26" t="s">
        <v>1697</v>
      </c>
      <c r="C6" s="25" t="s">
        <v>1693</v>
      </c>
      <c r="D6" s="25" t="s">
        <v>1256</v>
      </c>
      <c r="E6" s="33" t="s">
        <v>1702</v>
      </c>
    </row>
    <row r="7" spans="1:17" x14ac:dyDescent="0.25">
      <c r="A7" s="25" t="s">
        <v>1714</v>
      </c>
      <c r="B7" s="26" t="s">
        <v>2067</v>
      </c>
      <c r="C7" s="25" t="s">
        <v>1309</v>
      </c>
      <c r="D7" s="25" t="s">
        <v>1686</v>
      </c>
      <c r="E7" s="33" t="s">
        <v>1703</v>
      </c>
    </row>
    <row r="8" spans="1:17" x14ac:dyDescent="0.25">
      <c r="A8" s="71" t="s">
        <v>1748</v>
      </c>
      <c r="B8" s="33" t="s">
        <v>1234</v>
      </c>
      <c r="C8" s="25" t="s">
        <v>1693</v>
      </c>
      <c r="D8" s="25" t="s">
        <v>1256</v>
      </c>
      <c r="E8" s="33" t="s">
        <v>1692</v>
      </c>
    </row>
    <row r="9" spans="1:17" x14ac:dyDescent="0.25">
      <c r="A9" s="96" t="s">
        <v>1715</v>
      </c>
      <c r="B9" s="96" t="s">
        <v>1244</v>
      </c>
      <c r="C9" s="96" t="s">
        <v>2150</v>
      </c>
      <c r="D9" s="96" t="s">
        <v>2076</v>
      </c>
      <c r="E9" s="96" t="s">
        <v>1653</v>
      </c>
      <c r="F9" s="96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</row>
    <row r="10" spans="1:17" x14ac:dyDescent="0.25">
      <c r="A10" s="25" t="s">
        <v>1750</v>
      </c>
      <c r="B10" s="33" t="s">
        <v>1705</v>
      </c>
      <c r="C10" s="25" t="s">
        <v>1450</v>
      </c>
      <c r="D10" s="25" t="s">
        <v>1673</v>
      </c>
      <c r="E10" s="33" t="s">
        <v>1653</v>
      </c>
    </row>
    <row r="11" spans="1:17" x14ac:dyDescent="0.25">
      <c r="A11" s="150" t="s">
        <v>1716</v>
      </c>
      <c r="B11" s="151" t="s">
        <v>1446</v>
      </c>
      <c r="C11" s="150" t="s">
        <v>1447</v>
      </c>
      <c r="D11" s="150" t="s">
        <v>1674</v>
      </c>
      <c r="E11" s="33" t="s">
        <v>1655</v>
      </c>
    </row>
    <row r="12" spans="1:17" x14ac:dyDescent="0.25">
      <c r="A12" s="25" t="s">
        <v>1718</v>
      </c>
      <c r="B12" s="33" t="s">
        <v>1261</v>
      </c>
      <c r="C12" s="25" t="s">
        <v>2006</v>
      </c>
      <c r="D12" s="25" t="s">
        <v>2072</v>
      </c>
      <c r="E12" s="33" t="s">
        <v>1658</v>
      </c>
    </row>
    <row r="13" spans="1:17" x14ac:dyDescent="0.25">
      <c r="A13" s="25" t="s">
        <v>1719</v>
      </c>
      <c r="B13" s="33" t="s">
        <v>1267</v>
      </c>
      <c r="C13" s="25" t="s">
        <v>1462</v>
      </c>
      <c r="D13" s="25" t="s">
        <v>1676</v>
      </c>
      <c r="E13" s="33" t="s">
        <v>1518</v>
      </c>
    </row>
    <row r="14" spans="1:17" x14ac:dyDescent="0.25">
      <c r="A14" s="25" t="s">
        <v>1720</v>
      </c>
      <c r="B14" s="33" t="s">
        <v>1706</v>
      </c>
      <c r="C14" s="25" t="s">
        <v>1461</v>
      </c>
      <c r="D14" s="25" t="s">
        <v>1704</v>
      </c>
      <c r="E14" s="33" t="s">
        <v>1654</v>
      </c>
    </row>
    <row r="15" spans="1:17" x14ac:dyDescent="0.25">
      <c r="A15" s="25" t="s">
        <v>1721</v>
      </c>
      <c r="B15" s="33" t="s">
        <v>1707</v>
      </c>
      <c r="C15" s="25" t="s">
        <v>1245</v>
      </c>
      <c r="D15" s="25" t="s">
        <v>1677</v>
      </c>
      <c r="E15" s="33" t="s">
        <v>1653</v>
      </c>
    </row>
    <row r="16" spans="1:17" x14ac:dyDescent="0.25">
      <c r="A16" s="96" t="s">
        <v>1722</v>
      </c>
      <c r="B16" s="96" t="s">
        <v>1268</v>
      </c>
      <c r="C16" s="96" t="s">
        <v>1781</v>
      </c>
      <c r="D16" s="96" t="s">
        <v>1782</v>
      </c>
      <c r="E16" s="96" t="s">
        <v>1655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</row>
    <row r="17" spans="1:17" x14ac:dyDescent="0.25">
      <c r="A17" s="25" t="s">
        <v>1723</v>
      </c>
      <c r="B17" s="33" t="s">
        <v>1271</v>
      </c>
      <c r="C17" s="25" t="s">
        <v>1407</v>
      </c>
      <c r="D17" s="25" t="s">
        <v>1679</v>
      </c>
      <c r="E17" s="33" t="s">
        <v>1653</v>
      </c>
    </row>
    <row r="18" spans="1:17" x14ac:dyDescent="0.25">
      <c r="A18" s="25" t="s">
        <v>1724</v>
      </c>
      <c r="B18" s="33" t="s">
        <v>1272</v>
      </c>
      <c r="C18" s="25" t="s">
        <v>1408</v>
      </c>
      <c r="D18" s="25" t="s">
        <v>1784</v>
      </c>
      <c r="E18" s="33" t="s">
        <v>1660</v>
      </c>
    </row>
    <row r="19" spans="1:17" x14ac:dyDescent="0.25">
      <c r="A19" s="25" t="s">
        <v>1725</v>
      </c>
      <c r="B19" s="33" t="s">
        <v>1435</v>
      </c>
      <c r="C19" s="25" t="s">
        <v>1649</v>
      </c>
      <c r="D19" s="25" t="s">
        <v>1681</v>
      </c>
      <c r="E19" s="33" t="s">
        <v>1518</v>
      </c>
    </row>
    <row r="20" spans="1:17" x14ac:dyDescent="0.25">
      <c r="A20" s="96" t="s">
        <v>1726</v>
      </c>
      <c r="B20" s="96" t="s">
        <v>1288</v>
      </c>
      <c r="C20" s="96" t="s">
        <v>1781</v>
      </c>
      <c r="D20" s="96" t="s">
        <v>1782</v>
      </c>
      <c r="E20" s="96" t="s">
        <v>1655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</row>
    <row r="21" spans="1:17" x14ac:dyDescent="0.25">
      <c r="A21" s="96" t="s">
        <v>1727</v>
      </c>
      <c r="B21" s="96" t="s">
        <v>1299</v>
      </c>
      <c r="C21" s="96" t="s">
        <v>1781</v>
      </c>
      <c r="D21" s="96" t="s">
        <v>1782</v>
      </c>
      <c r="E21" s="96" t="s">
        <v>1655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</row>
    <row r="22" spans="1:17" x14ac:dyDescent="0.25">
      <c r="A22" s="25" t="s">
        <v>1728</v>
      </c>
      <c r="B22" s="33" t="s">
        <v>1438</v>
      </c>
      <c r="C22" s="25" t="s">
        <v>1465</v>
      </c>
      <c r="D22" s="25" t="s">
        <v>1783</v>
      </c>
      <c r="E22" s="33" t="s">
        <v>1660</v>
      </c>
    </row>
    <row r="23" spans="1:17" x14ac:dyDescent="0.25">
      <c r="A23" s="96" t="s">
        <v>1729</v>
      </c>
      <c r="B23" s="96" t="s">
        <v>1437</v>
      </c>
      <c r="C23" s="96" t="s">
        <v>1779</v>
      </c>
      <c r="D23" s="96" t="s">
        <v>1780</v>
      </c>
      <c r="E23" s="96" t="s">
        <v>2071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  <row r="24" spans="1:17" x14ac:dyDescent="0.25">
      <c r="A24" s="96" t="s">
        <v>1853</v>
      </c>
      <c r="B24" s="96" t="s">
        <v>2068</v>
      </c>
      <c r="C24" s="96" t="s">
        <v>1774</v>
      </c>
      <c r="D24" s="96" t="s">
        <v>2069</v>
      </c>
      <c r="E24" s="96" t="s">
        <v>2070</v>
      </c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</row>
    <row r="25" spans="1:17" x14ac:dyDescent="0.25">
      <c r="A25" s="96" t="s">
        <v>1996</v>
      </c>
      <c r="B25" s="96" t="s">
        <v>1268</v>
      </c>
      <c r="C25" s="96" t="s">
        <v>2074</v>
      </c>
      <c r="D25" s="96" t="s">
        <v>1678</v>
      </c>
      <c r="E25" s="96" t="s">
        <v>2070</v>
      </c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</row>
    <row r="26" spans="1:17" x14ac:dyDescent="0.25">
      <c r="A26" s="96" t="s">
        <v>2077</v>
      </c>
      <c r="B26" s="96" t="s">
        <v>2063</v>
      </c>
      <c r="C26" s="96" t="s">
        <v>2066</v>
      </c>
      <c r="D26" s="96" t="s">
        <v>2078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</row>
    <row r="27" spans="1:17" x14ac:dyDescent="0.25">
      <c r="A27" s="96" t="s">
        <v>1997</v>
      </c>
      <c r="B27" s="96" t="s">
        <v>1998</v>
      </c>
      <c r="C27" s="96" t="s">
        <v>2008</v>
      </c>
      <c r="D27" s="96" t="s">
        <v>1679</v>
      </c>
      <c r="E27" s="33" t="s">
        <v>1653</v>
      </c>
      <c r="F27" s="96"/>
      <c r="G27" s="96"/>
      <c r="H27" s="96"/>
      <c r="I27" s="96"/>
      <c r="J27" s="96"/>
      <c r="K27" s="96"/>
      <c r="L27" s="96"/>
      <c r="M27" s="96"/>
      <c r="N27" s="96"/>
      <c r="O27" s="96"/>
    </row>
    <row r="28" spans="1:17" x14ac:dyDescent="0.25">
      <c r="A28" s="25" t="s">
        <v>1730</v>
      </c>
      <c r="B28" s="33" t="s">
        <v>1300</v>
      </c>
      <c r="C28" s="25" t="s">
        <v>2018</v>
      </c>
      <c r="D28" s="25" t="s">
        <v>2076</v>
      </c>
      <c r="E28" s="33" t="s">
        <v>1658</v>
      </c>
    </row>
    <row r="29" spans="1:17" x14ac:dyDescent="0.25">
      <c r="A29" s="25" t="s">
        <v>1731</v>
      </c>
      <c r="B29" s="33" t="s">
        <v>1455</v>
      </c>
      <c r="C29" s="25" t="s">
        <v>1307</v>
      </c>
      <c r="D29" s="25" t="s">
        <v>1682</v>
      </c>
      <c r="E29" s="33" t="s">
        <v>1653</v>
      </c>
    </row>
    <row r="30" spans="1:17" x14ac:dyDescent="0.25">
      <c r="A30" s="25" t="s">
        <v>1732</v>
      </c>
      <c r="B30" s="33" t="s">
        <v>1456</v>
      </c>
      <c r="C30" s="25" t="s">
        <v>1693</v>
      </c>
      <c r="D30" s="96" t="s">
        <v>2075</v>
      </c>
      <c r="E30" s="33" t="s">
        <v>1657</v>
      </c>
    </row>
    <row r="31" spans="1:17" x14ac:dyDescent="0.25">
      <c r="A31" s="25" t="s">
        <v>1879</v>
      </c>
      <c r="B31" s="33" t="s">
        <v>1884</v>
      </c>
      <c r="C31" s="25" t="s">
        <v>2073</v>
      </c>
      <c r="D31" s="25" t="s">
        <v>1679</v>
      </c>
    </row>
    <row r="32" spans="1:17" x14ac:dyDescent="0.25">
      <c r="A32" s="25" t="s">
        <v>1733</v>
      </c>
      <c r="B32" s="33" t="s">
        <v>1301</v>
      </c>
      <c r="C32" s="25" t="s">
        <v>1652</v>
      </c>
      <c r="D32" s="25" t="s">
        <v>1683</v>
      </c>
      <c r="E32" s="33" t="s">
        <v>1656</v>
      </c>
    </row>
    <row r="33" spans="1:15" x14ac:dyDescent="0.25">
      <c r="A33" s="96" t="s">
        <v>1734</v>
      </c>
      <c r="B33" s="96" t="s">
        <v>1667</v>
      </c>
      <c r="C33" s="96" t="s">
        <v>2019</v>
      </c>
      <c r="D33" s="96" t="s">
        <v>2079</v>
      </c>
      <c r="E33" s="33" t="s">
        <v>1653</v>
      </c>
      <c r="F33" s="96"/>
      <c r="G33" s="96"/>
      <c r="H33" s="96"/>
      <c r="I33" s="96"/>
      <c r="J33" s="96"/>
      <c r="K33" s="96"/>
      <c r="L33" s="96"/>
      <c r="M33" s="96"/>
      <c r="N33" s="96"/>
      <c r="O33" s="96"/>
    </row>
    <row r="34" spans="1:15" x14ac:dyDescent="0.25">
      <c r="A34" s="25" t="s">
        <v>1736</v>
      </c>
      <c r="B34" s="33" t="s">
        <v>1671</v>
      </c>
      <c r="C34" s="25" t="s">
        <v>1759</v>
      </c>
      <c r="D34" s="25" t="s">
        <v>2080</v>
      </c>
      <c r="E34" s="33" t="s">
        <v>1691</v>
      </c>
    </row>
    <row r="35" spans="1:15" x14ac:dyDescent="0.25">
      <c r="A35" s="25" t="s">
        <v>1735</v>
      </c>
      <c r="B35" s="33" t="s">
        <v>1434</v>
      </c>
      <c r="C35" s="25" t="s">
        <v>1519</v>
      </c>
      <c r="D35" s="25" t="s">
        <v>1685</v>
      </c>
      <c r="E35" s="33" t="s">
        <v>1661</v>
      </c>
    </row>
    <row r="36" spans="1:15" x14ac:dyDescent="0.25">
      <c r="A36" s="25" t="s">
        <v>1737</v>
      </c>
      <c r="B36" s="33" t="s">
        <v>1308</v>
      </c>
      <c r="C36" s="25" t="s">
        <v>1309</v>
      </c>
      <c r="D36" s="25" t="s">
        <v>1686</v>
      </c>
      <c r="E36" s="33" t="s">
        <v>1653</v>
      </c>
    </row>
    <row r="37" spans="1:15" x14ac:dyDescent="0.25">
      <c r="A37" s="96" t="s">
        <v>1738</v>
      </c>
      <c r="B37" s="96" t="s">
        <v>1708</v>
      </c>
      <c r="C37" s="96" t="s">
        <v>2021</v>
      </c>
      <c r="D37" s="96" t="s">
        <v>2081</v>
      </c>
      <c r="E37" s="96" t="s">
        <v>1653</v>
      </c>
    </row>
    <row r="38" spans="1:15" x14ac:dyDescent="0.25">
      <c r="A38" s="96" t="s">
        <v>1739</v>
      </c>
      <c r="B38" s="96" t="s">
        <v>1515</v>
      </c>
      <c r="C38" s="96" t="s">
        <v>1775</v>
      </c>
      <c r="D38" s="96" t="s">
        <v>2082</v>
      </c>
      <c r="E38" s="96" t="s">
        <v>1655</v>
      </c>
    </row>
    <row r="39" spans="1:15" x14ac:dyDescent="0.25">
      <c r="A39" s="96" t="s">
        <v>1740</v>
      </c>
      <c r="B39" s="96" t="s">
        <v>1648</v>
      </c>
      <c r="C39" s="96" t="s">
        <v>2022</v>
      </c>
      <c r="D39" s="96" t="s">
        <v>2078</v>
      </c>
      <c r="E39" s="96" t="s">
        <v>1690</v>
      </c>
    </row>
    <row r="40" spans="1:15" x14ac:dyDescent="0.25">
      <c r="A40" s="96" t="s">
        <v>1741</v>
      </c>
      <c r="B40" s="96" t="s">
        <v>1647</v>
      </c>
      <c r="C40" s="96" t="s">
        <v>2024</v>
      </c>
      <c r="D40" s="96" t="s">
        <v>2076</v>
      </c>
      <c r="E40" s="96" t="s">
        <v>1658</v>
      </c>
    </row>
    <row r="41" spans="1:15" x14ac:dyDescent="0.25">
      <c r="A41" s="96" t="s">
        <v>1742</v>
      </c>
      <c r="B41" s="96" t="s">
        <v>1646</v>
      </c>
      <c r="C41" s="96" t="s">
        <v>2006</v>
      </c>
      <c r="D41" s="96" t="s">
        <v>2072</v>
      </c>
      <c r="E41" s="96" t="s">
        <v>1658</v>
      </c>
    </row>
    <row r="42" spans="1:15" x14ac:dyDescent="0.25">
      <c r="A42" s="25" t="s">
        <v>1743</v>
      </c>
      <c r="B42" s="33" t="s">
        <v>1645</v>
      </c>
      <c r="C42" s="25" t="s">
        <v>1460</v>
      </c>
      <c r="D42" s="25" t="s">
        <v>1687</v>
      </c>
      <c r="E42" s="33" t="s">
        <v>1653</v>
      </c>
    </row>
    <row r="43" spans="1:15" x14ac:dyDescent="0.25">
      <c r="A43" s="70" t="s">
        <v>1744</v>
      </c>
      <c r="B43" s="33" t="s">
        <v>1751</v>
      </c>
      <c r="C43" s="25" t="s">
        <v>1461</v>
      </c>
      <c r="D43" s="25" t="s">
        <v>1704</v>
      </c>
      <c r="E43" s="33" t="s">
        <v>1654</v>
      </c>
    </row>
    <row r="44" spans="1:15" x14ac:dyDescent="0.25">
      <c r="A44" s="96" t="s">
        <v>1968</v>
      </c>
      <c r="B44" s="96" t="s">
        <v>1969</v>
      </c>
      <c r="C44" s="96" t="s">
        <v>1712</v>
      </c>
      <c r="D44" s="96"/>
      <c r="E44" s="96"/>
    </row>
    <row r="45" spans="1:15" x14ac:dyDescent="0.25">
      <c r="A45" s="70" t="s">
        <v>1745</v>
      </c>
      <c r="B45" s="33" t="s">
        <v>1754</v>
      </c>
      <c r="C45" s="25" t="s">
        <v>1756</v>
      </c>
      <c r="D45" s="25" t="s">
        <v>1755</v>
      </c>
      <c r="E45" s="33" t="s">
        <v>1654</v>
      </c>
    </row>
    <row r="46" spans="1:15" x14ac:dyDescent="0.25">
      <c r="A46" s="70" t="s">
        <v>1757</v>
      </c>
      <c r="B46" s="33" t="s">
        <v>1753</v>
      </c>
      <c r="C46" s="25" t="s">
        <v>1700</v>
      </c>
      <c r="E46" s="33" t="s">
        <v>1654</v>
      </c>
    </row>
    <row r="47" spans="1:15" x14ac:dyDescent="0.25">
      <c r="A47" s="70" t="s">
        <v>1758</v>
      </c>
      <c r="B47" s="33" t="s">
        <v>1752</v>
      </c>
      <c r="C47" s="25" t="s">
        <v>1700</v>
      </c>
      <c r="E47" s="33" t="s">
        <v>1654</v>
      </c>
    </row>
    <row r="50" spans="2:2" ht="15.75" x14ac:dyDescent="0.25">
      <c r="B50" s="35" t="s">
        <v>1516</v>
      </c>
    </row>
    <row r="65" spans="2:5" s="25" customFormat="1" x14ac:dyDescent="0.25">
      <c r="B65" s="26"/>
      <c r="E65" s="33"/>
    </row>
    <row r="66" spans="2:5" s="25" customFormat="1" x14ac:dyDescent="0.25">
      <c r="E66" s="33"/>
    </row>
    <row r="67" spans="2:5" s="25" customFormat="1" x14ac:dyDescent="0.25">
      <c r="E67" s="33"/>
    </row>
    <row r="68" spans="2:5" s="25" customFormat="1" x14ac:dyDescent="0.25">
      <c r="E68" s="33"/>
    </row>
    <row r="69" spans="2:5" s="25" customFormat="1" x14ac:dyDescent="0.25">
      <c r="E69" s="33"/>
    </row>
    <row r="70" spans="2:5" s="25" customFormat="1" x14ac:dyDescent="0.25">
      <c r="E70" s="33"/>
    </row>
    <row r="71" spans="2:5" s="25" customFormat="1" x14ac:dyDescent="0.25">
      <c r="E71" s="33"/>
    </row>
    <row r="72" spans="2:5" s="25" customFormat="1" x14ac:dyDescent="0.25">
      <c r="E72" s="33"/>
    </row>
    <row r="73" spans="2:5" s="25" customFormat="1" x14ac:dyDescent="0.25">
      <c r="E73" s="33"/>
    </row>
    <row r="74" spans="2:5" s="25" customFormat="1" x14ac:dyDescent="0.25">
      <c r="E74" s="33"/>
    </row>
    <row r="75" spans="2:5" s="25" customFormat="1" x14ac:dyDescent="0.25">
      <c r="E75" s="33"/>
    </row>
    <row r="76" spans="2:5" s="25" customFormat="1" x14ac:dyDescent="0.25">
      <c r="E76" s="33"/>
    </row>
    <row r="77" spans="2:5" s="25" customFormat="1" x14ac:dyDescent="0.25">
      <c r="E77" s="33"/>
    </row>
    <row r="78" spans="2:5" s="25" customFormat="1" x14ac:dyDescent="0.25">
      <c r="E78" s="33"/>
    </row>
    <row r="79" spans="2:5" s="25" customFormat="1" x14ac:dyDescent="0.25">
      <c r="E79" s="33"/>
    </row>
    <row r="80" spans="2:5" s="25" customFormat="1" x14ac:dyDescent="0.25">
      <c r="E80" s="33"/>
    </row>
    <row r="81" spans="5:5" s="25" customFormat="1" x14ac:dyDescent="0.25">
      <c r="E81" s="33"/>
    </row>
    <row r="82" spans="5:5" s="25" customFormat="1" x14ac:dyDescent="0.25">
      <c r="E82" s="33"/>
    </row>
    <row r="83" spans="5:5" s="25" customFormat="1" x14ac:dyDescent="0.25">
      <c r="E83" s="33"/>
    </row>
    <row r="84" spans="5:5" s="25" customFormat="1" x14ac:dyDescent="0.25">
      <c r="E84" s="33"/>
    </row>
    <row r="85" spans="5:5" s="25" customFormat="1" x14ac:dyDescent="0.25">
      <c r="E85" s="33"/>
    </row>
    <row r="86" spans="5:5" s="25" customFormat="1" x14ac:dyDescent="0.25">
      <c r="E86" s="33"/>
    </row>
    <row r="87" spans="5:5" s="25" customFormat="1" x14ac:dyDescent="0.25">
      <c r="E87" s="33"/>
    </row>
    <row r="88" spans="5:5" s="25" customFormat="1" x14ac:dyDescent="0.25">
      <c r="E88" s="33"/>
    </row>
    <row r="89" spans="5:5" s="25" customFormat="1" x14ac:dyDescent="0.25">
      <c r="E89" s="33"/>
    </row>
    <row r="90" spans="5:5" s="25" customFormat="1" x14ac:dyDescent="0.25">
      <c r="E90" s="33"/>
    </row>
    <row r="91" spans="5:5" s="25" customFormat="1" x14ac:dyDescent="0.25">
      <c r="E91" s="33"/>
    </row>
    <row r="92" spans="5:5" s="25" customFormat="1" x14ac:dyDescent="0.25">
      <c r="E92" s="33"/>
    </row>
    <row r="93" spans="5:5" s="25" customFormat="1" x14ac:dyDescent="0.25">
      <c r="E93" s="33"/>
    </row>
    <row r="94" spans="5:5" s="25" customFormat="1" x14ac:dyDescent="0.25">
      <c r="E94" s="33"/>
    </row>
    <row r="95" spans="5:5" s="25" customFormat="1" x14ac:dyDescent="0.25">
      <c r="E95" s="33"/>
    </row>
    <row r="96" spans="5:5" s="25" customFormat="1" x14ac:dyDescent="0.25">
      <c r="E96" s="33"/>
    </row>
    <row r="97" spans="5:5" s="25" customFormat="1" x14ac:dyDescent="0.25">
      <c r="E97" s="33"/>
    </row>
    <row r="98" spans="5:5" s="25" customFormat="1" x14ac:dyDescent="0.25">
      <c r="E98" s="33"/>
    </row>
    <row r="99" spans="5:5" s="25" customFormat="1" x14ac:dyDescent="0.25">
      <c r="E99" s="33"/>
    </row>
    <row r="100" spans="5:5" s="25" customFormat="1" x14ac:dyDescent="0.25">
      <c r="E100" s="33"/>
    </row>
    <row r="101" spans="5:5" s="25" customFormat="1" x14ac:dyDescent="0.25">
      <c r="E101" s="33"/>
    </row>
    <row r="102" spans="5:5" s="25" customFormat="1" x14ac:dyDescent="0.25">
      <c r="E102" s="33"/>
    </row>
    <row r="103" spans="5:5" s="25" customFormat="1" x14ac:dyDescent="0.25">
      <c r="E103" s="33"/>
    </row>
    <row r="104" spans="5:5" s="25" customFormat="1" x14ac:dyDescent="0.25">
      <c r="E104" s="33"/>
    </row>
    <row r="105" spans="5:5" s="25" customFormat="1" x14ac:dyDescent="0.25">
      <c r="E105" s="33"/>
    </row>
    <row r="106" spans="5:5" s="25" customFormat="1" x14ac:dyDescent="0.25">
      <c r="E106" s="33"/>
    </row>
    <row r="107" spans="5:5" s="25" customFormat="1" x14ac:dyDescent="0.25">
      <c r="E107" s="33"/>
    </row>
    <row r="108" spans="5:5" s="25" customFormat="1" x14ac:dyDescent="0.25">
      <c r="E108" s="33"/>
    </row>
    <row r="109" spans="5:5" s="25" customFormat="1" x14ac:dyDescent="0.25">
      <c r="E109" s="33"/>
    </row>
    <row r="110" spans="5:5" s="25" customFormat="1" x14ac:dyDescent="0.25">
      <c r="E110" s="33"/>
    </row>
    <row r="111" spans="5:5" s="25" customFormat="1" x14ac:dyDescent="0.25">
      <c r="E111" s="33"/>
    </row>
    <row r="112" spans="5:5" s="25" customFormat="1" x14ac:dyDescent="0.25">
      <c r="E112" s="33"/>
    </row>
    <row r="113" spans="5:5" s="25" customFormat="1" x14ac:dyDescent="0.25">
      <c r="E113" s="33"/>
    </row>
    <row r="114" spans="5:5" s="25" customFormat="1" x14ac:dyDescent="0.25">
      <c r="E114" s="33"/>
    </row>
    <row r="115" spans="5:5" s="25" customFormat="1" x14ac:dyDescent="0.25">
      <c r="E115" s="33"/>
    </row>
    <row r="116" spans="5:5" s="25" customFormat="1" x14ac:dyDescent="0.25">
      <c r="E116" s="33"/>
    </row>
    <row r="117" spans="5:5" s="25" customFormat="1" x14ac:dyDescent="0.25">
      <c r="E117" s="33"/>
    </row>
    <row r="118" spans="5:5" s="25" customFormat="1" x14ac:dyDescent="0.25">
      <c r="E118" s="33"/>
    </row>
    <row r="119" spans="5:5" s="25" customFormat="1" x14ac:dyDescent="0.25">
      <c r="E119" s="33"/>
    </row>
    <row r="120" spans="5:5" s="25" customFormat="1" x14ac:dyDescent="0.25">
      <c r="E120" s="33"/>
    </row>
    <row r="121" spans="5:5" s="25" customFormat="1" x14ac:dyDescent="0.25">
      <c r="E121" s="33"/>
    </row>
    <row r="122" spans="5:5" s="25" customFormat="1" x14ac:dyDescent="0.25">
      <c r="E122" s="33"/>
    </row>
    <row r="123" spans="5:5" s="25" customFormat="1" x14ac:dyDescent="0.25">
      <c r="E123" s="33"/>
    </row>
    <row r="124" spans="5:5" s="25" customFormat="1" x14ac:dyDescent="0.25">
      <c r="E124" s="33"/>
    </row>
    <row r="125" spans="5:5" s="25" customFormat="1" x14ac:dyDescent="0.25">
      <c r="E125" s="33"/>
    </row>
    <row r="126" spans="5:5" s="25" customFormat="1" x14ac:dyDescent="0.25">
      <c r="E126" s="33"/>
    </row>
    <row r="127" spans="5:5" s="25" customFormat="1" x14ac:dyDescent="0.25">
      <c r="E127" s="33"/>
    </row>
    <row r="128" spans="5:5" s="25" customFormat="1" x14ac:dyDescent="0.25">
      <c r="E128" s="33"/>
    </row>
    <row r="129" spans="2:5" s="25" customFormat="1" x14ac:dyDescent="0.25">
      <c r="E129" s="33"/>
    </row>
    <row r="130" spans="2:5" s="25" customFormat="1" x14ac:dyDescent="0.25">
      <c r="E130" s="33"/>
    </row>
    <row r="131" spans="2:5" s="25" customFormat="1" x14ac:dyDescent="0.25">
      <c r="E131" s="33"/>
    </row>
    <row r="132" spans="2:5" s="25" customFormat="1" x14ac:dyDescent="0.25">
      <c r="B132" s="27"/>
      <c r="E132" s="33"/>
    </row>
    <row r="133" spans="2:5" s="25" customFormat="1" x14ac:dyDescent="0.25">
      <c r="B133" s="27"/>
      <c r="E133" s="33"/>
    </row>
    <row r="134" spans="2:5" s="25" customFormat="1" x14ac:dyDescent="0.25">
      <c r="B134" s="27"/>
      <c r="E134" s="33"/>
    </row>
    <row r="135" spans="2:5" s="25" customFormat="1" x14ac:dyDescent="0.25">
      <c r="B135" s="27"/>
      <c r="E135" s="33"/>
    </row>
    <row r="136" spans="2:5" s="25" customFormat="1" x14ac:dyDescent="0.25">
      <c r="B136" s="27"/>
      <c r="E136" s="33"/>
    </row>
    <row r="137" spans="2:5" s="25" customFormat="1" x14ac:dyDescent="0.25">
      <c r="B137" s="27"/>
      <c r="E137" s="33"/>
    </row>
    <row r="138" spans="2:5" s="25" customFormat="1" x14ac:dyDescent="0.25">
      <c r="B138" s="27"/>
      <c r="E138" s="33"/>
    </row>
    <row r="139" spans="2:5" s="25" customFormat="1" x14ac:dyDescent="0.25">
      <c r="B139" s="27"/>
      <c r="E139" s="33"/>
    </row>
    <row r="140" spans="2:5" s="25" customFormat="1" x14ac:dyDescent="0.25">
      <c r="B140" s="27"/>
      <c r="E140" s="33"/>
    </row>
    <row r="141" spans="2:5" s="25" customFormat="1" x14ac:dyDescent="0.25">
      <c r="B141" s="27"/>
      <c r="E141" s="33"/>
    </row>
    <row r="142" spans="2:5" s="25" customFormat="1" x14ac:dyDescent="0.25">
      <c r="B142" s="27"/>
      <c r="E142" s="33"/>
    </row>
    <row r="143" spans="2:5" s="25" customFormat="1" x14ac:dyDescent="0.25">
      <c r="B143" s="27"/>
      <c r="E143" s="33"/>
    </row>
    <row r="144" spans="2:5" x14ac:dyDescent="0.25">
      <c r="B144" s="27"/>
    </row>
    <row r="158" spans="2:5" s="25" customFormat="1" x14ac:dyDescent="0.25">
      <c r="B158" s="26"/>
      <c r="E158" s="33"/>
    </row>
    <row r="159" spans="2:5" s="25" customFormat="1" x14ac:dyDescent="0.25">
      <c r="B159" s="28"/>
      <c r="E159" s="33"/>
    </row>
    <row r="160" spans="2:5" s="25" customFormat="1" x14ac:dyDescent="0.25">
      <c r="B160" s="28"/>
      <c r="E160" s="33"/>
    </row>
    <row r="161" spans="2:5" s="25" customFormat="1" x14ac:dyDescent="0.25">
      <c r="B161" s="28"/>
      <c r="E161" s="33"/>
    </row>
    <row r="162" spans="2:5" s="25" customFormat="1" x14ac:dyDescent="0.25">
      <c r="B162" s="28"/>
      <c r="E162" s="33"/>
    </row>
    <row r="163" spans="2:5" s="25" customFormat="1" x14ac:dyDescent="0.25">
      <c r="B163" s="28"/>
      <c r="E163" s="33"/>
    </row>
    <row r="164" spans="2:5" s="25" customFormat="1" x14ac:dyDescent="0.25">
      <c r="B164" s="28"/>
      <c r="E164" s="33"/>
    </row>
    <row r="165" spans="2:5" s="25" customFormat="1" x14ac:dyDescent="0.25">
      <c r="B165" s="28"/>
      <c r="E165" s="33"/>
    </row>
    <row r="166" spans="2:5" s="25" customFormat="1" x14ac:dyDescent="0.25">
      <c r="B166" s="28"/>
      <c r="E166" s="33"/>
    </row>
    <row r="167" spans="2:5" s="25" customFormat="1" x14ac:dyDescent="0.25">
      <c r="B167" s="28"/>
      <c r="E167" s="33"/>
    </row>
    <row r="168" spans="2:5" s="25" customFormat="1" x14ac:dyDescent="0.25">
      <c r="B168" s="28"/>
      <c r="E168" s="33"/>
    </row>
    <row r="169" spans="2:5" s="25" customFormat="1" x14ac:dyDescent="0.25">
      <c r="B169" s="28"/>
      <c r="E169" s="33"/>
    </row>
    <row r="170" spans="2:5" s="25" customFormat="1" x14ac:dyDescent="0.25">
      <c r="B170" s="28"/>
      <c r="E170" s="33"/>
    </row>
    <row r="171" spans="2:5" s="25" customFormat="1" x14ac:dyDescent="0.25">
      <c r="B171" s="28"/>
      <c r="E171" s="33"/>
    </row>
    <row r="172" spans="2:5" s="25" customFormat="1" x14ac:dyDescent="0.25">
      <c r="B172" s="29"/>
      <c r="E172" s="33"/>
    </row>
    <row r="173" spans="2:5" s="25" customFormat="1" x14ac:dyDescent="0.25">
      <c r="B173" s="29"/>
      <c r="E173" s="33"/>
    </row>
    <row r="174" spans="2:5" s="25" customFormat="1" x14ac:dyDescent="0.25">
      <c r="B174" s="29"/>
      <c r="E174" s="33"/>
    </row>
    <row r="175" spans="2:5" x14ac:dyDescent="0.25">
      <c r="B175" s="29"/>
    </row>
    <row r="218" spans="2:5" s="25" customFormat="1" x14ac:dyDescent="0.25">
      <c r="B218" s="26"/>
      <c r="E218" s="33"/>
    </row>
    <row r="219" spans="2:5" s="25" customFormat="1" x14ac:dyDescent="0.25">
      <c r="E219" s="33"/>
    </row>
    <row r="220" spans="2:5" s="25" customFormat="1" x14ac:dyDescent="0.25">
      <c r="E220" s="33"/>
    </row>
    <row r="221" spans="2:5" s="25" customFormat="1" x14ac:dyDescent="0.25">
      <c r="E221" s="33"/>
    </row>
    <row r="222" spans="2:5" s="25" customFormat="1" x14ac:dyDescent="0.25">
      <c r="E222" s="33"/>
    </row>
    <row r="223" spans="2:5" s="25" customFormat="1" x14ac:dyDescent="0.25">
      <c r="E223" s="33"/>
    </row>
    <row r="224" spans="2:5" s="25" customFormat="1" x14ac:dyDescent="0.25">
      <c r="E224" s="33"/>
    </row>
    <row r="225" spans="2:5" s="25" customFormat="1" x14ac:dyDescent="0.25">
      <c r="E225" s="33"/>
    </row>
    <row r="226" spans="2:5" s="25" customFormat="1" x14ac:dyDescent="0.25">
      <c r="E226" s="33"/>
    </row>
    <row r="227" spans="2:5" s="25" customFormat="1" x14ac:dyDescent="0.25">
      <c r="E227" s="33"/>
    </row>
    <row r="228" spans="2:5" s="25" customFormat="1" x14ac:dyDescent="0.25">
      <c r="E228" s="33"/>
    </row>
    <row r="229" spans="2:5" s="25" customFormat="1" x14ac:dyDescent="0.25">
      <c r="E229" s="33"/>
    </row>
    <row r="230" spans="2:5" s="25" customFormat="1" x14ac:dyDescent="0.25">
      <c r="E230" s="33"/>
    </row>
    <row r="231" spans="2:5" s="25" customFormat="1" x14ac:dyDescent="0.25">
      <c r="E231" s="33"/>
    </row>
    <row r="232" spans="2:5" s="25" customFormat="1" x14ac:dyDescent="0.25">
      <c r="E232" s="33"/>
    </row>
    <row r="233" spans="2:5" s="25" customFormat="1" x14ac:dyDescent="0.25">
      <c r="E233" s="33"/>
    </row>
    <row r="234" spans="2:5" s="25" customFormat="1" x14ac:dyDescent="0.25">
      <c r="E234" s="33"/>
    </row>
    <row r="235" spans="2:5" s="25" customFormat="1" x14ac:dyDescent="0.25">
      <c r="E235" s="33"/>
    </row>
    <row r="236" spans="2:5" s="25" customFormat="1" x14ac:dyDescent="0.25">
      <c r="E236" s="33"/>
    </row>
    <row r="237" spans="2:5" x14ac:dyDescent="0.25">
      <c r="B237" s="25"/>
    </row>
    <row r="239" spans="2:5" s="25" customFormat="1" x14ac:dyDescent="0.25">
      <c r="B239" s="26"/>
      <c r="E239" s="33"/>
    </row>
    <row r="240" spans="2:5" s="25" customFormat="1" x14ac:dyDescent="0.25">
      <c r="B240" s="30"/>
      <c r="E240" s="33"/>
    </row>
    <row r="241" spans="2:5" x14ac:dyDescent="0.25">
      <c r="B241" s="30"/>
    </row>
    <row r="245" spans="2:5" s="25" customFormat="1" x14ac:dyDescent="0.25">
      <c r="B245" s="26"/>
      <c r="E245" s="33"/>
    </row>
    <row r="246" spans="2:5" s="25" customFormat="1" x14ac:dyDescent="0.25">
      <c r="E246" s="33"/>
    </row>
    <row r="247" spans="2:5" s="25" customFormat="1" x14ac:dyDescent="0.25">
      <c r="E247" s="33"/>
    </row>
    <row r="248" spans="2:5" s="25" customFormat="1" x14ac:dyDescent="0.25">
      <c r="E248" s="33"/>
    </row>
    <row r="249" spans="2:5" s="25" customFormat="1" x14ac:dyDescent="0.25">
      <c r="E249" s="33"/>
    </row>
    <row r="250" spans="2:5" s="25" customFormat="1" x14ac:dyDescent="0.25">
      <c r="E250" s="33"/>
    </row>
    <row r="251" spans="2:5" x14ac:dyDescent="0.25">
      <c r="B251" s="25"/>
    </row>
    <row r="277" spans="2:5" s="25" customFormat="1" x14ac:dyDescent="0.25">
      <c r="B277" s="26"/>
      <c r="E277" s="33"/>
    </row>
    <row r="278" spans="2:5" s="25" customFormat="1" x14ac:dyDescent="0.25">
      <c r="B278" s="31"/>
      <c r="E278" s="33"/>
    </row>
    <row r="279" spans="2:5" s="25" customFormat="1" x14ac:dyDescent="0.25">
      <c r="B279" s="31"/>
      <c r="E279" s="33"/>
    </row>
    <row r="280" spans="2:5" s="25" customFormat="1" x14ac:dyDescent="0.25">
      <c r="B280" s="31"/>
      <c r="E280" s="33"/>
    </row>
    <row r="281" spans="2:5" x14ac:dyDescent="0.25">
      <c r="B281" s="31"/>
    </row>
    <row r="288" spans="2:5" s="25" customFormat="1" x14ac:dyDescent="0.25">
      <c r="B288" s="26"/>
      <c r="E288" s="33"/>
    </row>
    <row r="289" spans="5:5" s="25" customFormat="1" x14ac:dyDescent="0.25">
      <c r="E289" s="33"/>
    </row>
    <row r="290" spans="5:5" s="25" customFormat="1" x14ac:dyDescent="0.25">
      <c r="E290" s="33"/>
    </row>
    <row r="291" spans="5:5" s="25" customFormat="1" x14ac:dyDescent="0.25">
      <c r="E291" s="33"/>
    </row>
    <row r="292" spans="5:5" s="25" customFormat="1" x14ac:dyDescent="0.25">
      <c r="E292" s="33"/>
    </row>
    <row r="293" spans="5:5" s="25" customFormat="1" x14ac:dyDescent="0.25">
      <c r="E293" s="33"/>
    </row>
    <row r="294" spans="5:5" s="25" customFormat="1" x14ac:dyDescent="0.25">
      <c r="E294" s="33"/>
    </row>
    <row r="295" spans="5:5" s="25" customFormat="1" x14ac:dyDescent="0.25">
      <c r="E295" s="33"/>
    </row>
    <row r="296" spans="5:5" s="25" customFormat="1" x14ac:dyDescent="0.25">
      <c r="E296" s="33"/>
    </row>
    <row r="297" spans="5:5" s="25" customFormat="1" x14ac:dyDescent="0.25">
      <c r="E297" s="33"/>
    </row>
    <row r="298" spans="5:5" s="25" customFormat="1" x14ac:dyDescent="0.25">
      <c r="E298" s="33"/>
    </row>
    <row r="299" spans="5:5" s="25" customFormat="1" x14ac:dyDescent="0.25">
      <c r="E299" s="33"/>
    </row>
    <row r="300" spans="5:5" s="25" customFormat="1" x14ac:dyDescent="0.25">
      <c r="E300" s="33"/>
    </row>
    <row r="301" spans="5:5" s="25" customFormat="1" x14ac:dyDescent="0.25">
      <c r="E301" s="33"/>
    </row>
    <row r="302" spans="5:5" s="25" customFormat="1" x14ac:dyDescent="0.25">
      <c r="E302" s="33"/>
    </row>
    <row r="303" spans="5:5" s="25" customFormat="1" x14ac:dyDescent="0.25">
      <c r="E303" s="33"/>
    </row>
    <row r="304" spans="5:5" s="25" customFormat="1" x14ac:dyDescent="0.25">
      <c r="E304" s="33"/>
    </row>
    <row r="305" spans="2:5" s="25" customFormat="1" x14ac:dyDescent="0.25">
      <c r="E305" s="33"/>
    </row>
    <row r="306" spans="2:5" s="25" customFormat="1" x14ac:dyDescent="0.25">
      <c r="E306" s="33"/>
    </row>
    <row r="307" spans="2:5" s="25" customFormat="1" x14ac:dyDescent="0.25">
      <c r="E307" s="33"/>
    </row>
    <row r="308" spans="2:5" s="25" customFormat="1" x14ac:dyDescent="0.25">
      <c r="E308" s="33"/>
    </row>
    <row r="309" spans="2:5" s="25" customFormat="1" x14ac:dyDescent="0.25">
      <c r="E309" s="33"/>
    </row>
    <row r="310" spans="2:5" x14ac:dyDescent="0.25">
      <c r="B310" s="25"/>
    </row>
    <row r="311" spans="2:5" s="25" customFormat="1" x14ac:dyDescent="0.25">
      <c r="B311" s="26"/>
      <c r="E311" s="33"/>
    </row>
    <row r="312" spans="2:5" x14ac:dyDescent="0.25">
      <c r="B312" s="25"/>
    </row>
    <row r="313" spans="2:5" s="25" customFormat="1" x14ac:dyDescent="0.25">
      <c r="B313" s="26"/>
      <c r="E313" s="33"/>
    </row>
    <row r="314" spans="2:5" s="25" customFormat="1" x14ac:dyDescent="0.25">
      <c r="B314" s="27"/>
      <c r="E314" s="33"/>
    </row>
    <row r="315" spans="2:5" s="25" customFormat="1" x14ac:dyDescent="0.25">
      <c r="B315" s="27"/>
      <c r="E315" s="33"/>
    </row>
    <row r="316" spans="2:5" s="25" customFormat="1" x14ac:dyDescent="0.25">
      <c r="B316" s="27"/>
      <c r="E316" s="33"/>
    </row>
    <row r="317" spans="2:5" s="25" customFormat="1" x14ac:dyDescent="0.25">
      <c r="B317" s="27"/>
      <c r="E317" s="33"/>
    </row>
    <row r="318" spans="2:5" s="25" customFormat="1" x14ac:dyDescent="0.25">
      <c r="B318" s="27"/>
      <c r="E318" s="33"/>
    </row>
    <row r="319" spans="2:5" s="25" customFormat="1" x14ac:dyDescent="0.25">
      <c r="B319" s="27"/>
      <c r="E319" s="33"/>
    </row>
    <row r="320" spans="2:5" s="25" customFormat="1" x14ac:dyDescent="0.25">
      <c r="B320" s="27"/>
      <c r="E320" s="33"/>
    </row>
    <row r="321" spans="2:2" x14ac:dyDescent="0.25">
      <c r="B321" s="27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4" sqref="C34"/>
    </sheetView>
  </sheetViews>
  <sheetFormatPr defaultRowHeight="15" x14ac:dyDescent="0.25"/>
  <cols>
    <col min="1" max="1" width="16.5703125" style="25" customWidth="1"/>
    <col min="2" max="2" width="54" style="26" customWidth="1"/>
    <col min="3" max="3" width="75" style="25" customWidth="1"/>
    <col min="4" max="4" width="44" style="25" customWidth="1"/>
    <col min="5" max="5" width="70.7109375" customWidth="1"/>
  </cols>
  <sheetData>
    <row r="1" spans="1:5" s="32" customFormat="1" ht="31.5" x14ac:dyDescent="0.25">
      <c r="A1" s="69" t="s">
        <v>1749</v>
      </c>
      <c r="B1" s="34" t="s">
        <v>1243</v>
      </c>
      <c r="C1" s="72" t="s">
        <v>1233</v>
      </c>
      <c r="D1" s="72" t="s">
        <v>1701</v>
      </c>
      <c r="E1" s="32" t="s">
        <v>1517</v>
      </c>
    </row>
    <row r="2" spans="1:5" x14ac:dyDescent="0.25">
      <c r="A2" s="25">
        <v>40100101</v>
      </c>
      <c r="B2" s="26" t="s">
        <v>1699</v>
      </c>
      <c r="C2" s="25" t="s">
        <v>1694</v>
      </c>
      <c r="D2" s="25" t="s">
        <v>1256</v>
      </c>
      <c r="E2" t="s">
        <v>1702</v>
      </c>
    </row>
    <row r="3" spans="1:5" x14ac:dyDescent="0.25">
      <c r="A3" s="25">
        <v>31502101</v>
      </c>
      <c r="B3" s="26" t="s">
        <v>1695</v>
      </c>
      <c r="C3" s="25" t="s">
        <v>1694</v>
      </c>
      <c r="D3" s="25" t="s">
        <v>1256</v>
      </c>
      <c r="E3" s="33" t="s">
        <v>1702</v>
      </c>
    </row>
    <row r="4" spans="1:5" x14ac:dyDescent="0.25">
      <c r="A4" s="25">
        <v>50100701</v>
      </c>
      <c r="B4" s="26" t="s">
        <v>1696</v>
      </c>
      <c r="C4" s="25" t="s">
        <v>1693</v>
      </c>
      <c r="D4" s="25" t="s">
        <v>1256</v>
      </c>
      <c r="E4" s="33" t="s">
        <v>1702</v>
      </c>
    </row>
    <row r="5" spans="1:5" x14ac:dyDescent="0.25">
      <c r="A5" s="25">
        <v>50100402</v>
      </c>
      <c r="B5" s="26" t="s">
        <v>1697</v>
      </c>
      <c r="C5" s="25" t="s">
        <v>1693</v>
      </c>
      <c r="D5" s="25" t="s">
        <v>1256</v>
      </c>
      <c r="E5" s="33" t="s">
        <v>1702</v>
      </c>
    </row>
    <row r="6" spans="1:5" x14ac:dyDescent="0.25">
      <c r="A6" s="25" t="s">
        <v>1714</v>
      </c>
      <c r="B6" s="26" t="s">
        <v>1698</v>
      </c>
      <c r="C6" s="25" t="s">
        <v>1309</v>
      </c>
      <c r="D6" s="25" t="s">
        <v>1686</v>
      </c>
      <c r="E6" t="s">
        <v>1703</v>
      </c>
    </row>
    <row r="7" spans="1:5" x14ac:dyDescent="0.25">
      <c r="A7" s="71" t="s">
        <v>1748</v>
      </c>
      <c r="B7" s="33" t="s">
        <v>1234</v>
      </c>
      <c r="C7" s="25" t="s">
        <v>1693</v>
      </c>
      <c r="D7" s="25" t="s">
        <v>1256</v>
      </c>
      <c r="E7" s="33" t="s">
        <v>1692</v>
      </c>
    </row>
    <row r="8" spans="1:5" x14ac:dyDescent="0.25">
      <c r="A8" s="25" t="s">
        <v>1715</v>
      </c>
      <c r="B8" s="33" t="s">
        <v>1244</v>
      </c>
      <c r="C8" s="25" t="s">
        <v>1650</v>
      </c>
      <c r="D8" s="25" t="s">
        <v>1672</v>
      </c>
      <c r="E8" s="33" t="s">
        <v>1658</v>
      </c>
    </row>
    <row r="9" spans="1:5" x14ac:dyDescent="0.25">
      <c r="A9" s="25" t="s">
        <v>1750</v>
      </c>
      <c r="B9" s="33" t="s">
        <v>1705</v>
      </c>
      <c r="C9" s="25" t="s">
        <v>1450</v>
      </c>
      <c r="D9" s="25" t="s">
        <v>1673</v>
      </c>
      <c r="E9" t="s">
        <v>1653</v>
      </c>
    </row>
    <row r="10" spans="1:5" x14ac:dyDescent="0.25">
      <c r="A10" s="25" t="s">
        <v>1716</v>
      </c>
      <c r="B10" s="33" t="s">
        <v>1446</v>
      </c>
      <c r="C10" s="25" t="s">
        <v>1447</v>
      </c>
      <c r="D10" s="25" t="s">
        <v>1674</v>
      </c>
      <c r="E10" t="s">
        <v>1655</v>
      </c>
    </row>
    <row r="11" spans="1:5" x14ac:dyDescent="0.25">
      <c r="A11" s="25" t="s">
        <v>1718</v>
      </c>
      <c r="B11" s="33" t="s">
        <v>1261</v>
      </c>
      <c r="C11" s="25" t="s">
        <v>1669</v>
      </c>
      <c r="D11" s="25" t="s">
        <v>1675</v>
      </c>
      <c r="E11" s="33" t="s">
        <v>1658</v>
      </c>
    </row>
    <row r="12" spans="1:5" x14ac:dyDescent="0.25">
      <c r="A12" s="25" t="s">
        <v>1719</v>
      </c>
      <c r="B12" s="33" t="s">
        <v>1267</v>
      </c>
      <c r="C12" s="25" t="s">
        <v>1462</v>
      </c>
      <c r="D12" s="25" t="s">
        <v>1676</v>
      </c>
      <c r="E12" t="s">
        <v>1518</v>
      </c>
    </row>
    <row r="13" spans="1:5" x14ac:dyDescent="0.25">
      <c r="A13" s="25" t="s">
        <v>1720</v>
      </c>
      <c r="B13" s="33" t="s">
        <v>1706</v>
      </c>
      <c r="C13" s="25" t="s">
        <v>1461</v>
      </c>
      <c r="D13" s="25" t="s">
        <v>1704</v>
      </c>
      <c r="E13" t="s">
        <v>1654</v>
      </c>
    </row>
    <row r="14" spans="1:5" x14ac:dyDescent="0.25">
      <c r="A14" s="25" t="s">
        <v>1721</v>
      </c>
      <c r="B14" s="33" t="s">
        <v>1707</v>
      </c>
      <c r="C14" s="25" t="s">
        <v>1245</v>
      </c>
      <c r="D14" s="25" t="s">
        <v>1677</v>
      </c>
      <c r="E14" s="33" t="s">
        <v>1653</v>
      </c>
    </row>
    <row r="15" spans="1:5" x14ac:dyDescent="0.25">
      <c r="A15" s="25" t="s">
        <v>1722</v>
      </c>
      <c r="B15" s="33" t="s">
        <v>1268</v>
      </c>
      <c r="C15" s="25" t="s">
        <v>1270</v>
      </c>
      <c r="D15" s="25" t="s">
        <v>1678</v>
      </c>
      <c r="E15" t="s">
        <v>1655</v>
      </c>
    </row>
    <row r="16" spans="1:5" x14ac:dyDescent="0.25">
      <c r="A16" s="25" t="s">
        <v>1723</v>
      </c>
      <c r="B16" s="33" t="s">
        <v>1271</v>
      </c>
      <c r="C16" s="25" t="s">
        <v>1407</v>
      </c>
      <c r="D16" s="25" t="s">
        <v>1679</v>
      </c>
      <c r="E16" s="33" t="s">
        <v>1653</v>
      </c>
    </row>
    <row r="17" spans="1:5" x14ac:dyDescent="0.25">
      <c r="A17" s="25" t="s">
        <v>1724</v>
      </c>
      <c r="B17" s="33" t="s">
        <v>1272</v>
      </c>
      <c r="C17" s="25" t="s">
        <v>1408</v>
      </c>
      <c r="D17" s="25" t="s">
        <v>1680</v>
      </c>
      <c r="E17" s="33" t="s">
        <v>1660</v>
      </c>
    </row>
    <row r="18" spans="1:5" x14ac:dyDescent="0.25">
      <c r="A18" s="25" t="s">
        <v>1725</v>
      </c>
      <c r="B18" s="33" t="s">
        <v>1435</v>
      </c>
      <c r="C18" s="25" t="s">
        <v>1649</v>
      </c>
      <c r="D18" s="25" t="s">
        <v>1681</v>
      </c>
      <c r="E18" t="s">
        <v>1518</v>
      </c>
    </row>
    <row r="19" spans="1:5" x14ac:dyDescent="0.25">
      <c r="A19" s="25" t="s">
        <v>1726</v>
      </c>
      <c r="B19" s="33" t="s">
        <v>1288</v>
      </c>
      <c r="C19" s="25" t="s">
        <v>1270</v>
      </c>
      <c r="D19" s="25" t="s">
        <v>1678</v>
      </c>
      <c r="E19" t="s">
        <v>1655</v>
      </c>
    </row>
    <row r="20" spans="1:5" x14ac:dyDescent="0.25">
      <c r="A20" s="25" t="s">
        <v>1727</v>
      </c>
      <c r="B20" s="33" t="s">
        <v>1299</v>
      </c>
      <c r="C20" s="25" t="s">
        <v>1464</v>
      </c>
      <c r="E20" s="33" t="s">
        <v>1659</v>
      </c>
    </row>
    <row r="21" spans="1:5" x14ac:dyDescent="0.25">
      <c r="A21" s="25" t="s">
        <v>1728</v>
      </c>
      <c r="B21" s="33" t="s">
        <v>1438</v>
      </c>
      <c r="C21" s="25" t="s">
        <v>1465</v>
      </c>
      <c r="E21" s="33" t="s">
        <v>1660</v>
      </c>
    </row>
    <row r="22" spans="1:5" x14ac:dyDescent="0.25">
      <c r="A22" s="25" t="s">
        <v>1729</v>
      </c>
      <c r="B22" s="33" t="s">
        <v>1437</v>
      </c>
      <c r="C22" s="25" t="s">
        <v>1464</v>
      </c>
      <c r="E22" t="s">
        <v>1659</v>
      </c>
    </row>
    <row r="23" spans="1:5" x14ac:dyDescent="0.25">
      <c r="A23" s="25" t="s">
        <v>1730</v>
      </c>
      <c r="B23" s="33" t="s">
        <v>1300</v>
      </c>
      <c r="C23" s="25" t="s">
        <v>1651</v>
      </c>
      <c r="D23" s="25" t="s">
        <v>1672</v>
      </c>
      <c r="E23" s="33" t="s">
        <v>1658</v>
      </c>
    </row>
    <row r="24" spans="1:5" x14ac:dyDescent="0.25">
      <c r="A24" s="25" t="s">
        <v>1731</v>
      </c>
      <c r="B24" s="33" t="s">
        <v>1455</v>
      </c>
      <c r="C24" s="25" t="s">
        <v>1307</v>
      </c>
      <c r="D24" s="25" t="s">
        <v>1682</v>
      </c>
      <c r="E24" s="33" t="s">
        <v>1653</v>
      </c>
    </row>
    <row r="25" spans="1:5" x14ac:dyDescent="0.25">
      <c r="A25" s="25" t="s">
        <v>1732</v>
      </c>
      <c r="B25" s="33" t="s">
        <v>1456</v>
      </c>
      <c r="C25" s="25" t="s">
        <v>1693</v>
      </c>
      <c r="E25" t="s">
        <v>1657</v>
      </c>
    </row>
    <row r="26" spans="1:5" x14ac:dyDescent="0.25">
      <c r="A26" s="25" t="s">
        <v>1733</v>
      </c>
      <c r="B26" s="33" t="s">
        <v>1301</v>
      </c>
      <c r="C26" s="25" t="s">
        <v>1652</v>
      </c>
      <c r="D26" s="25" t="s">
        <v>1683</v>
      </c>
      <c r="E26" t="s">
        <v>1656</v>
      </c>
    </row>
    <row r="27" spans="1:5" x14ac:dyDescent="0.25">
      <c r="A27" s="25" t="s">
        <v>1734</v>
      </c>
      <c r="B27" s="33" t="s">
        <v>1667</v>
      </c>
      <c r="C27" s="25" t="s">
        <v>1302</v>
      </c>
      <c r="D27" s="25" t="s">
        <v>1684</v>
      </c>
      <c r="E27" s="33" t="s">
        <v>1653</v>
      </c>
    </row>
    <row r="28" spans="1:5" s="33" customFormat="1" x14ac:dyDescent="0.25">
      <c r="A28" s="25" t="s">
        <v>1736</v>
      </c>
      <c r="B28" s="33" t="s">
        <v>1671</v>
      </c>
      <c r="C28" s="25" t="s">
        <v>1759</v>
      </c>
      <c r="D28" s="25"/>
      <c r="E28" s="33" t="s">
        <v>1691</v>
      </c>
    </row>
    <row r="29" spans="1:5" s="33" customFormat="1" x14ac:dyDescent="0.25">
      <c r="A29" s="25" t="s">
        <v>1735</v>
      </c>
      <c r="B29" s="33" t="s">
        <v>1434</v>
      </c>
      <c r="C29" s="25" t="s">
        <v>1519</v>
      </c>
      <c r="D29" s="25" t="s">
        <v>1685</v>
      </c>
      <c r="E29" s="33" t="s">
        <v>1661</v>
      </c>
    </row>
    <row r="30" spans="1:5" s="33" customFormat="1" x14ac:dyDescent="0.25">
      <c r="A30" s="25" t="s">
        <v>1737</v>
      </c>
      <c r="B30" s="33" t="s">
        <v>1308</v>
      </c>
      <c r="C30" s="25" t="s">
        <v>1309</v>
      </c>
      <c r="D30" s="25" t="s">
        <v>1686</v>
      </c>
      <c r="E30" s="33" t="s">
        <v>1653</v>
      </c>
    </row>
    <row r="31" spans="1:5" s="33" customFormat="1" x14ac:dyDescent="0.25">
      <c r="A31" s="25" t="s">
        <v>1738</v>
      </c>
      <c r="B31" s="33" t="s">
        <v>1708</v>
      </c>
      <c r="C31" s="25" t="s">
        <v>1450</v>
      </c>
      <c r="D31" s="25" t="s">
        <v>1673</v>
      </c>
      <c r="E31" s="33" t="s">
        <v>1653</v>
      </c>
    </row>
    <row r="32" spans="1:5" s="33" customFormat="1" x14ac:dyDescent="0.25">
      <c r="A32" s="25" t="s">
        <v>1739</v>
      </c>
      <c r="B32" s="33" t="s">
        <v>1515</v>
      </c>
      <c r="C32" s="25" t="s">
        <v>1270</v>
      </c>
      <c r="D32" s="25" t="s">
        <v>1678</v>
      </c>
      <c r="E32" t="s">
        <v>1655</v>
      </c>
    </row>
    <row r="33" spans="1:5" s="33" customFormat="1" x14ac:dyDescent="0.25">
      <c r="A33" s="25" t="s">
        <v>1740</v>
      </c>
      <c r="B33" s="33" t="s">
        <v>1648</v>
      </c>
      <c r="C33" s="26" t="s">
        <v>1689</v>
      </c>
      <c r="D33" s="25" t="s">
        <v>1688</v>
      </c>
      <c r="E33" s="33" t="s">
        <v>1690</v>
      </c>
    </row>
    <row r="34" spans="1:5" s="33" customFormat="1" x14ac:dyDescent="0.25">
      <c r="A34" s="25" t="s">
        <v>1741</v>
      </c>
      <c r="B34" s="33" t="s">
        <v>1647</v>
      </c>
      <c r="C34" s="25" t="s">
        <v>1651</v>
      </c>
      <c r="D34" s="25" t="s">
        <v>1672</v>
      </c>
      <c r="E34" s="33" t="s">
        <v>1658</v>
      </c>
    </row>
    <row r="35" spans="1:5" s="33" customFormat="1" x14ac:dyDescent="0.25">
      <c r="A35" s="25" t="s">
        <v>1742</v>
      </c>
      <c r="B35" s="33" t="s">
        <v>1646</v>
      </c>
      <c r="C35" s="25" t="s">
        <v>1651</v>
      </c>
      <c r="D35" s="25" t="s">
        <v>1672</v>
      </c>
      <c r="E35" s="33" t="s">
        <v>1658</v>
      </c>
    </row>
    <row r="36" spans="1:5" s="33" customFormat="1" x14ac:dyDescent="0.25">
      <c r="A36" s="25" t="s">
        <v>1743</v>
      </c>
      <c r="B36" s="33" t="s">
        <v>1645</v>
      </c>
      <c r="C36" s="25" t="s">
        <v>1460</v>
      </c>
      <c r="D36" s="25" t="s">
        <v>1687</v>
      </c>
      <c r="E36" s="33" t="s">
        <v>1653</v>
      </c>
    </row>
    <row r="37" spans="1:5" s="33" customFormat="1" x14ac:dyDescent="0.25">
      <c r="A37" s="70" t="s">
        <v>1744</v>
      </c>
      <c r="B37" s="33" t="s">
        <v>1751</v>
      </c>
      <c r="C37" s="25" t="s">
        <v>1461</v>
      </c>
      <c r="D37" s="25" t="s">
        <v>1704</v>
      </c>
      <c r="E37" s="33" t="s">
        <v>1654</v>
      </c>
    </row>
    <row r="38" spans="1:5" s="33" customFormat="1" x14ac:dyDescent="0.25">
      <c r="A38" s="70" t="s">
        <v>1745</v>
      </c>
      <c r="B38" s="33" t="s">
        <v>1754</v>
      </c>
      <c r="C38" s="25" t="s">
        <v>1756</v>
      </c>
      <c r="D38" s="25" t="s">
        <v>1755</v>
      </c>
      <c r="E38" s="33" t="s">
        <v>1654</v>
      </c>
    </row>
    <row r="39" spans="1:5" s="33" customFormat="1" x14ac:dyDescent="0.25">
      <c r="A39" s="70" t="s">
        <v>1757</v>
      </c>
      <c r="B39" s="33" t="s">
        <v>1753</v>
      </c>
      <c r="C39" s="25" t="s">
        <v>1700</v>
      </c>
      <c r="D39" s="25"/>
      <c r="E39" s="33" t="s">
        <v>1654</v>
      </c>
    </row>
    <row r="40" spans="1:5" s="33" customFormat="1" x14ac:dyDescent="0.25">
      <c r="A40" s="70" t="s">
        <v>1758</v>
      </c>
      <c r="B40" s="33" t="s">
        <v>1752</v>
      </c>
      <c r="C40" s="25" t="s">
        <v>1700</v>
      </c>
      <c r="D40" s="25"/>
      <c r="E40" s="33" t="s">
        <v>1654</v>
      </c>
    </row>
    <row r="43" spans="1:5" ht="15.75" x14ac:dyDescent="0.25">
      <c r="B43" s="35" t="s">
        <v>1516</v>
      </c>
    </row>
    <row r="59" spans="2:2" x14ac:dyDescent="0.25">
      <c r="B59" s="25"/>
    </row>
    <row r="60" spans="2:2" x14ac:dyDescent="0.25">
      <c r="B60" s="25"/>
    </row>
    <row r="61" spans="2:2" x14ac:dyDescent="0.25">
      <c r="B61" s="25"/>
    </row>
    <row r="62" spans="2:2" x14ac:dyDescent="0.25">
      <c r="B62" s="25"/>
    </row>
    <row r="63" spans="2:2" x14ac:dyDescent="0.25">
      <c r="B63" s="25"/>
    </row>
    <row r="64" spans="2:2" x14ac:dyDescent="0.25">
      <c r="B64" s="25"/>
    </row>
    <row r="65" spans="2:2" x14ac:dyDescent="0.25">
      <c r="B65" s="25"/>
    </row>
    <row r="66" spans="2:2" x14ac:dyDescent="0.25">
      <c r="B66" s="25"/>
    </row>
    <row r="67" spans="2:2" x14ac:dyDescent="0.25">
      <c r="B67" s="25"/>
    </row>
    <row r="68" spans="2:2" x14ac:dyDescent="0.25">
      <c r="B68" s="25"/>
    </row>
    <row r="69" spans="2:2" x14ac:dyDescent="0.25">
      <c r="B69" s="25"/>
    </row>
    <row r="70" spans="2:2" x14ac:dyDescent="0.25">
      <c r="B70" s="25"/>
    </row>
    <row r="71" spans="2:2" x14ac:dyDescent="0.25">
      <c r="B71" s="25"/>
    </row>
    <row r="72" spans="2:2" x14ac:dyDescent="0.25">
      <c r="B72" s="25"/>
    </row>
    <row r="73" spans="2:2" x14ac:dyDescent="0.25">
      <c r="B73" s="25"/>
    </row>
    <row r="74" spans="2:2" x14ac:dyDescent="0.25">
      <c r="B74" s="25"/>
    </row>
    <row r="75" spans="2:2" x14ac:dyDescent="0.25">
      <c r="B75" s="25"/>
    </row>
    <row r="76" spans="2:2" x14ac:dyDescent="0.25">
      <c r="B76" s="25"/>
    </row>
    <row r="77" spans="2:2" x14ac:dyDescent="0.25">
      <c r="B77" s="25"/>
    </row>
    <row r="78" spans="2:2" x14ac:dyDescent="0.25">
      <c r="B78" s="25"/>
    </row>
    <row r="79" spans="2:2" x14ac:dyDescent="0.25">
      <c r="B79" s="25"/>
    </row>
    <row r="80" spans="2:2" x14ac:dyDescent="0.25">
      <c r="B80" s="25"/>
    </row>
    <row r="81" spans="2:2" x14ac:dyDescent="0.25">
      <c r="B81" s="25"/>
    </row>
    <row r="82" spans="2:2" x14ac:dyDescent="0.25">
      <c r="B82" s="25"/>
    </row>
    <row r="83" spans="2:2" x14ac:dyDescent="0.25">
      <c r="B83" s="25"/>
    </row>
    <row r="84" spans="2:2" x14ac:dyDescent="0.25">
      <c r="B84" s="25"/>
    </row>
    <row r="85" spans="2:2" x14ac:dyDescent="0.25">
      <c r="B85" s="25"/>
    </row>
    <row r="86" spans="2:2" x14ac:dyDescent="0.25">
      <c r="B86" s="25"/>
    </row>
    <row r="87" spans="2:2" x14ac:dyDescent="0.25">
      <c r="B87" s="25"/>
    </row>
    <row r="88" spans="2:2" x14ac:dyDescent="0.25">
      <c r="B88" s="25"/>
    </row>
    <row r="89" spans="2:2" x14ac:dyDescent="0.25">
      <c r="B89" s="25"/>
    </row>
    <row r="90" spans="2:2" x14ac:dyDescent="0.25">
      <c r="B90" s="25"/>
    </row>
    <row r="91" spans="2:2" x14ac:dyDescent="0.25">
      <c r="B91" s="25"/>
    </row>
    <row r="92" spans="2:2" x14ac:dyDescent="0.25">
      <c r="B92" s="25"/>
    </row>
    <row r="93" spans="2:2" x14ac:dyDescent="0.25">
      <c r="B93" s="25"/>
    </row>
    <row r="94" spans="2:2" x14ac:dyDescent="0.25">
      <c r="B94" s="25"/>
    </row>
    <row r="95" spans="2:2" x14ac:dyDescent="0.25">
      <c r="B95" s="25"/>
    </row>
    <row r="96" spans="2:2" x14ac:dyDescent="0.25">
      <c r="B96" s="25"/>
    </row>
    <row r="97" spans="2:2" x14ac:dyDescent="0.25">
      <c r="B97" s="25"/>
    </row>
    <row r="98" spans="2:2" x14ac:dyDescent="0.25">
      <c r="B98" s="25"/>
    </row>
    <row r="99" spans="2:2" x14ac:dyDescent="0.25">
      <c r="B99" s="25"/>
    </row>
    <row r="100" spans="2:2" x14ac:dyDescent="0.25">
      <c r="B100" s="25"/>
    </row>
    <row r="101" spans="2:2" x14ac:dyDescent="0.25">
      <c r="B101" s="25"/>
    </row>
    <row r="102" spans="2:2" x14ac:dyDescent="0.25">
      <c r="B102" s="25"/>
    </row>
    <row r="103" spans="2:2" x14ac:dyDescent="0.25">
      <c r="B103" s="25"/>
    </row>
    <row r="104" spans="2:2" x14ac:dyDescent="0.25">
      <c r="B104" s="25"/>
    </row>
    <row r="105" spans="2:2" x14ac:dyDescent="0.25">
      <c r="B105" s="25"/>
    </row>
    <row r="106" spans="2:2" x14ac:dyDescent="0.25">
      <c r="B106" s="25"/>
    </row>
    <row r="107" spans="2:2" x14ac:dyDescent="0.25">
      <c r="B107" s="25"/>
    </row>
    <row r="108" spans="2:2" x14ac:dyDescent="0.25">
      <c r="B108" s="25"/>
    </row>
    <row r="109" spans="2:2" x14ac:dyDescent="0.25">
      <c r="B109" s="25"/>
    </row>
    <row r="110" spans="2:2" x14ac:dyDescent="0.25">
      <c r="B110" s="25"/>
    </row>
    <row r="111" spans="2:2" x14ac:dyDescent="0.25">
      <c r="B111" s="25"/>
    </row>
    <row r="112" spans="2:2" x14ac:dyDescent="0.25">
      <c r="B112" s="25"/>
    </row>
    <row r="113" spans="2:2" x14ac:dyDescent="0.25">
      <c r="B113" s="25"/>
    </row>
    <row r="114" spans="2:2" x14ac:dyDescent="0.25">
      <c r="B114" s="25"/>
    </row>
    <row r="115" spans="2:2" x14ac:dyDescent="0.25">
      <c r="B115" s="25"/>
    </row>
    <row r="116" spans="2:2" x14ac:dyDescent="0.25">
      <c r="B116" s="25"/>
    </row>
    <row r="117" spans="2:2" x14ac:dyDescent="0.25">
      <c r="B117" s="25"/>
    </row>
    <row r="118" spans="2:2" x14ac:dyDescent="0.25">
      <c r="B118" s="25"/>
    </row>
    <row r="119" spans="2:2" x14ac:dyDescent="0.25">
      <c r="B119" s="25"/>
    </row>
    <row r="120" spans="2:2" x14ac:dyDescent="0.25">
      <c r="B120" s="25"/>
    </row>
    <row r="121" spans="2:2" x14ac:dyDescent="0.25">
      <c r="B121" s="25"/>
    </row>
    <row r="122" spans="2:2" x14ac:dyDescent="0.25">
      <c r="B122" s="25"/>
    </row>
    <row r="123" spans="2:2" x14ac:dyDescent="0.25">
      <c r="B123" s="25"/>
    </row>
    <row r="124" spans="2:2" x14ac:dyDescent="0.25">
      <c r="B124" s="25"/>
    </row>
    <row r="125" spans="2:2" x14ac:dyDescent="0.25">
      <c r="B125" s="27"/>
    </row>
    <row r="126" spans="2:2" x14ac:dyDescent="0.25">
      <c r="B126" s="27"/>
    </row>
    <row r="127" spans="2:2" x14ac:dyDescent="0.25">
      <c r="B127" s="27"/>
    </row>
    <row r="128" spans="2:2" x14ac:dyDescent="0.25">
      <c r="B128" s="27"/>
    </row>
    <row r="129" spans="2:2" x14ac:dyDescent="0.25">
      <c r="B129" s="27"/>
    </row>
    <row r="130" spans="2:2" x14ac:dyDescent="0.25">
      <c r="B130" s="27"/>
    </row>
    <row r="131" spans="2:2" x14ac:dyDescent="0.25">
      <c r="B131" s="27"/>
    </row>
    <row r="132" spans="2:2" x14ac:dyDescent="0.25">
      <c r="B132" s="27"/>
    </row>
    <row r="133" spans="2:2" x14ac:dyDescent="0.25">
      <c r="B133" s="27"/>
    </row>
    <row r="134" spans="2:2" x14ac:dyDescent="0.25">
      <c r="B134" s="27"/>
    </row>
    <row r="135" spans="2:2" x14ac:dyDescent="0.25">
      <c r="B135" s="27"/>
    </row>
    <row r="136" spans="2:2" x14ac:dyDescent="0.25">
      <c r="B136" s="27"/>
    </row>
    <row r="137" spans="2:2" x14ac:dyDescent="0.25">
      <c r="B137" s="27"/>
    </row>
    <row r="152" spans="2:2" x14ac:dyDescent="0.25">
      <c r="B152" s="28"/>
    </row>
    <row r="153" spans="2:2" x14ac:dyDescent="0.25">
      <c r="B153" s="28"/>
    </row>
    <row r="154" spans="2:2" x14ac:dyDescent="0.25">
      <c r="B154" s="28"/>
    </row>
    <row r="155" spans="2:2" x14ac:dyDescent="0.25">
      <c r="B155" s="28"/>
    </row>
    <row r="156" spans="2:2" x14ac:dyDescent="0.25">
      <c r="B156" s="28"/>
    </row>
    <row r="157" spans="2:2" x14ac:dyDescent="0.25">
      <c r="B157" s="28"/>
    </row>
    <row r="158" spans="2:2" x14ac:dyDescent="0.25">
      <c r="B158" s="28"/>
    </row>
    <row r="159" spans="2:2" x14ac:dyDescent="0.25">
      <c r="B159" s="28"/>
    </row>
    <row r="160" spans="2:2" x14ac:dyDescent="0.25">
      <c r="B160" s="28"/>
    </row>
    <row r="161" spans="2:2" x14ac:dyDescent="0.25">
      <c r="B161" s="28"/>
    </row>
    <row r="162" spans="2:2" x14ac:dyDescent="0.25">
      <c r="B162" s="28"/>
    </row>
    <row r="163" spans="2:2" x14ac:dyDescent="0.25">
      <c r="B163" s="28"/>
    </row>
    <row r="164" spans="2:2" x14ac:dyDescent="0.25">
      <c r="B164" s="28"/>
    </row>
    <row r="165" spans="2:2" x14ac:dyDescent="0.25">
      <c r="B165" s="29"/>
    </row>
    <row r="166" spans="2:2" x14ac:dyDescent="0.25">
      <c r="B166" s="29"/>
    </row>
    <row r="167" spans="2:2" x14ac:dyDescent="0.25">
      <c r="B167" s="29"/>
    </row>
    <row r="168" spans="2:2" x14ac:dyDescent="0.25">
      <c r="B168" s="29"/>
    </row>
    <row r="212" spans="2:2" x14ac:dyDescent="0.25">
      <c r="B212" s="25"/>
    </row>
    <row r="213" spans="2:2" x14ac:dyDescent="0.25">
      <c r="B213" s="25"/>
    </row>
    <row r="214" spans="2:2" x14ac:dyDescent="0.25">
      <c r="B214" s="25"/>
    </row>
    <row r="215" spans="2:2" x14ac:dyDescent="0.25">
      <c r="B215" s="25"/>
    </row>
    <row r="216" spans="2:2" x14ac:dyDescent="0.25">
      <c r="B216" s="25"/>
    </row>
    <row r="217" spans="2:2" x14ac:dyDescent="0.25">
      <c r="B217" s="25"/>
    </row>
    <row r="218" spans="2:2" x14ac:dyDescent="0.25">
      <c r="B218" s="25"/>
    </row>
    <row r="219" spans="2:2" x14ac:dyDescent="0.25">
      <c r="B219" s="25"/>
    </row>
    <row r="220" spans="2:2" x14ac:dyDescent="0.25">
      <c r="B220" s="25"/>
    </row>
    <row r="221" spans="2:2" x14ac:dyDescent="0.25">
      <c r="B221" s="25"/>
    </row>
    <row r="222" spans="2:2" x14ac:dyDescent="0.25">
      <c r="B222" s="25"/>
    </row>
    <row r="223" spans="2:2" x14ac:dyDescent="0.25">
      <c r="B223" s="25"/>
    </row>
    <row r="224" spans="2:2" x14ac:dyDescent="0.25">
      <c r="B224" s="25"/>
    </row>
    <row r="225" spans="2:2" x14ac:dyDescent="0.25">
      <c r="B225" s="25"/>
    </row>
    <row r="226" spans="2:2" x14ac:dyDescent="0.25">
      <c r="B226" s="25"/>
    </row>
    <row r="227" spans="2:2" x14ac:dyDescent="0.25">
      <c r="B227" s="25"/>
    </row>
    <row r="228" spans="2:2" x14ac:dyDescent="0.25">
      <c r="B228" s="25"/>
    </row>
    <row r="229" spans="2:2" x14ac:dyDescent="0.25">
      <c r="B229" s="25"/>
    </row>
    <row r="230" spans="2:2" x14ac:dyDescent="0.25">
      <c r="B230" s="25"/>
    </row>
    <row r="233" spans="2:2" x14ac:dyDescent="0.25">
      <c r="B233" s="30"/>
    </row>
    <row r="234" spans="2:2" x14ac:dyDescent="0.25">
      <c r="B234" s="30"/>
    </row>
    <row r="239" spans="2:2" x14ac:dyDescent="0.25">
      <c r="B239" s="25"/>
    </row>
    <row r="240" spans="2:2" x14ac:dyDescent="0.25">
      <c r="B240" s="25"/>
    </row>
    <row r="241" spans="2:2" x14ac:dyDescent="0.25">
      <c r="B241" s="25"/>
    </row>
    <row r="242" spans="2:2" x14ac:dyDescent="0.25">
      <c r="B242" s="25"/>
    </row>
    <row r="243" spans="2:2" x14ac:dyDescent="0.25">
      <c r="B243" s="25"/>
    </row>
    <row r="244" spans="2:2" x14ac:dyDescent="0.25">
      <c r="B244" s="25"/>
    </row>
    <row r="271" spans="2:2" x14ac:dyDescent="0.25">
      <c r="B271" s="31"/>
    </row>
    <row r="272" spans="2:2" x14ac:dyDescent="0.25">
      <c r="B272" s="31"/>
    </row>
    <row r="273" spans="2:2" x14ac:dyDescent="0.25">
      <c r="B273" s="31"/>
    </row>
    <row r="274" spans="2:2" x14ac:dyDescent="0.25">
      <c r="B274" s="31"/>
    </row>
    <row r="282" spans="2:2" x14ac:dyDescent="0.25">
      <c r="B282" s="25"/>
    </row>
    <row r="283" spans="2:2" x14ac:dyDescent="0.25">
      <c r="B283" s="25"/>
    </row>
    <row r="284" spans="2:2" x14ac:dyDescent="0.25">
      <c r="B284" s="25"/>
    </row>
    <row r="285" spans="2:2" x14ac:dyDescent="0.25">
      <c r="B285" s="25"/>
    </row>
    <row r="286" spans="2:2" x14ac:dyDescent="0.25">
      <c r="B286" s="25"/>
    </row>
    <row r="287" spans="2:2" x14ac:dyDescent="0.25">
      <c r="B287" s="25"/>
    </row>
    <row r="288" spans="2:2" x14ac:dyDescent="0.25">
      <c r="B288" s="25"/>
    </row>
    <row r="289" spans="2:2" x14ac:dyDescent="0.25">
      <c r="B289" s="25"/>
    </row>
    <row r="290" spans="2:2" x14ac:dyDescent="0.25">
      <c r="B290" s="25"/>
    </row>
    <row r="291" spans="2:2" x14ac:dyDescent="0.25">
      <c r="B291" s="25"/>
    </row>
    <row r="292" spans="2:2" x14ac:dyDescent="0.25">
      <c r="B292" s="25"/>
    </row>
    <row r="293" spans="2:2" x14ac:dyDescent="0.25">
      <c r="B293" s="25"/>
    </row>
    <row r="294" spans="2:2" x14ac:dyDescent="0.25">
      <c r="B294" s="25"/>
    </row>
    <row r="295" spans="2:2" x14ac:dyDescent="0.25">
      <c r="B295" s="25"/>
    </row>
    <row r="296" spans="2:2" x14ac:dyDescent="0.25">
      <c r="B296" s="25"/>
    </row>
    <row r="297" spans="2:2" x14ac:dyDescent="0.25">
      <c r="B297" s="25"/>
    </row>
    <row r="298" spans="2:2" x14ac:dyDescent="0.25">
      <c r="B298" s="25"/>
    </row>
    <row r="299" spans="2:2" x14ac:dyDescent="0.25">
      <c r="B299" s="25"/>
    </row>
    <row r="300" spans="2:2" x14ac:dyDescent="0.25">
      <c r="B300" s="25"/>
    </row>
    <row r="301" spans="2:2" x14ac:dyDescent="0.25">
      <c r="B301" s="25"/>
    </row>
    <row r="302" spans="2:2" x14ac:dyDescent="0.25">
      <c r="B302" s="25"/>
    </row>
    <row r="303" spans="2:2" x14ac:dyDescent="0.25">
      <c r="B303" s="25"/>
    </row>
    <row r="305" spans="2:2" x14ac:dyDescent="0.25">
      <c r="B305" s="25"/>
    </row>
    <row r="307" spans="2:2" x14ac:dyDescent="0.25">
      <c r="B307" s="27"/>
    </row>
    <row r="308" spans="2:2" x14ac:dyDescent="0.25">
      <c r="B308" s="27"/>
    </row>
    <row r="309" spans="2:2" x14ac:dyDescent="0.25">
      <c r="B309" s="27"/>
    </row>
    <row r="310" spans="2:2" x14ac:dyDescent="0.25">
      <c r="B310" s="27"/>
    </row>
    <row r="311" spans="2:2" x14ac:dyDescent="0.25">
      <c r="B311" s="27"/>
    </row>
    <row r="312" spans="2:2" x14ac:dyDescent="0.25">
      <c r="B312" s="27"/>
    </row>
    <row r="313" spans="2:2" x14ac:dyDescent="0.25">
      <c r="B313" s="27"/>
    </row>
    <row r="314" spans="2:2" x14ac:dyDescent="0.25">
      <c r="B314" s="27"/>
    </row>
  </sheetData>
  <sortState ref="E2:E500">
    <sortCondition ref="E2:E500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1140"/>
  <sheetViews>
    <sheetView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75" x14ac:dyDescent="0.25"/>
  <cols>
    <col min="1" max="1" width="30.5703125" style="1" bestFit="1" customWidth="1"/>
    <col min="2" max="2" width="12.7109375" style="1" bestFit="1" customWidth="1"/>
    <col min="3" max="3" width="45.7109375" style="1" bestFit="1" customWidth="1"/>
    <col min="4" max="4" width="60.28515625" style="1" bestFit="1" customWidth="1"/>
    <col min="5" max="5" width="56.7109375" style="1" bestFit="1" customWidth="1"/>
    <col min="6" max="6" width="63.5703125" style="1" bestFit="1" customWidth="1"/>
    <col min="7" max="7" width="52.5703125" style="1" bestFit="1" customWidth="1"/>
    <col min="8" max="8" width="26.5703125" style="1" bestFit="1" customWidth="1"/>
    <col min="9" max="9" width="22.42578125" style="1" bestFit="1" customWidth="1"/>
    <col min="10" max="10" width="25.42578125" style="1" bestFit="1" customWidth="1"/>
    <col min="11" max="11" width="14.85546875" style="1" bestFit="1" customWidth="1"/>
    <col min="12" max="12" width="22.28515625" style="1" bestFit="1" customWidth="1"/>
    <col min="13" max="13" width="9.7109375" style="1" bestFit="1" customWidth="1"/>
    <col min="14" max="14" width="8.28515625" style="1" customWidth="1"/>
    <col min="15" max="15" width="17.28515625" style="1" bestFit="1" customWidth="1"/>
    <col min="16" max="16" width="10.7109375" style="1" customWidth="1"/>
    <col min="17" max="16384" width="9.140625" style="1"/>
  </cols>
  <sheetData>
    <row r="1" spans="1:16" s="2" customFormat="1" x14ac:dyDescent="0.25">
      <c r="A1" s="2" t="s">
        <v>1193</v>
      </c>
      <c r="B1" s="2" t="s">
        <v>1194</v>
      </c>
      <c r="C1" s="2" t="s">
        <v>1195</v>
      </c>
      <c r="D1" s="2" t="s">
        <v>1196</v>
      </c>
      <c r="E1" s="2" t="s">
        <v>1197</v>
      </c>
      <c r="F1" s="2" t="s">
        <v>1198</v>
      </c>
      <c r="G1" s="2" t="s">
        <v>1199</v>
      </c>
      <c r="H1" s="2" t="s">
        <v>1200</v>
      </c>
      <c r="I1" s="2" t="s">
        <v>1201</v>
      </c>
      <c r="J1" s="2" t="s">
        <v>1202</v>
      </c>
      <c r="K1" s="3" t="s">
        <v>1205</v>
      </c>
      <c r="L1" s="3" t="s">
        <v>1206</v>
      </c>
      <c r="M1" s="3" t="s">
        <v>1207</v>
      </c>
      <c r="N1" s="3"/>
      <c r="O1" s="3" t="s">
        <v>1208</v>
      </c>
      <c r="P1" s="3"/>
    </row>
    <row r="2" spans="1:16" x14ac:dyDescent="0.25">
      <c r="A2" s="1" t="s">
        <v>28</v>
      </c>
      <c r="B2" s="1">
        <v>10100204</v>
      </c>
      <c r="C2" s="1" t="s">
        <v>29</v>
      </c>
      <c r="D2" s="1" t="s">
        <v>266</v>
      </c>
      <c r="E2" s="1" t="s">
        <v>242</v>
      </c>
      <c r="F2" s="1" t="s">
        <v>479</v>
      </c>
      <c r="G2" s="1" t="s">
        <v>216</v>
      </c>
      <c r="H2" s="1" t="s">
        <v>438</v>
      </c>
      <c r="I2" s="1" t="s">
        <v>130</v>
      </c>
      <c r="J2" s="1" t="s">
        <v>1231</v>
      </c>
      <c r="K2" s="1" t="s">
        <v>1205</v>
      </c>
      <c r="L2" s="1" t="s">
        <v>1224</v>
      </c>
      <c r="M2" s="1" t="s">
        <v>1213</v>
      </c>
      <c r="N2" s="1" t="s">
        <v>1232</v>
      </c>
      <c r="O2" s="1" t="s">
        <v>1216</v>
      </c>
      <c r="P2" s="1" t="s">
        <v>1232</v>
      </c>
    </row>
    <row r="3" spans="1:16" x14ac:dyDescent="0.25">
      <c r="A3" s="1" t="s">
        <v>56</v>
      </c>
      <c r="B3" s="1">
        <v>10100205</v>
      </c>
      <c r="C3" s="1" t="s">
        <v>284</v>
      </c>
      <c r="D3" s="1" t="s">
        <v>16</v>
      </c>
      <c r="E3" s="1" t="s">
        <v>926</v>
      </c>
      <c r="F3" s="1" t="s">
        <v>481</v>
      </c>
      <c r="G3" s="1" t="s">
        <v>129</v>
      </c>
      <c r="H3" s="1" t="s">
        <v>62</v>
      </c>
      <c r="I3" s="1" t="s">
        <v>16</v>
      </c>
      <c r="J3" s="1" t="s">
        <v>270</v>
      </c>
      <c r="L3" s="1" t="s">
        <v>1221</v>
      </c>
      <c r="M3" s="1" t="s">
        <v>1211</v>
      </c>
      <c r="N3" s="1" t="s">
        <v>1232</v>
      </c>
      <c r="O3" s="1" t="s">
        <v>1210</v>
      </c>
      <c r="P3" s="1" t="s">
        <v>1232</v>
      </c>
    </row>
    <row r="4" spans="1:16" x14ac:dyDescent="0.25">
      <c r="A4" s="1" t="s">
        <v>258</v>
      </c>
      <c r="B4" s="1">
        <v>10100222</v>
      </c>
      <c r="C4" s="1" t="s">
        <v>243</v>
      </c>
      <c r="D4" s="1" t="s">
        <v>505</v>
      </c>
      <c r="E4" s="1" t="s">
        <v>188</v>
      </c>
      <c r="F4" s="1" t="s">
        <v>482</v>
      </c>
      <c r="G4" s="1" t="s">
        <v>138</v>
      </c>
      <c r="H4" s="1" t="s">
        <v>84</v>
      </c>
      <c r="I4" s="1" t="s">
        <v>744</v>
      </c>
      <c r="J4" s="1" t="s">
        <v>16</v>
      </c>
      <c r="L4" s="1" t="s">
        <v>439</v>
      </c>
      <c r="M4" s="1" t="s">
        <v>1219</v>
      </c>
      <c r="N4" s="1" t="s">
        <v>1232</v>
      </c>
      <c r="O4" s="1" t="s">
        <v>1213</v>
      </c>
      <c r="P4" s="1" t="s">
        <v>1232</v>
      </c>
    </row>
    <row r="5" spans="1:16" x14ac:dyDescent="0.25">
      <c r="A5" s="1" t="s">
        <v>265</v>
      </c>
      <c r="B5" s="1">
        <v>10100223</v>
      </c>
      <c r="C5" s="1" t="s">
        <v>0</v>
      </c>
      <c r="D5" s="1" t="s">
        <v>11</v>
      </c>
      <c r="E5" s="1" t="s">
        <v>317</v>
      </c>
      <c r="F5" s="1" t="s">
        <v>477</v>
      </c>
      <c r="G5" s="1" t="s">
        <v>119</v>
      </c>
      <c r="H5" s="1" t="s">
        <v>394</v>
      </c>
      <c r="I5" s="1" t="s">
        <v>561</v>
      </c>
      <c r="J5" s="1" t="s">
        <v>6</v>
      </c>
      <c r="L5" s="1" t="s">
        <v>1227</v>
      </c>
      <c r="M5" s="1" t="s">
        <v>1209</v>
      </c>
      <c r="N5" s="1" t="s">
        <v>1232</v>
      </c>
      <c r="O5" s="1" t="s">
        <v>476</v>
      </c>
      <c r="P5" s="1" t="s">
        <v>1232</v>
      </c>
    </row>
    <row r="6" spans="1:16" x14ac:dyDescent="0.25">
      <c r="A6" s="1" t="s">
        <v>278</v>
      </c>
      <c r="B6" s="1">
        <v>10100224</v>
      </c>
      <c r="C6" s="1" t="s">
        <v>40</v>
      </c>
      <c r="D6" s="1" t="s">
        <v>80</v>
      </c>
      <c r="E6" s="1" t="s">
        <v>267</v>
      </c>
      <c r="F6" s="1" t="s">
        <v>950</v>
      </c>
      <c r="G6" s="1" t="s">
        <v>124</v>
      </c>
      <c r="H6" s="1" t="s">
        <v>659</v>
      </c>
      <c r="I6" s="1" t="s">
        <v>571</v>
      </c>
      <c r="J6" s="1" t="s">
        <v>695</v>
      </c>
      <c r="L6" s="1" t="s">
        <v>260</v>
      </c>
      <c r="O6" s="1" t="s">
        <v>260</v>
      </c>
      <c r="P6" s="1" t="s">
        <v>1232</v>
      </c>
    </row>
    <row r="7" spans="1:16" x14ac:dyDescent="0.25">
      <c r="A7" s="1" t="s">
        <v>286</v>
      </c>
      <c r="B7" s="1">
        <v>10100226</v>
      </c>
      <c r="C7" s="1" t="s">
        <v>45</v>
      </c>
      <c r="D7" s="1" t="s">
        <v>241</v>
      </c>
      <c r="E7" s="1" t="s">
        <v>1229</v>
      </c>
      <c r="F7" s="1" t="s">
        <v>494</v>
      </c>
      <c r="G7" s="1" t="s">
        <v>269</v>
      </c>
      <c r="H7" s="1" t="s">
        <v>120</v>
      </c>
      <c r="I7" s="1" t="s">
        <v>217</v>
      </c>
      <c r="J7" s="1" t="s">
        <v>473</v>
      </c>
      <c r="L7" s="1" t="s">
        <v>59</v>
      </c>
      <c r="O7" s="1" t="s">
        <v>651</v>
      </c>
      <c r="P7" s="1" t="s">
        <v>1232</v>
      </c>
    </row>
    <row r="8" spans="1:16" x14ac:dyDescent="0.25">
      <c r="A8" s="1" t="s">
        <v>389</v>
      </c>
      <c r="B8" s="1">
        <v>10100401</v>
      </c>
      <c r="C8" s="1" t="s">
        <v>57</v>
      </c>
      <c r="D8" s="1" t="s">
        <v>136</v>
      </c>
      <c r="E8" s="1" t="s">
        <v>1187</v>
      </c>
      <c r="F8" s="1" t="s">
        <v>359</v>
      </c>
      <c r="G8" s="1" t="s">
        <v>276</v>
      </c>
      <c r="H8" s="1" t="s">
        <v>4</v>
      </c>
      <c r="I8" s="1" t="s">
        <v>439</v>
      </c>
      <c r="J8" s="1" t="s">
        <v>145</v>
      </c>
      <c r="L8" s="1" t="s">
        <v>1217</v>
      </c>
      <c r="O8" s="1" t="s">
        <v>1222</v>
      </c>
      <c r="P8" s="1" t="s">
        <v>1232</v>
      </c>
    </row>
    <row r="9" spans="1:16" x14ac:dyDescent="0.25">
      <c r="A9" s="1" t="s">
        <v>433</v>
      </c>
      <c r="B9" s="1">
        <v>10100404</v>
      </c>
      <c r="C9" s="1" t="s">
        <v>200</v>
      </c>
      <c r="D9" s="1" t="s">
        <v>979</v>
      </c>
      <c r="E9" s="1" t="s">
        <v>25</v>
      </c>
      <c r="F9" s="1" t="s">
        <v>496</v>
      </c>
      <c r="G9" s="1" t="s">
        <v>273</v>
      </c>
      <c r="H9" s="1" t="s">
        <v>34</v>
      </c>
      <c r="I9" s="1" t="s">
        <v>85</v>
      </c>
      <c r="J9" s="1" t="s">
        <v>207</v>
      </c>
      <c r="L9" s="1" t="s">
        <v>1218</v>
      </c>
      <c r="O9" s="1" t="s">
        <v>1219</v>
      </c>
      <c r="P9" s="1" t="s">
        <v>1232</v>
      </c>
    </row>
    <row r="10" spans="1:16" x14ac:dyDescent="0.25">
      <c r="B10" s="1">
        <v>10100501</v>
      </c>
      <c r="C10" s="1" t="s">
        <v>1204</v>
      </c>
      <c r="D10" s="1" t="s">
        <v>172</v>
      </c>
      <c r="E10" s="1" t="s">
        <v>26</v>
      </c>
      <c r="F10" s="1" t="s">
        <v>495</v>
      </c>
      <c r="G10" s="1" t="s">
        <v>90</v>
      </c>
      <c r="H10" s="1" t="s">
        <v>743</v>
      </c>
      <c r="I10" s="1" t="s">
        <v>172</v>
      </c>
      <c r="J10" s="1" t="s">
        <v>148</v>
      </c>
      <c r="L10" s="1" t="s">
        <v>1225</v>
      </c>
      <c r="O10" s="1" t="s">
        <v>1228</v>
      </c>
      <c r="P10" s="1" t="s">
        <v>1232</v>
      </c>
    </row>
    <row r="11" spans="1:16" x14ac:dyDescent="0.25">
      <c r="B11" s="1">
        <v>10100601</v>
      </c>
      <c r="C11" s="1" t="s">
        <v>46</v>
      </c>
      <c r="D11" s="1" t="s">
        <v>434</v>
      </c>
      <c r="E11" s="1" t="s">
        <v>503</v>
      </c>
      <c r="F11" s="1" t="s">
        <v>346</v>
      </c>
      <c r="G11" s="1" t="s">
        <v>488</v>
      </c>
      <c r="H11" s="1" t="s">
        <v>45</v>
      </c>
      <c r="I11" s="1" t="s">
        <v>422</v>
      </c>
      <c r="J11" s="1" t="s">
        <v>163</v>
      </c>
      <c r="L11" s="1" t="s">
        <v>215</v>
      </c>
      <c r="O11" s="1" t="s">
        <v>1214</v>
      </c>
      <c r="P11" s="1" t="s">
        <v>1232</v>
      </c>
    </row>
    <row r="12" spans="1:16" x14ac:dyDescent="0.25">
      <c r="B12" s="1">
        <v>10100602</v>
      </c>
      <c r="C12" s="1" t="s">
        <v>232</v>
      </c>
      <c r="D12" s="1" t="s">
        <v>30</v>
      </c>
      <c r="E12" s="1" t="s">
        <v>164</v>
      </c>
      <c r="F12" s="1" t="s">
        <v>1001</v>
      </c>
      <c r="G12" s="1" t="s">
        <v>86</v>
      </c>
      <c r="H12" s="1" t="s">
        <v>205</v>
      </c>
      <c r="I12" s="1" t="s">
        <v>42</v>
      </c>
      <c r="J12" s="1" t="s">
        <v>640</v>
      </c>
      <c r="L12" s="1" t="s">
        <v>1223</v>
      </c>
      <c r="O12" s="1" t="s">
        <v>1212</v>
      </c>
      <c r="P12" s="1" t="s">
        <v>1232</v>
      </c>
    </row>
    <row r="13" spans="1:16" x14ac:dyDescent="0.25">
      <c r="B13" s="1">
        <v>10100701</v>
      </c>
      <c r="D13" s="1" t="s">
        <v>502</v>
      </c>
      <c r="E13" s="1" t="s">
        <v>2</v>
      </c>
      <c r="F13" s="1" t="s">
        <v>940</v>
      </c>
      <c r="G13" s="1" t="s">
        <v>82</v>
      </c>
      <c r="H13" s="1" t="s">
        <v>1204</v>
      </c>
      <c r="I13" s="1" t="s">
        <v>35</v>
      </c>
      <c r="J13" s="1" t="s">
        <v>440</v>
      </c>
      <c r="L13" s="1" t="s">
        <v>79</v>
      </c>
      <c r="O13" s="1" t="s">
        <v>1226</v>
      </c>
      <c r="P13" s="1" t="s">
        <v>1232</v>
      </c>
    </row>
    <row r="14" spans="1:16" x14ac:dyDescent="0.25">
      <c r="B14" s="1">
        <v>10100801</v>
      </c>
      <c r="D14" s="1" t="s">
        <v>925</v>
      </c>
      <c r="E14" s="1" t="s">
        <v>223</v>
      </c>
      <c r="F14" s="1" t="s">
        <v>1010</v>
      </c>
      <c r="G14" s="1" t="s">
        <v>88</v>
      </c>
      <c r="H14" s="1" t="s">
        <v>50</v>
      </c>
      <c r="I14" s="1" t="s">
        <v>660</v>
      </c>
      <c r="J14" s="1" t="s">
        <v>96</v>
      </c>
      <c r="L14" s="1" t="s">
        <v>492</v>
      </c>
      <c r="O14" s="1" t="s">
        <v>278</v>
      </c>
      <c r="P14" s="1" t="s">
        <v>1232</v>
      </c>
    </row>
    <row r="15" spans="1:16" x14ac:dyDescent="0.25">
      <c r="B15" s="1">
        <v>10100902</v>
      </c>
      <c r="D15" s="1" t="s">
        <v>254</v>
      </c>
      <c r="E15" s="1" t="s">
        <v>187</v>
      </c>
      <c r="F15" s="1" t="s">
        <v>1013</v>
      </c>
      <c r="G15" s="1" t="s">
        <v>462</v>
      </c>
      <c r="H15" s="1" t="s">
        <v>509</v>
      </c>
      <c r="I15" s="1" t="s">
        <v>72</v>
      </c>
      <c r="J15" s="1" t="s">
        <v>765</v>
      </c>
      <c r="L15" s="1" t="s">
        <v>468</v>
      </c>
      <c r="O15" s="1" t="s">
        <v>1215</v>
      </c>
      <c r="P15" s="1" t="s">
        <v>1232</v>
      </c>
    </row>
    <row r="16" spans="1:16" x14ac:dyDescent="0.25">
      <c r="B16" s="1">
        <v>10100903</v>
      </c>
      <c r="D16" s="1" t="s">
        <v>555</v>
      </c>
      <c r="E16" s="1" t="s">
        <v>185</v>
      </c>
      <c r="F16" s="1" t="s">
        <v>1012</v>
      </c>
      <c r="G16" s="1" t="s">
        <v>437</v>
      </c>
      <c r="I16" s="1" t="s">
        <v>175</v>
      </c>
      <c r="J16" s="1" t="s">
        <v>998</v>
      </c>
      <c r="L16" s="1" t="s">
        <v>7</v>
      </c>
      <c r="O16" s="1" t="s">
        <v>23</v>
      </c>
      <c r="P16" s="1" t="s">
        <v>1232</v>
      </c>
    </row>
    <row r="17" spans="2:16" x14ac:dyDescent="0.25">
      <c r="B17" s="1">
        <v>10100908</v>
      </c>
      <c r="D17" s="1" t="s">
        <v>126</v>
      </c>
      <c r="E17" s="1" t="s">
        <v>234</v>
      </c>
      <c r="F17" s="1" t="s">
        <v>1170</v>
      </c>
      <c r="G17" s="1" t="s">
        <v>453</v>
      </c>
      <c r="I17" s="1" t="s">
        <v>247</v>
      </c>
      <c r="J17" s="1" t="s">
        <v>129</v>
      </c>
      <c r="L17" s="1" t="s">
        <v>69</v>
      </c>
      <c r="O17" s="1" t="s">
        <v>18</v>
      </c>
      <c r="P17" s="1" t="s">
        <v>1232</v>
      </c>
    </row>
    <row r="18" spans="2:16" x14ac:dyDescent="0.25">
      <c r="B18" s="1">
        <v>10101002</v>
      </c>
      <c r="D18" s="1" t="s">
        <v>175</v>
      </c>
      <c r="E18" s="1" t="s">
        <v>186</v>
      </c>
      <c r="F18" s="1" t="s">
        <v>343</v>
      </c>
      <c r="G18" s="1" t="s">
        <v>449</v>
      </c>
      <c r="I18" s="1" t="s">
        <v>416</v>
      </c>
      <c r="J18" s="1" t="s">
        <v>1173</v>
      </c>
      <c r="L18" s="1" t="s">
        <v>459</v>
      </c>
      <c r="O18" s="1" t="s">
        <v>21</v>
      </c>
      <c r="P18" s="1" t="s">
        <v>1232</v>
      </c>
    </row>
    <row r="19" spans="2:16" x14ac:dyDescent="0.25">
      <c r="B19" s="1">
        <v>10101202</v>
      </c>
      <c r="D19" s="1" t="s">
        <v>247</v>
      </c>
      <c r="E19" s="1" t="s">
        <v>189</v>
      </c>
      <c r="F19" s="1" t="s">
        <v>830</v>
      </c>
      <c r="G19" s="1" t="s">
        <v>457</v>
      </c>
      <c r="I19" s="1" t="s">
        <v>1161</v>
      </c>
      <c r="J19" s="1" t="s">
        <v>12</v>
      </c>
      <c r="L19" s="1" t="s">
        <v>455</v>
      </c>
      <c r="O19" s="1" t="s">
        <v>24</v>
      </c>
      <c r="P19" s="1" t="s">
        <v>1232</v>
      </c>
    </row>
    <row r="20" spans="2:16" x14ac:dyDescent="0.25">
      <c r="B20" s="1">
        <v>10101301</v>
      </c>
      <c r="D20" s="1" t="s">
        <v>419</v>
      </c>
      <c r="E20" s="1" t="s">
        <v>184</v>
      </c>
      <c r="F20" s="1" t="s">
        <v>363</v>
      </c>
      <c r="G20" s="1" t="s">
        <v>77</v>
      </c>
      <c r="I20" s="1" t="s">
        <v>654</v>
      </c>
      <c r="J20" s="1" t="s">
        <v>137</v>
      </c>
      <c r="L20" s="1" t="s">
        <v>1220</v>
      </c>
    </row>
    <row r="21" spans="2:16" x14ac:dyDescent="0.25">
      <c r="B21" s="1">
        <v>10101302</v>
      </c>
      <c r="D21" s="1" t="s">
        <v>390</v>
      </c>
      <c r="E21" s="1" t="s">
        <v>117</v>
      </c>
      <c r="F21" s="1" t="s">
        <v>360</v>
      </c>
      <c r="G21" s="1" t="s">
        <v>472</v>
      </c>
      <c r="I21" s="1" t="s">
        <v>231</v>
      </c>
      <c r="J21" s="1" t="s">
        <v>182</v>
      </c>
      <c r="L21" s="1" t="s">
        <v>68</v>
      </c>
    </row>
    <row r="22" spans="2:16" x14ac:dyDescent="0.25">
      <c r="B22" s="1">
        <v>10200101</v>
      </c>
      <c r="D22" s="1" t="s">
        <v>58</v>
      </c>
      <c r="E22" s="1" t="s">
        <v>179</v>
      </c>
      <c r="F22" s="1" t="s">
        <v>324</v>
      </c>
      <c r="G22" s="1" t="s">
        <v>71</v>
      </c>
      <c r="I22" s="1" t="s">
        <v>490</v>
      </c>
      <c r="J22" s="1" t="s">
        <v>992</v>
      </c>
      <c r="L22" s="1" t="s">
        <v>66</v>
      </c>
    </row>
    <row r="23" spans="2:16" x14ac:dyDescent="0.25">
      <c r="B23" s="1">
        <v>10200204</v>
      </c>
      <c r="D23" s="1" t="s">
        <v>228</v>
      </c>
      <c r="E23" s="1" t="s">
        <v>176</v>
      </c>
      <c r="F23" s="1" t="s">
        <v>1188</v>
      </c>
      <c r="G23" s="1" t="s">
        <v>61</v>
      </c>
      <c r="I23" s="1" t="s">
        <v>52</v>
      </c>
      <c r="J23" s="1" t="s">
        <v>703</v>
      </c>
      <c r="L23" s="1" t="s">
        <v>1182</v>
      </c>
    </row>
    <row r="24" spans="2:16" x14ac:dyDescent="0.25">
      <c r="B24" s="1">
        <v>10200217</v>
      </c>
      <c r="D24" s="1" t="s">
        <v>982</v>
      </c>
      <c r="E24" s="1" t="s">
        <v>173</v>
      </c>
      <c r="F24" s="1" t="s">
        <v>2</v>
      </c>
      <c r="G24" s="1" t="s">
        <v>75</v>
      </c>
      <c r="I24" s="1" t="s">
        <v>410</v>
      </c>
      <c r="J24" s="1" t="s">
        <v>578</v>
      </c>
      <c r="L24" s="1" t="s">
        <v>466</v>
      </c>
    </row>
    <row r="25" spans="2:16" x14ac:dyDescent="0.25">
      <c r="B25" s="1">
        <v>10200219</v>
      </c>
      <c r="D25" s="1" t="s">
        <v>252</v>
      </c>
      <c r="E25" s="1" t="s">
        <v>229</v>
      </c>
      <c r="F25" s="1" t="s">
        <v>939</v>
      </c>
      <c r="G25" s="1" t="s">
        <v>98</v>
      </c>
      <c r="I25" s="1" t="s">
        <v>395</v>
      </c>
      <c r="J25" s="1" t="s">
        <v>193</v>
      </c>
      <c r="L25" s="1" t="s">
        <v>1204</v>
      </c>
    </row>
    <row r="26" spans="2:16" x14ac:dyDescent="0.25">
      <c r="B26" s="1">
        <v>10200222</v>
      </c>
      <c r="D26" s="1" t="s">
        <v>7</v>
      </c>
      <c r="E26" s="1" t="s">
        <v>123</v>
      </c>
      <c r="F26" s="1" t="s">
        <v>460</v>
      </c>
      <c r="G26" s="1" t="s">
        <v>97</v>
      </c>
      <c r="I26" s="1" t="s">
        <v>927</v>
      </c>
      <c r="J26" s="1" t="s">
        <v>260</v>
      </c>
      <c r="L26" s="1" t="s">
        <v>470</v>
      </c>
    </row>
    <row r="27" spans="2:16" x14ac:dyDescent="0.25">
      <c r="B27" s="1">
        <v>10200224</v>
      </c>
      <c r="D27" s="1" t="s">
        <v>952</v>
      </c>
      <c r="E27" s="1" t="s">
        <v>695</v>
      </c>
      <c r="F27" s="1" t="s">
        <v>60</v>
      </c>
      <c r="G27" s="1" t="s">
        <v>93</v>
      </c>
      <c r="I27" s="1" t="s">
        <v>263</v>
      </c>
      <c r="J27" s="1" t="s">
        <v>64</v>
      </c>
      <c r="L27" s="1" t="s">
        <v>76</v>
      </c>
    </row>
    <row r="28" spans="2:16" x14ac:dyDescent="0.25">
      <c r="B28" s="1">
        <v>10200401</v>
      </c>
      <c r="D28" s="1" t="s">
        <v>259</v>
      </c>
      <c r="E28" s="1" t="s">
        <v>646</v>
      </c>
      <c r="F28" s="1" t="s">
        <v>65</v>
      </c>
      <c r="G28" s="1" t="s">
        <v>100</v>
      </c>
      <c r="I28" s="1" t="s">
        <v>659</v>
      </c>
      <c r="J28" s="1" t="s">
        <v>59</v>
      </c>
      <c r="L28" s="1" t="s">
        <v>236</v>
      </c>
    </row>
    <row r="29" spans="2:16" x14ac:dyDescent="0.25">
      <c r="B29" s="1">
        <v>10200402</v>
      </c>
      <c r="D29" s="1" t="s">
        <v>740</v>
      </c>
      <c r="E29" s="1" t="s">
        <v>92</v>
      </c>
      <c r="F29" s="1" t="s">
        <v>176</v>
      </c>
      <c r="G29" s="1" t="s">
        <v>220</v>
      </c>
      <c r="I29" s="1" t="s">
        <v>740</v>
      </c>
      <c r="J29" s="1" t="s">
        <v>1067</v>
      </c>
    </row>
    <row r="30" spans="2:16" x14ac:dyDescent="0.25">
      <c r="B30" s="1">
        <v>10200404</v>
      </c>
      <c r="D30" s="1" t="s">
        <v>983</v>
      </c>
      <c r="E30" s="1" t="s">
        <v>142</v>
      </c>
      <c r="F30" s="1" t="s">
        <v>292</v>
      </c>
      <c r="G30" s="1" t="s">
        <v>764</v>
      </c>
      <c r="I30" s="1" t="s">
        <v>89</v>
      </c>
      <c r="J30" s="1" t="s">
        <v>319</v>
      </c>
    </row>
    <row r="31" spans="2:16" x14ac:dyDescent="0.25">
      <c r="B31" s="1">
        <v>10200501</v>
      </c>
      <c r="D31" s="1" t="s">
        <v>192</v>
      </c>
      <c r="E31" s="1" t="s">
        <v>747</v>
      </c>
      <c r="F31" s="1" t="s">
        <v>739</v>
      </c>
      <c r="G31" s="1" t="s">
        <v>508</v>
      </c>
      <c r="I31" s="1" t="s">
        <v>39</v>
      </c>
      <c r="J31" s="1" t="s">
        <v>609</v>
      </c>
    </row>
    <row r="32" spans="2:16" x14ac:dyDescent="0.25">
      <c r="B32" s="1">
        <v>10200502</v>
      </c>
      <c r="D32" s="1" t="s">
        <v>178</v>
      </c>
      <c r="E32" s="1" t="s">
        <v>741</v>
      </c>
      <c r="F32" s="1" t="s">
        <v>246</v>
      </c>
      <c r="G32" s="1" t="s">
        <v>658</v>
      </c>
      <c r="I32" s="1" t="s">
        <v>697</v>
      </c>
      <c r="J32" s="1" t="s">
        <v>102</v>
      </c>
    </row>
    <row r="33" spans="2:10" x14ac:dyDescent="0.25">
      <c r="B33" s="1">
        <v>10200503</v>
      </c>
      <c r="D33" s="1" t="s">
        <v>13</v>
      </c>
      <c r="E33" s="1" t="s">
        <v>968</v>
      </c>
      <c r="F33" s="1" t="s">
        <v>712</v>
      </c>
      <c r="G33" s="1" t="s">
        <v>688</v>
      </c>
      <c r="I33" s="1" t="s">
        <v>181</v>
      </c>
      <c r="J33" s="1" t="s">
        <v>1078</v>
      </c>
    </row>
    <row r="34" spans="2:10" x14ac:dyDescent="0.25">
      <c r="B34" s="1">
        <v>10200504</v>
      </c>
      <c r="D34" s="1" t="s">
        <v>287</v>
      </c>
      <c r="E34" s="1" t="s">
        <v>146</v>
      </c>
      <c r="F34" s="1" t="s">
        <v>745</v>
      </c>
      <c r="G34" s="1" t="s">
        <v>33</v>
      </c>
      <c r="I34" s="1" t="s">
        <v>15</v>
      </c>
      <c r="J34" s="1" t="s">
        <v>1049</v>
      </c>
    </row>
    <row r="35" spans="2:10" x14ac:dyDescent="0.25">
      <c r="B35" s="1">
        <v>10200601</v>
      </c>
      <c r="D35" s="1" t="s">
        <v>1</v>
      </c>
      <c r="E35" s="1" t="s">
        <v>1026</v>
      </c>
      <c r="F35" s="1" t="s">
        <v>742</v>
      </c>
      <c r="G35" s="1" t="s">
        <v>693</v>
      </c>
      <c r="I35" s="1" t="s">
        <v>5</v>
      </c>
      <c r="J35" s="1" t="s">
        <v>1043</v>
      </c>
    </row>
    <row r="36" spans="2:10" x14ac:dyDescent="0.25">
      <c r="B36" s="1">
        <v>10200602</v>
      </c>
      <c r="D36" s="1" t="s">
        <v>233</v>
      </c>
      <c r="E36" s="1" t="s">
        <v>640</v>
      </c>
      <c r="F36" s="1" t="s">
        <v>474</v>
      </c>
      <c r="G36" s="1" t="s">
        <v>852</v>
      </c>
      <c r="I36" s="1" t="s">
        <v>63</v>
      </c>
      <c r="J36" s="1" t="s">
        <v>1030</v>
      </c>
    </row>
    <row r="37" spans="2:10" x14ac:dyDescent="0.25">
      <c r="B37" s="1">
        <v>10200603</v>
      </c>
      <c r="D37" s="1" t="s">
        <v>1122</v>
      </c>
      <c r="E37" s="1" t="s">
        <v>618</v>
      </c>
      <c r="F37" s="1" t="s">
        <v>362</v>
      </c>
      <c r="G37" s="1" t="s">
        <v>872</v>
      </c>
      <c r="I37" s="1" t="s">
        <v>233</v>
      </c>
      <c r="J37" s="1" t="s">
        <v>1103</v>
      </c>
    </row>
    <row r="38" spans="2:10" x14ac:dyDescent="0.25">
      <c r="B38" s="1">
        <v>10200701</v>
      </c>
      <c r="D38" s="1" t="s">
        <v>1154</v>
      </c>
      <c r="E38" s="1" t="s">
        <v>253</v>
      </c>
      <c r="F38" s="1" t="s">
        <v>484</v>
      </c>
      <c r="G38" s="1" t="s">
        <v>227</v>
      </c>
      <c r="I38" s="1" t="s">
        <v>547</v>
      </c>
      <c r="J38" s="1" t="s">
        <v>1083</v>
      </c>
    </row>
    <row r="39" spans="2:10" x14ac:dyDescent="0.25">
      <c r="B39" s="1">
        <v>10200802</v>
      </c>
      <c r="D39" s="1" t="s">
        <v>41</v>
      </c>
      <c r="E39" s="1" t="s">
        <v>1191</v>
      </c>
      <c r="F39" s="1" t="s">
        <v>582</v>
      </c>
      <c r="G39" s="1" t="s">
        <v>204</v>
      </c>
      <c r="I39" s="1" t="s">
        <v>527</v>
      </c>
      <c r="J39" s="1" t="s">
        <v>1061</v>
      </c>
    </row>
    <row r="40" spans="2:10" x14ac:dyDescent="0.25">
      <c r="B40" s="1">
        <v>10200901</v>
      </c>
      <c r="D40" s="1" t="s">
        <v>244</v>
      </c>
      <c r="E40" s="1" t="s">
        <v>435</v>
      </c>
      <c r="F40" s="1" t="s">
        <v>581</v>
      </c>
      <c r="G40" s="1" t="s">
        <v>19</v>
      </c>
      <c r="I40" s="1" t="s">
        <v>1156</v>
      </c>
      <c r="J40" s="1" t="s">
        <v>858</v>
      </c>
    </row>
    <row r="41" spans="2:10" x14ac:dyDescent="0.25">
      <c r="B41" s="1">
        <v>10200902</v>
      </c>
      <c r="D41" s="1" t="s">
        <v>116</v>
      </c>
      <c r="E41" s="1" t="s">
        <v>95</v>
      </c>
      <c r="F41" s="1" t="s">
        <v>645</v>
      </c>
      <c r="G41" s="1" t="s">
        <v>262</v>
      </c>
      <c r="I41" s="1" t="s">
        <v>9</v>
      </c>
      <c r="J41" s="1" t="s">
        <v>271</v>
      </c>
    </row>
    <row r="42" spans="2:10" x14ac:dyDescent="0.25">
      <c r="B42" s="1">
        <v>10200903</v>
      </c>
      <c r="D42" s="1" t="s">
        <v>201</v>
      </c>
      <c r="E42" s="1" t="s">
        <v>971</v>
      </c>
      <c r="F42" s="1" t="s">
        <v>749</v>
      </c>
      <c r="G42" s="1" t="s">
        <v>281</v>
      </c>
      <c r="I42" s="1" t="s">
        <v>510</v>
      </c>
      <c r="J42" s="1" t="s">
        <v>554</v>
      </c>
    </row>
    <row r="43" spans="2:10" x14ac:dyDescent="0.25">
      <c r="B43" s="1">
        <v>10200905</v>
      </c>
      <c r="D43" s="1" t="s">
        <v>225</v>
      </c>
      <c r="E43" s="1" t="s">
        <v>755</v>
      </c>
      <c r="F43" s="1" t="s">
        <v>750</v>
      </c>
      <c r="G43" s="1" t="s">
        <v>14</v>
      </c>
      <c r="I43" s="1" t="s">
        <v>244</v>
      </c>
      <c r="J43" s="1" t="s">
        <v>1113</v>
      </c>
    </row>
    <row r="44" spans="2:10" x14ac:dyDescent="0.25">
      <c r="B44" s="1">
        <v>10200908</v>
      </c>
      <c r="D44" s="1" t="s">
        <v>849</v>
      </c>
      <c r="E44" s="1" t="s">
        <v>843</v>
      </c>
      <c r="F44" s="1" t="s">
        <v>751</v>
      </c>
      <c r="G44" s="1" t="s">
        <v>3</v>
      </c>
      <c r="I44" s="1" t="s">
        <v>121</v>
      </c>
      <c r="J44" s="1" t="s">
        <v>528</v>
      </c>
    </row>
    <row r="45" spans="2:10" x14ac:dyDescent="0.25">
      <c r="B45" s="1">
        <v>10201002</v>
      </c>
      <c r="D45" s="1" t="s">
        <v>1075</v>
      </c>
      <c r="E45" s="1" t="s">
        <v>846</v>
      </c>
      <c r="F45" s="1" t="s">
        <v>512</v>
      </c>
      <c r="G45" s="1" t="s">
        <v>8</v>
      </c>
      <c r="I45" s="1" t="s">
        <v>516</v>
      </c>
      <c r="J45" s="1" t="s">
        <v>796</v>
      </c>
    </row>
    <row r="46" spans="2:10" x14ac:dyDescent="0.25">
      <c r="B46" s="1">
        <v>10201201</v>
      </c>
      <c r="D46" s="1" t="s">
        <v>1040</v>
      </c>
      <c r="E46" s="1" t="s">
        <v>844</v>
      </c>
      <c r="F46" s="1" t="s">
        <v>625</v>
      </c>
      <c r="G46" s="1" t="s">
        <v>427</v>
      </c>
      <c r="I46" s="1" t="s">
        <v>206</v>
      </c>
      <c r="J46" s="1" t="s">
        <v>428</v>
      </c>
    </row>
    <row r="47" spans="2:10" x14ac:dyDescent="0.25">
      <c r="B47" s="1">
        <v>10201301</v>
      </c>
      <c r="D47" s="1" t="s">
        <v>36</v>
      </c>
      <c r="E47" s="1" t="s">
        <v>847</v>
      </c>
      <c r="F47" s="1" t="s">
        <v>975</v>
      </c>
      <c r="G47" s="1" t="s">
        <v>421</v>
      </c>
      <c r="I47" s="1" t="s">
        <v>857</v>
      </c>
      <c r="J47" s="1" t="s">
        <v>1070</v>
      </c>
    </row>
    <row r="48" spans="2:10" x14ac:dyDescent="0.25">
      <c r="B48" s="1">
        <v>10201302</v>
      </c>
      <c r="D48" s="1" t="s">
        <v>976</v>
      </c>
      <c r="E48" s="1" t="s">
        <v>1087</v>
      </c>
      <c r="F48" s="1" t="s">
        <v>669</v>
      </c>
      <c r="G48" s="1" t="s">
        <v>415</v>
      </c>
      <c r="I48" s="1" t="s">
        <v>523</v>
      </c>
      <c r="J48" s="1" t="s">
        <v>58</v>
      </c>
    </row>
    <row r="49" spans="2:10" x14ac:dyDescent="0.25">
      <c r="B49" s="1">
        <v>10300207</v>
      </c>
      <c r="D49" s="1" t="s">
        <v>380</v>
      </c>
      <c r="E49" s="1" t="s">
        <v>1076</v>
      </c>
      <c r="F49" s="1" t="s">
        <v>667</v>
      </c>
      <c r="G49" s="1" t="s">
        <v>393</v>
      </c>
      <c r="I49" s="1" t="s">
        <v>55</v>
      </c>
      <c r="J49" s="1" t="s">
        <v>1011</v>
      </c>
    </row>
    <row r="50" spans="2:10" x14ac:dyDescent="0.25">
      <c r="B50" s="1">
        <v>10300222</v>
      </c>
      <c r="D50" s="1" t="s">
        <v>656</v>
      </c>
      <c r="E50" s="1" t="s">
        <v>214</v>
      </c>
      <c r="F50" s="1" t="s">
        <v>673</v>
      </c>
      <c r="G50" s="1" t="s">
        <v>180</v>
      </c>
      <c r="I50" s="1" t="s">
        <v>282</v>
      </c>
      <c r="J50" s="1" t="s">
        <v>239</v>
      </c>
    </row>
    <row r="51" spans="2:10" x14ac:dyDescent="0.25">
      <c r="B51" s="1">
        <v>10300224</v>
      </c>
      <c r="D51" s="1" t="s">
        <v>1098</v>
      </c>
      <c r="E51" s="1" t="s">
        <v>633</v>
      </c>
      <c r="F51" s="1" t="s">
        <v>1192</v>
      </c>
      <c r="G51" s="1" t="s">
        <v>174</v>
      </c>
      <c r="I51" s="1" t="s">
        <v>94</v>
      </c>
      <c r="J51" s="1" t="s">
        <v>161</v>
      </c>
    </row>
    <row r="52" spans="2:10" x14ac:dyDescent="0.25">
      <c r="B52" s="1">
        <v>10300401</v>
      </c>
      <c r="D52" s="1" t="s">
        <v>869</v>
      </c>
      <c r="E52" s="1" t="s">
        <v>855</v>
      </c>
      <c r="F52" s="1" t="s">
        <v>729</v>
      </c>
      <c r="G52" s="1" t="s">
        <v>44</v>
      </c>
      <c r="I52" s="1" t="s">
        <v>101</v>
      </c>
      <c r="J52" s="1" t="s">
        <v>166</v>
      </c>
    </row>
    <row r="53" spans="2:10" x14ac:dyDescent="0.25">
      <c r="B53" s="1">
        <v>10300404</v>
      </c>
      <c r="D53" s="1" t="s">
        <v>279</v>
      </c>
      <c r="E53" s="1" t="s">
        <v>759</v>
      </c>
      <c r="F53" s="1" t="s">
        <v>821</v>
      </c>
      <c r="G53" s="1" t="s">
        <v>177</v>
      </c>
      <c r="I53" s="1" t="s">
        <v>914</v>
      </c>
      <c r="J53" s="1" t="s">
        <v>306</v>
      </c>
    </row>
    <row r="54" spans="2:10" x14ac:dyDescent="0.25">
      <c r="B54" s="1">
        <v>10300501</v>
      </c>
      <c r="D54" s="1" t="s">
        <v>91</v>
      </c>
      <c r="E54" s="1" t="s">
        <v>766</v>
      </c>
      <c r="F54" s="1" t="s">
        <v>649</v>
      </c>
      <c r="G54" s="1" t="s">
        <v>147</v>
      </c>
      <c r="I54" s="1" t="s">
        <v>211</v>
      </c>
      <c r="J54" s="1" t="s">
        <v>425</v>
      </c>
    </row>
    <row r="55" spans="2:10" x14ac:dyDescent="0.25">
      <c r="B55" s="1">
        <v>10300502</v>
      </c>
      <c r="D55" s="1" t="s">
        <v>912</v>
      </c>
      <c r="E55" s="1" t="s">
        <v>650</v>
      </c>
      <c r="F55" s="1" t="s">
        <v>811</v>
      </c>
      <c r="G55" s="1" t="s">
        <v>144</v>
      </c>
      <c r="I55" s="1" t="s">
        <v>141</v>
      </c>
      <c r="J55" s="1" t="s">
        <v>423</v>
      </c>
    </row>
    <row r="56" spans="2:10" x14ac:dyDescent="0.25">
      <c r="B56" s="1">
        <v>10300601</v>
      </c>
      <c r="D56" s="1" t="s">
        <v>694</v>
      </c>
      <c r="E56" s="1" t="s">
        <v>941</v>
      </c>
      <c r="F56" s="1" t="s">
        <v>476</v>
      </c>
      <c r="G56" s="1" t="s">
        <v>1204</v>
      </c>
      <c r="I56" s="1" t="s">
        <v>970</v>
      </c>
      <c r="J56" s="1" t="s">
        <v>411</v>
      </c>
    </row>
    <row r="57" spans="2:10" x14ac:dyDescent="0.25">
      <c r="B57" s="1">
        <v>10300602</v>
      </c>
      <c r="D57" s="1" t="s">
        <v>1186</v>
      </c>
      <c r="E57" s="1" t="s">
        <v>546</v>
      </c>
      <c r="F57" s="1" t="s">
        <v>448</v>
      </c>
      <c r="G57" s="1" t="s">
        <v>46</v>
      </c>
      <c r="I57" s="1" t="s">
        <v>1204</v>
      </c>
      <c r="J57" s="1" t="s">
        <v>413</v>
      </c>
    </row>
    <row r="58" spans="2:10" x14ac:dyDescent="0.25">
      <c r="B58" s="1">
        <v>10300603</v>
      </c>
      <c r="D58" s="1" t="s">
        <v>1171</v>
      </c>
      <c r="E58" s="1" t="s">
        <v>768</v>
      </c>
      <c r="F58" s="1" t="s">
        <v>81</v>
      </c>
      <c r="I58" s="1" t="s">
        <v>873</v>
      </c>
      <c r="J58" s="1" t="s">
        <v>727</v>
      </c>
    </row>
    <row r="59" spans="2:10" x14ac:dyDescent="0.25">
      <c r="B59" s="1">
        <v>10300902</v>
      </c>
      <c r="D59" s="1" t="s">
        <v>47</v>
      </c>
      <c r="E59" s="1" t="s">
        <v>506</v>
      </c>
      <c r="F59" s="1" t="s">
        <v>454</v>
      </c>
      <c r="J59" s="1" t="s">
        <v>1101</v>
      </c>
    </row>
    <row r="60" spans="2:10" x14ac:dyDescent="0.25">
      <c r="B60" s="1">
        <v>10300903</v>
      </c>
      <c r="D60" s="1" t="s">
        <v>1178</v>
      </c>
      <c r="E60" s="1" t="s">
        <v>771</v>
      </c>
      <c r="F60" s="1" t="s">
        <v>456</v>
      </c>
      <c r="J60" s="1" t="s">
        <v>322</v>
      </c>
    </row>
    <row r="61" spans="2:10" x14ac:dyDescent="0.25">
      <c r="B61" s="1">
        <v>10300908</v>
      </c>
      <c r="D61" s="1" t="s">
        <v>141</v>
      </c>
      <c r="E61" s="1" t="s">
        <v>836</v>
      </c>
      <c r="F61" s="1" t="s">
        <v>452</v>
      </c>
      <c r="J61" s="1" t="s">
        <v>396</v>
      </c>
    </row>
    <row r="62" spans="2:10" x14ac:dyDescent="0.25">
      <c r="B62" s="1">
        <v>10301002</v>
      </c>
      <c r="D62" s="1" t="s">
        <v>1002</v>
      </c>
      <c r="E62" s="1" t="s">
        <v>996</v>
      </c>
      <c r="F62" s="1" t="s">
        <v>334</v>
      </c>
      <c r="J62" s="1" t="s">
        <v>468</v>
      </c>
    </row>
    <row r="63" spans="2:10" x14ac:dyDescent="0.25">
      <c r="B63" s="1">
        <v>10301302</v>
      </c>
      <c r="D63" s="1" t="s">
        <v>256</v>
      </c>
      <c r="E63" s="1" t="s">
        <v>20</v>
      </c>
      <c r="F63" s="1" t="s">
        <v>641</v>
      </c>
      <c r="J63" s="1" t="s">
        <v>10</v>
      </c>
    </row>
    <row r="64" spans="2:10" x14ac:dyDescent="0.25">
      <c r="B64" s="1">
        <v>20100101</v>
      </c>
      <c r="D64" s="1" t="s">
        <v>1109</v>
      </c>
      <c r="E64" s="1" t="s">
        <v>127</v>
      </c>
      <c r="F64" s="1" t="s">
        <v>620</v>
      </c>
      <c r="J64" s="1" t="s">
        <v>1104</v>
      </c>
    </row>
    <row r="65" spans="2:10" x14ac:dyDescent="0.25">
      <c r="B65" s="1">
        <v>20100102</v>
      </c>
      <c r="D65" s="1" t="s">
        <v>967</v>
      </c>
      <c r="E65" s="1" t="s">
        <v>132</v>
      </c>
      <c r="F65" s="1" t="s">
        <v>758</v>
      </c>
      <c r="J65" s="1" t="s">
        <v>328</v>
      </c>
    </row>
    <row r="66" spans="2:10" x14ac:dyDescent="0.25">
      <c r="B66" s="1">
        <v>20100201</v>
      </c>
      <c r="D66" s="1" t="s">
        <v>1204</v>
      </c>
      <c r="E66" s="1" t="s">
        <v>320</v>
      </c>
      <c r="F66" s="1" t="s">
        <v>871</v>
      </c>
      <c r="J66" s="1" t="s">
        <v>159</v>
      </c>
    </row>
    <row r="67" spans="2:10" x14ac:dyDescent="0.25">
      <c r="B67" s="1">
        <v>20100202</v>
      </c>
      <c r="D67" s="1" t="s">
        <v>122</v>
      </c>
      <c r="E67" s="1" t="s">
        <v>213</v>
      </c>
      <c r="F67" s="1" t="s">
        <v>833</v>
      </c>
      <c r="J67" s="1" t="s">
        <v>171</v>
      </c>
    </row>
    <row r="68" spans="2:10" x14ac:dyDescent="0.25">
      <c r="B68" s="1">
        <v>20100802</v>
      </c>
      <c r="E68" s="1" t="s">
        <v>787</v>
      </c>
      <c r="F68" s="1" t="s">
        <v>783</v>
      </c>
      <c r="J68" s="1" t="s">
        <v>1119</v>
      </c>
    </row>
    <row r="69" spans="2:10" x14ac:dyDescent="0.25">
      <c r="B69" s="1">
        <v>20200102</v>
      </c>
      <c r="E69" s="1" t="s">
        <v>294</v>
      </c>
      <c r="F69" s="1" t="s">
        <v>701</v>
      </c>
      <c r="J69" s="1" t="s">
        <v>157</v>
      </c>
    </row>
    <row r="70" spans="2:10" x14ac:dyDescent="0.25">
      <c r="B70" s="1">
        <v>20200107</v>
      </c>
      <c r="E70" s="1" t="s">
        <v>829</v>
      </c>
      <c r="F70" s="1" t="s">
        <v>802</v>
      </c>
      <c r="J70" s="1" t="s">
        <v>153</v>
      </c>
    </row>
    <row r="71" spans="2:10" x14ac:dyDescent="0.25">
      <c r="B71" s="1">
        <v>20200201</v>
      </c>
      <c r="E71" s="1" t="s">
        <v>938</v>
      </c>
      <c r="F71" s="1" t="s">
        <v>706</v>
      </c>
      <c r="J71" s="1" t="s">
        <v>1036</v>
      </c>
    </row>
    <row r="72" spans="2:10" x14ac:dyDescent="0.25">
      <c r="B72" s="1">
        <v>20200202</v>
      </c>
      <c r="E72" s="1" t="s">
        <v>864</v>
      </c>
      <c r="F72" s="1" t="s">
        <v>720</v>
      </c>
      <c r="J72" s="1" t="s">
        <v>120</v>
      </c>
    </row>
    <row r="73" spans="2:10" x14ac:dyDescent="0.25">
      <c r="B73" s="1">
        <v>20200252</v>
      </c>
      <c r="E73" s="1" t="s">
        <v>703</v>
      </c>
      <c r="F73" s="1" t="s">
        <v>731</v>
      </c>
      <c r="J73" s="1" t="s">
        <v>418</v>
      </c>
    </row>
    <row r="74" spans="2:10" x14ac:dyDescent="0.25">
      <c r="B74" s="1">
        <v>20200253</v>
      </c>
      <c r="E74" s="1" t="s">
        <v>245</v>
      </c>
      <c r="F74" s="1" t="s">
        <v>719</v>
      </c>
      <c r="J74" s="1" t="s">
        <v>1162</v>
      </c>
    </row>
    <row r="75" spans="2:10" x14ac:dyDescent="0.25">
      <c r="B75" s="1">
        <v>20200254</v>
      </c>
      <c r="E75" s="1" t="s">
        <v>193</v>
      </c>
      <c r="F75" s="1" t="s">
        <v>724</v>
      </c>
      <c r="J75" s="1" t="s">
        <v>73</v>
      </c>
    </row>
    <row r="76" spans="2:10" x14ac:dyDescent="0.25">
      <c r="B76" s="1">
        <v>20200401</v>
      </c>
      <c r="E76" s="1" t="s">
        <v>637</v>
      </c>
      <c r="F76" s="1" t="s">
        <v>335</v>
      </c>
      <c r="J76" s="1" t="s">
        <v>69</v>
      </c>
    </row>
    <row r="77" spans="2:10" x14ac:dyDescent="0.25">
      <c r="B77" s="1">
        <v>20200402</v>
      </c>
      <c r="E77" s="1" t="s">
        <v>642</v>
      </c>
      <c r="F77" s="1" t="s">
        <v>763</v>
      </c>
      <c r="J77" s="1" t="s">
        <v>988</v>
      </c>
    </row>
    <row r="78" spans="2:10" x14ac:dyDescent="0.25">
      <c r="B78" s="1">
        <v>20200902</v>
      </c>
      <c r="E78" s="1" t="s">
        <v>172</v>
      </c>
      <c r="F78" s="1" t="s">
        <v>762</v>
      </c>
      <c r="J78" s="1" t="s">
        <v>9</v>
      </c>
    </row>
    <row r="79" spans="2:10" x14ac:dyDescent="0.25">
      <c r="B79" s="1">
        <v>20201001</v>
      </c>
      <c r="E79" s="1" t="s">
        <v>250</v>
      </c>
      <c r="F79" s="1" t="s">
        <v>789</v>
      </c>
      <c r="J79" s="1" t="s">
        <v>583</v>
      </c>
    </row>
    <row r="80" spans="2:10" x14ac:dyDescent="0.25">
      <c r="B80" s="1">
        <v>20201702</v>
      </c>
      <c r="E80" s="1" t="s">
        <v>260</v>
      </c>
      <c r="F80" s="1" t="s">
        <v>327</v>
      </c>
      <c r="J80" s="1" t="s">
        <v>517</v>
      </c>
    </row>
    <row r="81" spans="2:10" x14ac:dyDescent="0.25">
      <c r="B81" s="1">
        <v>20300101</v>
      </c>
      <c r="E81" s="1" t="s">
        <v>59</v>
      </c>
      <c r="F81" s="1" t="s">
        <v>309</v>
      </c>
      <c r="J81" s="1" t="s">
        <v>155</v>
      </c>
    </row>
    <row r="82" spans="2:10" x14ac:dyDescent="0.25">
      <c r="B82" s="1">
        <v>20300201</v>
      </c>
      <c r="E82" s="1" t="s">
        <v>451</v>
      </c>
      <c r="F82" s="1" t="s">
        <v>308</v>
      </c>
      <c r="J82" s="1" t="s">
        <v>116</v>
      </c>
    </row>
    <row r="83" spans="2:10" x14ac:dyDescent="0.25">
      <c r="B83" s="1">
        <v>20300301</v>
      </c>
      <c r="E83" s="1" t="s">
        <v>489</v>
      </c>
      <c r="F83" s="1" t="s">
        <v>714</v>
      </c>
      <c r="J83" s="1" t="s">
        <v>43</v>
      </c>
    </row>
    <row r="84" spans="2:10" x14ac:dyDescent="0.25">
      <c r="B84" s="1">
        <v>20400101</v>
      </c>
      <c r="E84" s="1" t="s">
        <v>943</v>
      </c>
      <c r="F84" s="1" t="s">
        <v>704</v>
      </c>
      <c r="J84" s="1" t="s">
        <v>190</v>
      </c>
    </row>
    <row r="85" spans="2:10" x14ac:dyDescent="0.25">
      <c r="B85" s="1">
        <v>20400401</v>
      </c>
      <c r="E85" s="1" t="s">
        <v>42</v>
      </c>
      <c r="F85" s="1" t="s">
        <v>705</v>
      </c>
      <c r="J85" s="1" t="s">
        <v>866</v>
      </c>
    </row>
    <row r="86" spans="2:10" x14ac:dyDescent="0.25">
      <c r="B86" s="1">
        <v>28500201</v>
      </c>
      <c r="E86" s="1" t="s">
        <v>954</v>
      </c>
      <c r="F86" s="1" t="s">
        <v>639</v>
      </c>
      <c r="J86" s="1" t="s">
        <v>1032</v>
      </c>
    </row>
    <row r="87" spans="2:10" x14ac:dyDescent="0.25">
      <c r="B87" s="1">
        <v>30100902</v>
      </c>
      <c r="E87" s="1" t="s">
        <v>931</v>
      </c>
      <c r="F87" s="1" t="s">
        <v>356</v>
      </c>
      <c r="J87" s="1" t="s">
        <v>524</v>
      </c>
    </row>
    <row r="88" spans="2:10" x14ac:dyDescent="0.25">
      <c r="B88" s="1">
        <v>30101014</v>
      </c>
      <c r="E88" s="1" t="s">
        <v>543</v>
      </c>
      <c r="F88" s="1" t="s">
        <v>957</v>
      </c>
      <c r="J88" s="1" t="s">
        <v>529</v>
      </c>
    </row>
    <row r="89" spans="2:10" x14ac:dyDescent="0.25">
      <c r="B89" s="1">
        <v>30101030</v>
      </c>
      <c r="E89" s="1" t="s">
        <v>1155</v>
      </c>
      <c r="F89" s="1" t="s">
        <v>135</v>
      </c>
      <c r="J89" s="1" t="s">
        <v>277</v>
      </c>
    </row>
    <row r="90" spans="2:10" x14ac:dyDescent="0.25">
      <c r="B90" s="1">
        <v>30101401</v>
      </c>
      <c r="E90" s="1" t="s">
        <v>511</v>
      </c>
      <c r="F90" s="1" t="s">
        <v>840</v>
      </c>
      <c r="J90" s="1" t="s">
        <v>661</v>
      </c>
    </row>
    <row r="91" spans="2:10" x14ac:dyDescent="0.25">
      <c r="B91" s="1">
        <v>30101402</v>
      </c>
      <c r="E91" s="1" t="s">
        <v>577</v>
      </c>
      <c r="F91" s="1" t="s">
        <v>557</v>
      </c>
      <c r="J91" s="1" t="s">
        <v>537</v>
      </c>
    </row>
    <row r="92" spans="2:10" x14ac:dyDescent="0.25">
      <c r="B92" s="1">
        <v>30101499</v>
      </c>
      <c r="E92" s="1" t="s">
        <v>556</v>
      </c>
      <c r="F92" s="1" t="s">
        <v>962</v>
      </c>
      <c r="J92" s="1" t="s">
        <v>458</v>
      </c>
    </row>
    <row r="93" spans="2:10" x14ac:dyDescent="0.25">
      <c r="B93" s="1">
        <v>30101599</v>
      </c>
      <c r="E93" s="1" t="s">
        <v>608</v>
      </c>
      <c r="F93" s="1" t="s">
        <v>1102</v>
      </c>
      <c r="J93" s="1" t="s">
        <v>125</v>
      </c>
    </row>
    <row r="94" spans="2:10" x14ac:dyDescent="0.25">
      <c r="B94" s="1">
        <v>30101802</v>
      </c>
      <c r="E94" s="1" t="s">
        <v>793</v>
      </c>
      <c r="F94" s="1" t="s">
        <v>1037</v>
      </c>
      <c r="J94" s="1" t="s">
        <v>168</v>
      </c>
    </row>
    <row r="95" spans="2:10" x14ac:dyDescent="0.25">
      <c r="B95" s="1">
        <v>30101809</v>
      </c>
      <c r="E95" s="1" t="s">
        <v>915</v>
      </c>
      <c r="F95" s="1" t="s">
        <v>778</v>
      </c>
      <c r="J95" s="1" t="s">
        <v>387</v>
      </c>
    </row>
    <row r="96" spans="2:10" x14ac:dyDescent="0.25">
      <c r="B96" s="1">
        <v>30101810</v>
      </c>
      <c r="E96" s="1" t="s">
        <v>114</v>
      </c>
      <c r="F96" s="1" t="s">
        <v>776</v>
      </c>
      <c r="J96" s="1" t="s">
        <v>290</v>
      </c>
    </row>
    <row r="97" spans="2:10" x14ac:dyDescent="0.25">
      <c r="B97" s="1">
        <v>30101814</v>
      </c>
      <c r="E97" s="1" t="s">
        <v>1123</v>
      </c>
      <c r="F97" s="1" t="s">
        <v>839</v>
      </c>
      <c r="J97" s="1" t="s">
        <v>383</v>
      </c>
    </row>
    <row r="98" spans="2:10" x14ac:dyDescent="0.25">
      <c r="B98" s="1">
        <v>30101817</v>
      </c>
      <c r="E98" s="1" t="s">
        <v>1135</v>
      </c>
      <c r="F98" s="1" t="s">
        <v>1039</v>
      </c>
      <c r="J98" s="1" t="s">
        <v>91</v>
      </c>
    </row>
    <row r="99" spans="2:10" x14ac:dyDescent="0.25">
      <c r="B99" s="1">
        <v>30101837</v>
      </c>
      <c r="E99" s="1" t="s">
        <v>1139</v>
      </c>
      <c r="F99" s="1" t="s">
        <v>1024</v>
      </c>
      <c r="J99" s="1" t="s">
        <v>68</v>
      </c>
    </row>
    <row r="100" spans="2:10" x14ac:dyDescent="0.25">
      <c r="B100" s="1">
        <v>30101838</v>
      </c>
      <c r="E100" s="1" t="s">
        <v>1146</v>
      </c>
      <c r="F100" s="1" t="s">
        <v>1023</v>
      </c>
      <c r="J100" s="1" t="s">
        <v>709</v>
      </c>
    </row>
    <row r="101" spans="2:10" x14ac:dyDescent="0.25">
      <c r="B101" s="1">
        <v>30101839</v>
      </c>
      <c r="E101" s="1" t="s">
        <v>1148</v>
      </c>
      <c r="F101" s="1" t="s">
        <v>475</v>
      </c>
      <c r="J101" s="1" t="s">
        <v>548</v>
      </c>
    </row>
    <row r="102" spans="2:10" x14ac:dyDescent="0.25">
      <c r="B102" s="1">
        <v>30101840</v>
      </c>
      <c r="E102" s="1" t="s">
        <v>1041</v>
      </c>
      <c r="F102" s="1" t="s">
        <v>361</v>
      </c>
      <c r="J102" s="1" t="s">
        <v>599</v>
      </c>
    </row>
    <row r="103" spans="2:10" x14ac:dyDescent="0.25">
      <c r="B103" s="1">
        <v>30101863</v>
      </c>
      <c r="E103" s="1" t="s">
        <v>868</v>
      </c>
      <c r="F103" s="1" t="s">
        <v>299</v>
      </c>
      <c r="J103" s="1" t="s">
        <v>1038</v>
      </c>
    </row>
    <row r="104" spans="2:10" x14ac:dyDescent="0.25">
      <c r="B104" s="1">
        <v>30101880</v>
      </c>
      <c r="E104" s="1" t="s">
        <v>1030</v>
      </c>
      <c r="F104" s="1" t="s">
        <v>653</v>
      </c>
      <c r="J104" s="1" t="s">
        <v>813</v>
      </c>
    </row>
    <row r="105" spans="2:10" x14ac:dyDescent="0.25">
      <c r="B105" s="1">
        <v>30102005</v>
      </c>
      <c r="E105" s="1" t="s">
        <v>1103</v>
      </c>
      <c r="F105" s="1" t="s">
        <v>795</v>
      </c>
      <c r="J105" s="1" t="s">
        <v>668</v>
      </c>
    </row>
    <row r="106" spans="2:10" x14ac:dyDescent="0.25">
      <c r="B106" s="1">
        <v>30102054</v>
      </c>
      <c r="E106" s="1" t="s">
        <v>1150</v>
      </c>
      <c r="F106" s="1" t="s">
        <v>644</v>
      </c>
      <c r="J106" s="1" t="s">
        <v>444</v>
      </c>
    </row>
    <row r="107" spans="2:10" x14ac:dyDescent="0.25">
      <c r="B107" s="1">
        <v>30102099</v>
      </c>
      <c r="E107" s="1" t="s">
        <v>1059</v>
      </c>
      <c r="F107" s="1" t="s">
        <v>643</v>
      </c>
      <c r="J107" s="1" t="s">
        <v>874</v>
      </c>
    </row>
    <row r="108" spans="2:10" x14ac:dyDescent="0.25">
      <c r="B108" s="1">
        <v>30102122</v>
      </c>
      <c r="E108" s="1" t="s">
        <v>31</v>
      </c>
      <c r="F108" s="1" t="s">
        <v>526</v>
      </c>
      <c r="J108" s="1" t="s">
        <v>542</v>
      </c>
    </row>
    <row r="109" spans="2:10" x14ac:dyDescent="0.25">
      <c r="B109" s="1">
        <v>30102399</v>
      </c>
      <c r="E109" s="1" t="s">
        <v>271</v>
      </c>
      <c r="F109" s="1" t="s">
        <v>128</v>
      </c>
      <c r="J109" s="1" t="s">
        <v>775</v>
      </c>
    </row>
    <row r="110" spans="2:10" x14ac:dyDescent="0.25">
      <c r="B110" s="1">
        <v>30103201</v>
      </c>
      <c r="E110" s="1" t="s">
        <v>49</v>
      </c>
      <c r="F110" s="1" t="s">
        <v>647</v>
      </c>
      <c r="J110" s="1" t="s">
        <v>558</v>
      </c>
    </row>
    <row r="111" spans="2:10" x14ac:dyDescent="0.25">
      <c r="B111" s="1">
        <v>30105001</v>
      </c>
      <c r="E111" s="1" t="s">
        <v>906</v>
      </c>
      <c r="F111" s="1" t="s">
        <v>864</v>
      </c>
      <c r="J111" s="1" t="s">
        <v>1016</v>
      </c>
    </row>
    <row r="112" spans="2:10" x14ac:dyDescent="0.25">
      <c r="B112" s="1">
        <v>30112599</v>
      </c>
      <c r="E112" s="1" t="s">
        <v>951</v>
      </c>
      <c r="F112" s="1" t="s">
        <v>935</v>
      </c>
      <c r="J112" s="1" t="s">
        <v>149</v>
      </c>
    </row>
    <row r="113" spans="2:10" x14ac:dyDescent="0.25">
      <c r="B113" s="1">
        <v>30125010</v>
      </c>
      <c r="E113" s="1" t="s">
        <v>215</v>
      </c>
      <c r="F113" s="1" t="s">
        <v>936</v>
      </c>
      <c r="J113" s="1" t="s">
        <v>562</v>
      </c>
    </row>
    <row r="114" spans="2:10" x14ac:dyDescent="0.25">
      <c r="B114" s="1">
        <v>30125099</v>
      </c>
      <c r="E114" s="1" t="s">
        <v>381</v>
      </c>
      <c r="F114" s="1" t="s">
        <v>726</v>
      </c>
      <c r="J114" s="1" t="s">
        <v>1204</v>
      </c>
    </row>
    <row r="115" spans="2:10" x14ac:dyDescent="0.25">
      <c r="B115" s="1">
        <v>30180008</v>
      </c>
      <c r="E115" s="1" t="s">
        <v>385</v>
      </c>
      <c r="F115" s="1" t="s">
        <v>716</v>
      </c>
      <c r="J115" s="1" t="s">
        <v>1093</v>
      </c>
    </row>
    <row r="116" spans="2:10" x14ac:dyDescent="0.25">
      <c r="B116" s="1">
        <v>30188801</v>
      </c>
      <c r="E116" s="1" t="s">
        <v>218</v>
      </c>
      <c r="F116" s="1" t="s">
        <v>723</v>
      </c>
      <c r="J116" s="1" t="s">
        <v>863</v>
      </c>
    </row>
    <row r="117" spans="2:10" x14ac:dyDescent="0.25">
      <c r="B117" s="1">
        <v>30199998</v>
      </c>
      <c r="E117" s="1" t="s">
        <v>388</v>
      </c>
      <c r="F117" s="1" t="s">
        <v>336</v>
      </c>
      <c r="J117" s="1" t="s">
        <v>586</v>
      </c>
    </row>
    <row r="118" spans="2:10" x14ac:dyDescent="0.25">
      <c r="B118" s="1">
        <v>30200503</v>
      </c>
      <c r="E118" s="1" t="s">
        <v>528</v>
      </c>
      <c r="F118" s="1" t="s">
        <v>378</v>
      </c>
      <c r="J118" s="1" t="s">
        <v>151</v>
      </c>
    </row>
    <row r="119" spans="2:10" x14ac:dyDescent="0.25">
      <c r="B119" s="1">
        <v>30200504</v>
      </c>
      <c r="E119" s="1" t="s">
        <v>22</v>
      </c>
      <c r="F119" s="1" t="s">
        <v>38</v>
      </c>
      <c r="J119" s="1" t="s">
        <v>78</v>
      </c>
    </row>
    <row r="120" spans="2:10" x14ac:dyDescent="0.25">
      <c r="B120" s="1">
        <v>30200506</v>
      </c>
      <c r="E120" s="1" t="s">
        <v>551</v>
      </c>
      <c r="F120" s="1" t="s">
        <v>1048</v>
      </c>
      <c r="J120" s="1" t="s">
        <v>104</v>
      </c>
    </row>
    <row r="121" spans="2:10" x14ac:dyDescent="0.25">
      <c r="B121" s="1">
        <v>30200507</v>
      </c>
      <c r="E121" s="1" t="s">
        <v>794</v>
      </c>
      <c r="F121" s="1" t="s">
        <v>1064</v>
      </c>
      <c r="J121" s="1" t="s">
        <v>236</v>
      </c>
    </row>
    <row r="122" spans="2:10" x14ac:dyDescent="0.25">
      <c r="B122" s="1">
        <v>30200513</v>
      </c>
      <c r="E122" s="1" t="s">
        <v>580</v>
      </c>
      <c r="F122" s="1" t="s">
        <v>1095</v>
      </c>
    </row>
    <row r="123" spans="2:10" x14ac:dyDescent="0.25">
      <c r="B123" s="1">
        <v>30200526</v>
      </c>
      <c r="E123" s="1" t="s">
        <v>707</v>
      </c>
      <c r="F123" s="1" t="s">
        <v>1050</v>
      </c>
    </row>
    <row r="124" spans="2:10" x14ac:dyDescent="0.25">
      <c r="B124" s="1">
        <v>30200527</v>
      </c>
      <c r="E124" s="1" t="s">
        <v>800</v>
      </c>
      <c r="F124" s="1" t="s">
        <v>1066</v>
      </c>
    </row>
    <row r="125" spans="2:10" x14ac:dyDescent="0.25">
      <c r="B125" s="1">
        <v>30200528</v>
      </c>
      <c r="E125" s="1" t="s">
        <v>37</v>
      </c>
      <c r="F125" s="1" t="s">
        <v>1068</v>
      </c>
    </row>
    <row r="126" spans="2:10" x14ac:dyDescent="0.25">
      <c r="B126" s="1">
        <v>30200530</v>
      </c>
      <c r="E126" s="1" t="s">
        <v>972</v>
      </c>
      <c r="F126" s="1" t="s">
        <v>1114</v>
      </c>
    </row>
    <row r="127" spans="2:10" x14ac:dyDescent="0.25">
      <c r="B127" s="1">
        <v>30200537</v>
      </c>
      <c r="E127" s="1" t="s">
        <v>432</v>
      </c>
      <c r="F127" s="1" t="s">
        <v>774</v>
      </c>
    </row>
    <row r="128" spans="2:10" x14ac:dyDescent="0.25">
      <c r="B128" s="1">
        <v>30200540</v>
      </c>
      <c r="E128" s="1" t="s">
        <v>426</v>
      </c>
      <c r="F128" s="1" t="s">
        <v>300</v>
      </c>
    </row>
    <row r="129" spans="2:6" x14ac:dyDescent="0.25">
      <c r="B129" s="1">
        <v>30200551</v>
      </c>
      <c r="E129" s="1" t="s">
        <v>429</v>
      </c>
      <c r="F129" s="1" t="s">
        <v>708</v>
      </c>
    </row>
    <row r="130" spans="2:6" x14ac:dyDescent="0.25">
      <c r="B130" s="1">
        <v>30200552</v>
      </c>
      <c r="E130" s="1" t="s">
        <v>430</v>
      </c>
      <c r="F130" s="1" t="s">
        <v>757</v>
      </c>
    </row>
    <row r="131" spans="2:6" x14ac:dyDescent="0.25">
      <c r="B131" s="1">
        <v>30200553</v>
      </c>
      <c r="E131" s="1" t="s">
        <v>431</v>
      </c>
      <c r="F131" s="1" t="s">
        <v>820</v>
      </c>
    </row>
    <row r="132" spans="2:6" x14ac:dyDescent="0.25">
      <c r="B132" s="1">
        <v>30200560</v>
      </c>
      <c r="E132" s="1" t="s">
        <v>414</v>
      </c>
      <c r="F132" s="1" t="s">
        <v>1124</v>
      </c>
    </row>
    <row r="133" spans="2:6" x14ac:dyDescent="0.25">
      <c r="B133" s="1">
        <v>30200563</v>
      </c>
      <c r="E133" s="1" t="s">
        <v>248</v>
      </c>
      <c r="F133" s="1" t="s">
        <v>1149</v>
      </c>
    </row>
    <row r="134" spans="2:6" x14ac:dyDescent="0.25">
      <c r="B134" s="1">
        <v>30200564</v>
      </c>
      <c r="E134" s="1" t="s">
        <v>1161</v>
      </c>
      <c r="F134" s="1" t="s">
        <v>445</v>
      </c>
    </row>
    <row r="135" spans="2:6" x14ac:dyDescent="0.25">
      <c r="B135" s="1">
        <v>30200603</v>
      </c>
      <c r="E135" s="1" t="s">
        <v>1174</v>
      </c>
      <c r="F135" s="1" t="s">
        <v>1106</v>
      </c>
    </row>
    <row r="136" spans="2:6" x14ac:dyDescent="0.25">
      <c r="B136" s="1">
        <v>30200604</v>
      </c>
      <c r="E136" s="1" t="s">
        <v>301</v>
      </c>
      <c r="F136" s="1" t="s">
        <v>934</v>
      </c>
    </row>
    <row r="137" spans="2:6" x14ac:dyDescent="0.25">
      <c r="B137" s="1">
        <v>30200606</v>
      </c>
      <c r="E137" s="1" t="s">
        <v>170</v>
      </c>
      <c r="F137" s="1" t="s">
        <v>133</v>
      </c>
    </row>
    <row r="138" spans="2:6" x14ac:dyDescent="0.25">
      <c r="B138" s="1">
        <v>30200607</v>
      </c>
      <c r="E138" s="1" t="s">
        <v>834</v>
      </c>
      <c r="F138" s="1" t="s">
        <v>260</v>
      </c>
    </row>
    <row r="139" spans="2:6" x14ac:dyDescent="0.25">
      <c r="B139" s="1">
        <v>30200608</v>
      </c>
      <c r="E139" s="1" t="s">
        <v>139</v>
      </c>
      <c r="F139" s="1" t="s">
        <v>1084</v>
      </c>
    </row>
    <row r="140" spans="2:6" x14ac:dyDescent="0.25">
      <c r="B140" s="1">
        <v>30200708</v>
      </c>
      <c r="E140" s="1" t="s">
        <v>27</v>
      </c>
      <c r="F140" s="1" t="s">
        <v>1085</v>
      </c>
    </row>
    <row r="141" spans="2:6" x14ac:dyDescent="0.25">
      <c r="B141" s="1">
        <v>30200709</v>
      </c>
      <c r="E141" s="1" t="s">
        <v>79</v>
      </c>
      <c r="F141" s="1" t="s">
        <v>901</v>
      </c>
    </row>
    <row r="142" spans="2:6" x14ac:dyDescent="0.25">
      <c r="B142" s="1">
        <v>30200724</v>
      </c>
      <c r="E142" s="1" t="s">
        <v>499</v>
      </c>
      <c r="F142" s="1" t="s">
        <v>903</v>
      </c>
    </row>
    <row r="143" spans="2:6" x14ac:dyDescent="0.25">
      <c r="B143" s="1">
        <v>30200730</v>
      </c>
      <c r="E143" s="1" t="s">
        <v>252</v>
      </c>
      <c r="F143" s="1" t="s">
        <v>902</v>
      </c>
    </row>
    <row r="144" spans="2:6" x14ac:dyDescent="0.25">
      <c r="B144" s="1">
        <v>30200731</v>
      </c>
      <c r="E144" s="1" t="s">
        <v>48</v>
      </c>
      <c r="F144" s="1" t="s">
        <v>1096</v>
      </c>
    </row>
    <row r="145" spans="2:6" x14ac:dyDescent="0.25">
      <c r="B145" s="1">
        <v>30200732</v>
      </c>
      <c r="E145" s="1" t="s">
        <v>492</v>
      </c>
      <c r="F145" s="1" t="s">
        <v>1055</v>
      </c>
    </row>
    <row r="146" spans="2:6" x14ac:dyDescent="0.25">
      <c r="B146" s="1">
        <v>30200733</v>
      </c>
      <c r="E146" s="1" t="s">
        <v>1033</v>
      </c>
      <c r="F146" s="1" t="s">
        <v>1054</v>
      </c>
    </row>
    <row r="147" spans="2:6" x14ac:dyDescent="0.25">
      <c r="B147" s="1">
        <v>30200734</v>
      </c>
      <c r="E147" s="1" t="s">
        <v>161</v>
      </c>
      <c r="F147" s="1" t="s">
        <v>1072</v>
      </c>
    </row>
    <row r="148" spans="2:6" x14ac:dyDescent="0.25">
      <c r="B148" s="1">
        <v>30200741</v>
      </c>
      <c r="E148" s="1" t="s">
        <v>160</v>
      </c>
      <c r="F148" s="1" t="s">
        <v>1063</v>
      </c>
    </row>
    <row r="149" spans="2:6" x14ac:dyDescent="0.25">
      <c r="B149" s="1">
        <v>30200742</v>
      </c>
      <c r="E149" s="1" t="s">
        <v>497</v>
      </c>
      <c r="F149" s="1" t="s">
        <v>1097</v>
      </c>
    </row>
    <row r="150" spans="2:6" x14ac:dyDescent="0.25">
      <c r="B150" s="1">
        <v>30200743</v>
      </c>
      <c r="E150" s="1" t="s">
        <v>304</v>
      </c>
      <c r="F150" s="1" t="s">
        <v>1056</v>
      </c>
    </row>
    <row r="151" spans="2:6" x14ac:dyDescent="0.25">
      <c r="B151" s="1">
        <v>30200744</v>
      </c>
      <c r="E151" s="1" t="s">
        <v>727</v>
      </c>
      <c r="F151" s="1" t="s">
        <v>1117</v>
      </c>
    </row>
    <row r="152" spans="2:6" x14ac:dyDescent="0.25">
      <c r="B152" s="1">
        <v>30200773</v>
      </c>
      <c r="E152" s="1" t="s">
        <v>1099</v>
      </c>
      <c r="F152" s="1" t="s">
        <v>1115</v>
      </c>
    </row>
    <row r="153" spans="2:6" x14ac:dyDescent="0.25">
      <c r="B153" s="1">
        <v>30200777</v>
      </c>
      <c r="E153" s="1" t="s">
        <v>424</v>
      </c>
      <c r="F153" s="1" t="s">
        <v>1111</v>
      </c>
    </row>
    <row r="154" spans="2:6" x14ac:dyDescent="0.25">
      <c r="B154" s="1">
        <v>30200781</v>
      </c>
      <c r="E154" s="1" t="s">
        <v>420</v>
      </c>
      <c r="F154" s="1" t="s">
        <v>822</v>
      </c>
    </row>
    <row r="155" spans="2:6" x14ac:dyDescent="0.25">
      <c r="B155" s="1">
        <v>30200784</v>
      </c>
      <c r="E155" s="1" t="s">
        <v>409</v>
      </c>
      <c r="F155" s="1" t="s">
        <v>944</v>
      </c>
    </row>
    <row r="156" spans="2:6" x14ac:dyDescent="0.25">
      <c r="B156" s="1">
        <v>30200785</v>
      </c>
      <c r="E156" s="1" t="s">
        <v>412</v>
      </c>
      <c r="F156" s="1" t="s">
        <v>753</v>
      </c>
    </row>
    <row r="157" spans="2:6" x14ac:dyDescent="0.25">
      <c r="B157" s="1">
        <v>30200786</v>
      </c>
      <c r="E157" s="1" t="s">
        <v>391</v>
      </c>
      <c r="F157" s="1" t="s">
        <v>752</v>
      </c>
    </row>
    <row r="158" spans="2:6" x14ac:dyDescent="0.25">
      <c r="B158" s="1">
        <v>30200787</v>
      </c>
      <c r="E158" s="1" t="s">
        <v>801</v>
      </c>
      <c r="F158" s="1" t="s">
        <v>754</v>
      </c>
    </row>
    <row r="159" spans="2:6" x14ac:dyDescent="0.25">
      <c r="B159" s="1">
        <v>30200788</v>
      </c>
      <c r="E159" s="1" t="s">
        <v>468</v>
      </c>
      <c r="F159" s="1" t="s">
        <v>594</v>
      </c>
    </row>
    <row r="160" spans="2:6" x14ac:dyDescent="0.25">
      <c r="B160" s="1">
        <v>30200789</v>
      </c>
      <c r="E160" s="1" t="s">
        <v>74</v>
      </c>
      <c r="F160" s="1" t="s">
        <v>592</v>
      </c>
    </row>
    <row r="161" spans="2:6" x14ac:dyDescent="0.25">
      <c r="B161" s="1">
        <v>30200790</v>
      </c>
      <c r="E161" s="1" t="s">
        <v>1104</v>
      </c>
      <c r="F161" s="1" t="s">
        <v>591</v>
      </c>
    </row>
    <row r="162" spans="2:6" x14ac:dyDescent="0.25">
      <c r="B162" s="1">
        <v>30200791</v>
      </c>
      <c r="E162" s="1" t="s">
        <v>326</v>
      </c>
      <c r="F162" s="1" t="s">
        <v>593</v>
      </c>
    </row>
    <row r="163" spans="2:6" x14ac:dyDescent="0.25">
      <c r="B163" s="1">
        <v>30200793</v>
      </c>
      <c r="E163" s="1" t="s">
        <v>7</v>
      </c>
      <c r="F163" s="1" t="s">
        <v>651</v>
      </c>
    </row>
    <row r="164" spans="2:6" x14ac:dyDescent="0.25">
      <c r="B164" s="1">
        <v>30200801</v>
      </c>
      <c r="E164" s="1" t="s">
        <v>158</v>
      </c>
      <c r="F164" s="1" t="s">
        <v>559</v>
      </c>
    </row>
    <row r="165" spans="2:6" x14ac:dyDescent="0.25">
      <c r="B165" s="1">
        <v>30200803</v>
      </c>
      <c r="E165" s="1" t="s">
        <v>945</v>
      </c>
      <c r="F165" s="1" t="s">
        <v>619</v>
      </c>
    </row>
    <row r="166" spans="2:6" x14ac:dyDescent="0.25">
      <c r="B166" s="1">
        <v>30200804</v>
      </c>
      <c r="E166" s="1" t="s">
        <v>828</v>
      </c>
      <c r="F166" s="1" t="s">
        <v>498</v>
      </c>
    </row>
    <row r="167" spans="2:6" x14ac:dyDescent="0.25">
      <c r="B167" s="1">
        <v>30200805</v>
      </c>
      <c r="E167" s="1" t="s">
        <v>956</v>
      </c>
      <c r="F167" s="1" t="s">
        <v>341</v>
      </c>
    </row>
    <row r="168" spans="2:6" x14ac:dyDescent="0.25">
      <c r="B168" s="1">
        <v>30200806</v>
      </c>
      <c r="E168" s="1" t="s">
        <v>958</v>
      </c>
      <c r="F168" s="1" t="s">
        <v>711</v>
      </c>
    </row>
    <row r="169" spans="2:6" x14ac:dyDescent="0.25">
      <c r="B169" s="1">
        <v>30200816</v>
      </c>
      <c r="E169" s="1" t="s">
        <v>263</v>
      </c>
      <c r="F169" s="1" t="s">
        <v>710</v>
      </c>
    </row>
    <row r="170" spans="2:6" x14ac:dyDescent="0.25">
      <c r="B170" s="1">
        <v>30200817</v>
      </c>
      <c r="E170" s="1" t="s">
        <v>165</v>
      </c>
      <c r="F170" s="1" t="s">
        <v>955</v>
      </c>
    </row>
    <row r="171" spans="2:6" x14ac:dyDescent="0.25">
      <c r="B171" s="1">
        <v>30200818</v>
      </c>
      <c r="E171" s="1" t="s">
        <v>624</v>
      </c>
      <c r="F171" s="1" t="s">
        <v>579</v>
      </c>
    </row>
    <row r="172" spans="2:6" x14ac:dyDescent="0.25">
      <c r="B172" s="1">
        <v>30200819</v>
      </c>
      <c r="E172" s="1" t="s">
        <v>898</v>
      </c>
      <c r="F172" s="1" t="s">
        <v>1008</v>
      </c>
    </row>
    <row r="173" spans="2:6" x14ac:dyDescent="0.25">
      <c r="B173" s="1">
        <v>30200902</v>
      </c>
      <c r="E173" s="1" t="s">
        <v>1027</v>
      </c>
      <c r="F173" s="1" t="s">
        <v>54</v>
      </c>
    </row>
    <row r="174" spans="2:6" x14ac:dyDescent="0.25">
      <c r="B174" s="1">
        <v>30200930</v>
      </c>
      <c r="E174" s="1" t="s">
        <v>156</v>
      </c>
      <c r="F174" s="1" t="s">
        <v>1203</v>
      </c>
    </row>
    <row r="175" spans="2:6" x14ac:dyDescent="0.25">
      <c r="B175" s="1">
        <v>30201104</v>
      </c>
      <c r="E175" s="1" t="s">
        <v>947</v>
      </c>
      <c r="F175" s="1" t="s">
        <v>932</v>
      </c>
    </row>
    <row r="176" spans="2:6" x14ac:dyDescent="0.25">
      <c r="B176" s="1">
        <v>30201105</v>
      </c>
      <c r="E176" s="1" t="s">
        <v>1029</v>
      </c>
      <c r="F176" s="1" t="s">
        <v>1025</v>
      </c>
    </row>
    <row r="177" spans="2:6" x14ac:dyDescent="0.25">
      <c r="B177" s="1">
        <v>30201199</v>
      </c>
      <c r="E177" s="1" t="s">
        <v>152</v>
      </c>
      <c r="F177" s="1" t="s">
        <v>1155</v>
      </c>
    </row>
    <row r="178" spans="2:6" x14ac:dyDescent="0.25">
      <c r="B178" s="1">
        <v>30201302</v>
      </c>
      <c r="E178" s="1" t="s">
        <v>735</v>
      </c>
      <c r="F178" s="1" t="s">
        <v>965</v>
      </c>
    </row>
    <row r="179" spans="2:6" x14ac:dyDescent="0.25">
      <c r="B179" s="1">
        <v>30201407</v>
      </c>
      <c r="E179" s="1" t="s">
        <v>686</v>
      </c>
      <c r="F179" s="1" t="s">
        <v>964</v>
      </c>
    </row>
    <row r="180" spans="2:6" x14ac:dyDescent="0.25">
      <c r="B180" s="1">
        <v>30201608</v>
      </c>
      <c r="E180" s="1" t="s">
        <v>738</v>
      </c>
      <c r="F180" s="1" t="s">
        <v>550</v>
      </c>
    </row>
    <row r="181" spans="2:6" x14ac:dyDescent="0.25">
      <c r="B181" s="1">
        <v>30201655</v>
      </c>
      <c r="E181" s="1" t="s">
        <v>549</v>
      </c>
      <c r="F181" s="1" t="s">
        <v>1017</v>
      </c>
    </row>
    <row r="182" spans="2:6" x14ac:dyDescent="0.25">
      <c r="B182" s="1">
        <v>30201658</v>
      </c>
      <c r="E182" s="1" t="s">
        <v>17</v>
      </c>
      <c r="F182" s="1" t="s">
        <v>1125</v>
      </c>
    </row>
    <row r="183" spans="2:6" x14ac:dyDescent="0.25">
      <c r="B183" s="1">
        <v>30201661</v>
      </c>
      <c r="E183" s="1" t="s">
        <v>810</v>
      </c>
      <c r="F183" s="1" t="s">
        <v>1126</v>
      </c>
    </row>
    <row r="184" spans="2:6" x14ac:dyDescent="0.25">
      <c r="B184" s="1">
        <v>30201899</v>
      </c>
      <c r="E184" s="1" t="s">
        <v>120</v>
      </c>
      <c r="F184" s="1" t="s">
        <v>1147</v>
      </c>
    </row>
    <row r="185" spans="2:6" x14ac:dyDescent="0.25">
      <c r="B185" s="1">
        <v>30201916</v>
      </c>
      <c r="E185" s="1" t="s">
        <v>986</v>
      </c>
      <c r="F185" s="1" t="s">
        <v>208</v>
      </c>
    </row>
    <row r="186" spans="2:6" x14ac:dyDescent="0.25">
      <c r="B186" s="1">
        <v>30201919</v>
      </c>
      <c r="E186" s="1" t="s">
        <v>953</v>
      </c>
      <c r="F186" s="1" t="s">
        <v>375</v>
      </c>
    </row>
    <row r="187" spans="2:6" x14ac:dyDescent="0.25">
      <c r="B187" s="1">
        <v>30203010</v>
      </c>
      <c r="E187" s="1" t="s">
        <v>169</v>
      </c>
      <c r="F187" s="1" t="s">
        <v>525</v>
      </c>
    </row>
    <row r="188" spans="2:6" x14ac:dyDescent="0.25">
      <c r="B188" s="1">
        <v>30203020</v>
      </c>
      <c r="E188" s="1" t="s">
        <v>983</v>
      </c>
      <c r="F188" s="1" t="s">
        <v>746</v>
      </c>
    </row>
    <row r="189" spans="2:6" x14ac:dyDescent="0.25">
      <c r="B189" s="1">
        <v>30203201</v>
      </c>
      <c r="E189" s="1" t="s">
        <v>1035</v>
      </c>
      <c r="F189" s="1" t="s">
        <v>622</v>
      </c>
    </row>
    <row r="190" spans="2:6" x14ac:dyDescent="0.25">
      <c r="B190" s="1">
        <v>30203299</v>
      </c>
      <c r="E190" s="1" t="s">
        <v>905</v>
      </c>
      <c r="F190" s="1" t="s">
        <v>817</v>
      </c>
    </row>
    <row r="191" spans="2:6" x14ac:dyDescent="0.25">
      <c r="B191" s="1">
        <v>30203601</v>
      </c>
      <c r="E191" s="1" t="s">
        <v>191</v>
      </c>
      <c r="F191" s="1" t="s">
        <v>824</v>
      </c>
    </row>
    <row r="192" spans="2:6" x14ac:dyDescent="0.25">
      <c r="B192" s="1">
        <v>30203602</v>
      </c>
      <c r="E192" s="1" t="s">
        <v>199</v>
      </c>
      <c r="F192" s="1" t="s">
        <v>99</v>
      </c>
    </row>
    <row r="193" spans="2:6" x14ac:dyDescent="0.25">
      <c r="B193" s="1">
        <v>30203603</v>
      </c>
      <c r="E193" s="1" t="s">
        <v>909</v>
      </c>
      <c r="F193" s="1" t="s">
        <v>1089</v>
      </c>
    </row>
    <row r="194" spans="2:6" x14ac:dyDescent="0.25">
      <c r="B194" s="1">
        <v>30203801</v>
      </c>
      <c r="E194" s="1" t="s">
        <v>162</v>
      </c>
      <c r="F194" s="1" t="s">
        <v>867</v>
      </c>
    </row>
    <row r="195" spans="2:6" x14ac:dyDescent="0.25">
      <c r="B195" s="1">
        <v>30203803</v>
      </c>
      <c r="E195" s="1" t="s">
        <v>417</v>
      </c>
      <c r="F195" s="1" t="s">
        <v>842</v>
      </c>
    </row>
    <row r="196" spans="2:6" x14ac:dyDescent="0.25">
      <c r="B196" s="1">
        <v>30203805</v>
      </c>
      <c r="E196" s="1" t="s">
        <v>1159</v>
      </c>
      <c r="F196" s="1" t="s">
        <v>134</v>
      </c>
    </row>
    <row r="197" spans="2:6" x14ac:dyDescent="0.25">
      <c r="B197" s="1">
        <v>30203811</v>
      </c>
      <c r="E197" s="1" t="s">
        <v>69</v>
      </c>
      <c r="F197" s="1" t="s">
        <v>856</v>
      </c>
    </row>
    <row r="198" spans="2:6" x14ac:dyDescent="0.25">
      <c r="B198" s="1">
        <v>30204001</v>
      </c>
      <c r="E198" s="1" t="s">
        <v>255</v>
      </c>
      <c r="F198" s="1" t="s">
        <v>32</v>
      </c>
    </row>
    <row r="199" spans="2:6" x14ac:dyDescent="0.25">
      <c r="B199" s="1">
        <v>30282503</v>
      </c>
      <c r="E199" s="1" t="s">
        <v>1105</v>
      </c>
      <c r="F199" s="1" t="s">
        <v>699</v>
      </c>
    </row>
    <row r="200" spans="2:6" x14ac:dyDescent="0.25">
      <c r="B200" s="1">
        <v>30288801</v>
      </c>
      <c r="E200" s="1" t="s">
        <v>1088</v>
      </c>
      <c r="F200" s="1" t="s">
        <v>769</v>
      </c>
    </row>
    <row r="201" spans="2:6" x14ac:dyDescent="0.25">
      <c r="B201" s="1">
        <v>30299998</v>
      </c>
      <c r="E201" s="1" t="s">
        <v>900</v>
      </c>
      <c r="F201" s="1" t="s">
        <v>371</v>
      </c>
    </row>
    <row r="202" spans="2:6" x14ac:dyDescent="0.25">
      <c r="B202" s="1">
        <v>30300999</v>
      </c>
      <c r="E202" s="1" t="s">
        <v>913</v>
      </c>
      <c r="F202" s="1" t="s">
        <v>344</v>
      </c>
    </row>
    <row r="203" spans="2:6" x14ac:dyDescent="0.25">
      <c r="B203" s="1">
        <v>30302301</v>
      </c>
      <c r="E203" s="1" t="s">
        <v>1166</v>
      </c>
      <c r="F203" s="1" t="s">
        <v>352</v>
      </c>
    </row>
    <row r="204" spans="2:6" x14ac:dyDescent="0.25">
      <c r="B204" s="1">
        <v>30302302</v>
      </c>
      <c r="E204" s="1" t="s">
        <v>519</v>
      </c>
      <c r="F204" s="1" t="s">
        <v>49</v>
      </c>
    </row>
    <row r="205" spans="2:6" x14ac:dyDescent="0.25">
      <c r="B205" s="1">
        <v>30302303</v>
      </c>
      <c r="E205" s="1" t="s">
        <v>848</v>
      </c>
      <c r="F205" s="1" t="s">
        <v>636</v>
      </c>
    </row>
    <row r="206" spans="2:6" x14ac:dyDescent="0.25">
      <c r="B206" s="1">
        <v>30302304</v>
      </c>
      <c r="E206" s="1" t="s">
        <v>655</v>
      </c>
      <c r="F206" s="1" t="s">
        <v>564</v>
      </c>
    </row>
    <row r="207" spans="2:6" x14ac:dyDescent="0.25">
      <c r="B207" s="1">
        <v>30302307</v>
      </c>
      <c r="E207" s="1" t="s">
        <v>514</v>
      </c>
      <c r="F207" s="1" t="s">
        <v>736</v>
      </c>
    </row>
    <row r="208" spans="2:6" x14ac:dyDescent="0.25">
      <c r="B208" s="1">
        <v>30302308</v>
      </c>
      <c r="E208" s="1" t="s">
        <v>880</v>
      </c>
      <c r="F208" s="1" t="s">
        <v>111</v>
      </c>
    </row>
    <row r="209" spans="2:6" x14ac:dyDescent="0.25">
      <c r="B209" s="1">
        <v>30302315</v>
      </c>
      <c r="E209" s="1" t="s">
        <v>1022</v>
      </c>
      <c r="F209" s="1" t="s">
        <v>929</v>
      </c>
    </row>
    <row r="210" spans="2:6" x14ac:dyDescent="0.25">
      <c r="B210" s="1">
        <v>30302316</v>
      </c>
      <c r="E210" s="1" t="s">
        <v>154</v>
      </c>
      <c r="F210" s="1" t="s">
        <v>373</v>
      </c>
    </row>
    <row r="211" spans="2:6" x14ac:dyDescent="0.25">
      <c r="B211" s="1">
        <v>30302321</v>
      </c>
      <c r="E211" s="1" t="s">
        <v>183</v>
      </c>
      <c r="F211" s="1" t="s">
        <v>215</v>
      </c>
    </row>
    <row r="212" spans="2:6" x14ac:dyDescent="0.25">
      <c r="B212" s="1">
        <v>30302322</v>
      </c>
      <c r="E212" s="1" t="s">
        <v>194</v>
      </c>
      <c r="F212" s="1" t="s">
        <v>1045</v>
      </c>
    </row>
    <row r="213" spans="2:6" x14ac:dyDescent="0.25">
      <c r="B213" s="1">
        <v>30302345</v>
      </c>
      <c r="E213" s="1" t="s">
        <v>459</v>
      </c>
      <c r="F213" s="1" t="s">
        <v>1079</v>
      </c>
    </row>
    <row r="214" spans="2:6" x14ac:dyDescent="0.25">
      <c r="B214" s="1">
        <v>30302349</v>
      </c>
      <c r="E214" s="1" t="s">
        <v>1091</v>
      </c>
      <c r="F214" s="1" t="s">
        <v>1044</v>
      </c>
    </row>
    <row r="215" spans="2:6" x14ac:dyDescent="0.25">
      <c r="B215" s="1">
        <v>30302350</v>
      </c>
      <c r="E215" s="1" t="s">
        <v>1120</v>
      </c>
      <c r="F215" s="1" t="s">
        <v>1092</v>
      </c>
    </row>
    <row r="216" spans="2:6" x14ac:dyDescent="0.25">
      <c r="B216" s="1">
        <v>30302351</v>
      </c>
      <c r="E216" s="1" t="s">
        <v>923</v>
      </c>
      <c r="F216" s="1" t="s">
        <v>1081</v>
      </c>
    </row>
    <row r="217" spans="2:6" x14ac:dyDescent="0.25">
      <c r="B217" s="1">
        <v>30302352</v>
      </c>
      <c r="E217" s="1" t="s">
        <v>1032</v>
      </c>
      <c r="F217" s="1" t="s">
        <v>1047</v>
      </c>
    </row>
    <row r="218" spans="2:6" x14ac:dyDescent="0.25">
      <c r="B218" s="1">
        <v>30302357</v>
      </c>
      <c r="E218" s="1" t="s">
        <v>521</v>
      </c>
      <c r="F218" s="1" t="s">
        <v>1062</v>
      </c>
    </row>
    <row r="219" spans="2:6" x14ac:dyDescent="0.25">
      <c r="B219" s="1">
        <v>30302359</v>
      </c>
      <c r="E219" s="1" t="s">
        <v>883</v>
      </c>
      <c r="F219" s="1" t="s">
        <v>1082</v>
      </c>
    </row>
    <row r="220" spans="2:6" x14ac:dyDescent="0.25">
      <c r="B220" s="1">
        <v>30302360</v>
      </c>
      <c r="E220" s="1" t="s">
        <v>274</v>
      </c>
      <c r="F220" s="1" t="s">
        <v>1060</v>
      </c>
    </row>
    <row r="221" spans="2:6" x14ac:dyDescent="0.25">
      <c r="B221" s="1">
        <v>30302379</v>
      </c>
      <c r="E221" s="1" t="s">
        <v>535</v>
      </c>
      <c r="F221" s="1" t="s">
        <v>1077</v>
      </c>
    </row>
    <row r="222" spans="2:6" x14ac:dyDescent="0.25">
      <c r="B222" s="1">
        <v>30302380</v>
      </c>
      <c r="E222" s="1" t="s">
        <v>980</v>
      </c>
      <c r="F222" s="1" t="s">
        <v>1042</v>
      </c>
    </row>
    <row r="223" spans="2:6" x14ac:dyDescent="0.25">
      <c r="B223" s="1">
        <v>30302381</v>
      </c>
      <c r="E223" s="1" t="s">
        <v>455</v>
      </c>
      <c r="F223" s="1" t="s">
        <v>1080</v>
      </c>
    </row>
    <row r="224" spans="2:6" x14ac:dyDescent="0.25">
      <c r="B224" s="1">
        <v>30302382</v>
      </c>
      <c r="E224" s="1" t="s">
        <v>850</v>
      </c>
      <c r="F224" s="1" t="s">
        <v>1046</v>
      </c>
    </row>
    <row r="225" spans="2:6" x14ac:dyDescent="0.25">
      <c r="B225" s="1">
        <v>30302395</v>
      </c>
      <c r="E225" s="1" t="s">
        <v>977</v>
      </c>
      <c r="F225" s="1" t="s">
        <v>1094</v>
      </c>
    </row>
    <row r="226" spans="2:6" x14ac:dyDescent="0.25">
      <c r="B226" s="1">
        <v>30302401</v>
      </c>
      <c r="E226" s="1" t="s">
        <v>838</v>
      </c>
      <c r="F226" s="1" t="s">
        <v>1118</v>
      </c>
    </row>
    <row r="227" spans="2:6" x14ac:dyDescent="0.25">
      <c r="B227" s="1">
        <v>30302402</v>
      </c>
      <c r="E227" s="1" t="s">
        <v>167</v>
      </c>
      <c r="F227" s="1" t="s">
        <v>1116</v>
      </c>
    </row>
    <row r="228" spans="2:6" x14ac:dyDescent="0.25">
      <c r="B228" s="1">
        <v>30302403</v>
      </c>
      <c r="E228" s="1" t="s">
        <v>501</v>
      </c>
      <c r="F228" s="1" t="s">
        <v>1069</v>
      </c>
    </row>
    <row r="229" spans="2:6" x14ac:dyDescent="0.25">
      <c r="B229" s="1">
        <v>30302404</v>
      </c>
      <c r="E229" s="1" t="s">
        <v>288</v>
      </c>
      <c r="F229" s="1" t="s">
        <v>1112</v>
      </c>
    </row>
    <row r="230" spans="2:6" x14ac:dyDescent="0.25">
      <c r="B230" s="1">
        <v>30302408</v>
      </c>
      <c r="E230" s="1" t="s">
        <v>91</v>
      </c>
      <c r="F230" s="1" t="s">
        <v>919</v>
      </c>
    </row>
    <row r="231" spans="2:6" x14ac:dyDescent="0.25">
      <c r="B231" s="1">
        <v>30399999</v>
      </c>
      <c r="E231" s="1" t="s">
        <v>202</v>
      </c>
      <c r="F231" s="1" t="s">
        <v>918</v>
      </c>
    </row>
    <row r="232" spans="2:6" x14ac:dyDescent="0.25">
      <c r="B232" s="1">
        <v>30400102</v>
      </c>
      <c r="E232" s="1" t="s">
        <v>68</v>
      </c>
      <c r="F232" s="1" t="s">
        <v>528</v>
      </c>
    </row>
    <row r="233" spans="2:6" x14ac:dyDescent="0.25">
      <c r="B233" s="1">
        <v>30400103</v>
      </c>
      <c r="E233" s="1" t="s">
        <v>66</v>
      </c>
      <c r="F233" s="1" t="s">
        <v>585</v>
      </c>
    </row>
    <row r="234" spans="2:6" x14ac:dyDescent="0.25">
      <c r="B234" s="1">
        <v>30400104</v>
      </c>
      <c r="E234" s="1" t="s">
        <v>447</v>
      </c>
      <c r="F234" s="1" t="s">
        <v>978</v>
      </c>
    </row>
    <row r="235" spans="2:6" x14ac:dyDescent="0.25">
      <c r="B235" s="1">
        <v>30400107</v>
      </c>
      <c r="E235" s="1" t="s">
        <v>140</v>
      </c>
      <c r="F235" s="1" t="s">
        <v>515</v>
      </c>
    </row>
    <row r="236" spans="2:6" x14ac:dyDescent="0.25">
      <c r="B236" s="1">
        <v>30400109</v>
      </c>
      <c r="E236" s="1" t="s">
        <v>889</v>
      </c>
      <c r="F236" s="1" t="s">
        <v>545</v>
      </c>
    </row>
    <row r="237" spans="2:6" x14ac:dyDescent="0.25">
      <c r="B237" s="1">
        <v>30400114</v>
      </c>
      <c r="E237" s="1" t="s">
        <v>1107</v>
      </c>
      <c r="F237" s="1" t="s">
        <v>1015</v>
      </c>
    </row>
    <row r="238" spans="2:6" x14ac:dyDescent="0.25">
      <c r="B238" s="1">
        <v>30400199</v>
      </c>
      <c r="E238" s="1" t="s">
        <v>960</v>
      </c>
      <c r="F238" s="1" t="s">
        <v>321</v>
      </c>
    </row>
    <row r="239" spans="2:6" x14ac:dyDescent="0.25">
      <c r="B239" s="1">
        <v>30400219</v>
      </c>
      <c r="E239" s="1" t="s">
        <v>53</v>
      </c>
      <c r="F239" s="1" t="s">
        <v>329</v>
      </c>
    </row>
    <row r="240" spans="2:6" x14ac:dyDescent="0.25">
      <c r="B240" s="1">
        <v>30400224</v>
      </c>
      <c r="E240" s="1" t="s">
        <v>949</v>
      </c>
      <c r="F240" s="1" t="s">
        <v>480</v>
      </c>
    </row>
    <row r="241" spans="2:6" x14ac:dyDescent="0.25">
      <c r="B241" s="1">
        <v>30400239</v>
      </c>
      <c r="E241" s="1" t="s">
        <v>539</v>
      </c>
      <c r="F241" s="1" t="s">
        <v>478</v>
      </c>
    </row>
    <row r="242" spans="2:6" x14ac:dyDescent="0.25">
      <c r="B242" s="1">
        <v>30400301</v>
      </c>
      <c r="E242" s="1" t="s">
        <v>466</v>
      </c>
      <c r="F242" s="1" t="s">
        <v>450</v>
      </c>
    </row>
    <row r="243" spans="2:6" x14ac:dyDescent="0.25">
      <c r="B243" s="1">
        <v>30400303</v>
      </c>
      <c r="E243" s="1" t="s">
        <v>626</v>
      </c>
      <c r="F243" s="1" t="s">
        <v>376</v>
      </c>
    </row>
    <row r="244" spans="2:6" x14ac:dyDescent="0.25">
      <c r="B244" s="1">
        <v>30400304</v>
      </c>
      <c r="E244" s="1" t="s">
        <v>1038</v>
      </c>
      <c r="F244" s="1" t="s">
        <v>568</v>
      </c>
    </row>
    <row r="245" spans="2:6" x14ac:dyDescent="0.25">
      <c r="B245" s="1">
        <v>30400305</v>
      </c>
      <c r="E245" s="1" t="s">
        <v>733</v>
      </c>
      <c r="F245" s="1" t="s">
        <v>565</v>
      </c>
    </row>
    <row r="246" spans="2:6" x14ac:dyDescent="0.25">
      <c r="B246" s="1">
        <v>30400310</v>
      </c>
      <c r="E246" s="1" t="s">
        <v>657</v>
      </c>
      <c r="F246" s="1" t="s">
        <v>566</v>
      </c>
    </row>
    <row r="247" spans="2:6" x14ac:dyDescent="0.25">
      <c r="B247" s="1">
        <v>30400315</v>
      </c>
      <c r="E247" s="1" t="s">
        <v>812</v>
      </c>
      <c r="F247" s="1" t="s">
        <v>616</v>
      </c>
    </row>
    <row r="248" spans="2:6" x14ac:dyDescent="0.25">
      <c r="B248" s="1">
        <v>30400318</v>
      </c>
      <c r="E248" s="1" t="s">
        <v>443</v>
      </c>
      <c r="F248" s="1" t="s">
        <v>617</v>
      </c>
    </row>
    <row r="249" spans="2:6" x14ac:dyDescent="0.25">
      <c r="B249" s="1">
        <v>30400319</v>
      </c>
      <c r="E249" s="1" t="s">
        <v>628</v>
      </c>
      <c r="F249" s="1" t="s">
        <v>615</v>
      </c>
    </row>
    <row r="250" spans="2:6" x14ac:dyDescent="0.25">
      <c r="B250" s="1">
        <v>30400320</v>
      </c>
      <c r="E250" s="1" t="s">
        <v>870</v>
      </c>
      <c r="F250" s="1" t="s">
        <v>675</v>
      </c>
    </row>
    <row r="251" spans="2:6" x14ac:dyDescent="0.25">
      <c r="B251" s="1">
        <v>30400321</v>
      </c>
      <c r="E251" s="1" t="s">
        <v>541</v>
      </c>
      <c r="F251" s="1" t="s">
        <v>674</v>
      </c>
    </row>
    <row r="252" spans="2:6" x14ac:dyDescent="0.25">
      <c r="B252" s="1">
        <v>30400322</v>
      </c>
      <c r="E252" s="1" t="s">
        <v>1003</v>
      </c>
      <c r="F252" s="1" t="s">
        <v>612</v>
      </c>
    </row>
    <row r="253" spans="2:6" x14ac:dyDescent="0.25">
      <c r="B253" s="1">
        <v>30400325</v>
      </c>
      <c r="E253" s="1" t="s">
        <v>662</v>
      </c>
      <c r="F253" s="1" t="s">
        <v>721</v>
      </c>
    </row>
    <row r="254" spans="2:6" x14ac:dyDescent="0.25">
      <c r="B254" s="1">
        <v>30400331</v>
      </c>
      <c r="E254" s="1" t="s">
        <v>1110</v>
      </c>
      <c r="F254" s="1" t="s">
        <v>799</v>
      </c>
    </row>
    <row r="255" spans="2:6" x14ac:dyDescent="0.25">
      <c r="B255" s="1">
        <v>30400340</v>
      </c>
      <c r="E255" s="1" t="s">
        <v>1189</v>
      </c>
      <c r="F255" s="1" t="s">
        <v>611</v>
      </c>
    </row>
    <row r="256" spans="2:6" x14ac:dyDescent="0.25">
      <c r="B256" s="1">
        <v>30400350</v>
      </c>
      <c r="E256" s="1" t="s">
        <v>1014</v>
      </c>
      <c r="F256" s="1" t="s">
        <v>933</v>
      </c>
    </row>
    <row r="257" spans="2:6" x14ac:dyDescent="0.25">
      <c r="B257" s="1">
        <v>30400351</v>
      </c>
      <c r="E257" s="1" t="s">
        <v>257</v>
      </c>
      <c r="F257" s="1" t="s">
        <v>885</v>
      </c>
    </row>
    <row r="258" spans="2:6" x14ac:dyDescent="0.25">
      <c r="B258" s="1">
        <v>30400360</v>
      </c>
      <c r="E258" s="1" t="s">
        <v>149</v>
      </c>
      <c r="F258" s="1" t="s">
        <v>886</v>
      </c>
    </row>
    <row r="259" spans="2:6" x14ac:dyDescent="0.25">
      <c r="B259" s="1">
        <v>30400370</v>
      </c>
      <c r="E259" s="1" t="s">
        <v>226</v>
      </c>
      <c r="F259" s="1" t="s">
        <v>887</v>
      </c>
    </row>
    <row r="260" spans="2:6" x14ac:dyDescent="0.25">
      <c r="B260" s="1">
        <v>30400371</v>
      </c>
      <c r="E260" s="1" t="s">
        <v>1204</v>
      </c>
      <c r="F260" s="1" t="s">
        <v>671</v>
      </c>
    </row>
    <row r="261" spans="2:6" x14ac:dyDescent="0.25">
      <c r="B261" s="1">
        <v>30400398</v>
      </c>
      <c r="E261" s="1" t="s">
        <v>861</v>
      </c>
      <c r="F261" s="1" t="s">
        <v>672</v>
      </c>
    </row>
    <row r="262" spans="2:6" x14ac:dyDescent="0.25">
      <c r="B262" s="1">
        <v>30400402</v>
      </c>
      <c r="E262" s="1" t="s">
        <v>1073</v>
      </c>
      <c r="F262" s="1" t="s">
        <v>786</v>
      </c>
    </row>
    <row r="263" spans="2:6" x14ac:dyDescent="0.25">
      <c r="B263" s="1">
        <v>30400403</v>
      </c>
      <c r="E263" s="1" t="s">
        <v>520</v>
      </c>
      <c r="F263" s="1" t="s">
        <v>823</v>
      </c>
    </row>
    <row r="264" spans="2:6" x14ac:dyDescent="0.25">
      <c r="B264" s="1">
        <v>30400413</v>
      </c>
      <c r="E264" s="1" t="s">
        <v>634</v>
      </c>
      <c r="F264" s="1" t="s">
        <v>779</v>
      </c>
    </row>
    <row r="265" spans="2:6" x14ac:dyDescent="0.25">
      <c r="B265" s="1">
        <v>30400425</v>
      </c>
      <c r="E265" s="1" t="s">
        <v>1157</v>
      </c>
      <c r="F265" s="1" t="s">
        <v>1181</v>
      </c>
    </row>
    <row r="266" spans="2:6" x14ac:dyDescent="0.25">
      <c r="B266" s="1">
        <v>30400426</v>
      </c>
      <c r="E266" s="1" t="s">
        <v>859</v>
      </c>
      <c r="F266" s="1" t="s">
        <v>1184</v>
      </c>
    </row>
    <row r="267" spans="2:6" x14ac:dyDescent="0.25">
      <c r="B267" s="1">
        <v>30400499</v>
      </c>
      <c r="E267" s="1" t="s">
        <v>652</v>
      </c>
      <c r="F267" s="1" t="s">
        <v>567</v>
      </c>
    </row>
    <row r="268" spans="2:6" x14ac:dyDescent="0.25">
      <c r="B268" s="1">
        <v>30400701</v>
      </c>
      <c r="E268" s="1" t="s">
        <v>621</v>
      </c>
      <c r="F268" s="1" t="s">
        <v>734</v>
      </c>
    </row>
    <row r="269" spans="2:6" x14ac:dyDescent="0.25">
      <c r="B269" s="1">
        <v>30400704</v>
      </c>
      <c r="E269" s="1" t="s">
        <v>76</v>
      </c>
      <c r="F269" s="1" t="s">
        <v>195</v>
      </c>
    </row>
    <row r="270" spans="2:6" x14ac:dyDescent="0.25">
      <c r="B270" s="1">
        <v>30400706</v>
      </c>
      <c r="E270" s="1" t="s">
        <v>1028</v>
      </c>
      <c r="F270" s="1" t="s">
        <v>197</v>
      </c>
    </row>
    <row r="271" spans="2:6" x14ac:dyDescent="0.25">
      <c r="B271" s="1">
        <v>30400708</v>
      </c>
      <c r="E271" s="1" t="s">
        <v>150</v>
      </c>
      <c r="F271" s="1" t="s">
        <v>198</v>
      </c>
    </row>
    <row r="272" spans="2:6" x14ac:dyDescent="0.25">
      <c r="B272" s="1">
        <v>30400709</v>
      </c>
      <c r="E272" s="1" t="s">
        <v>78</v>
      </c>
      <c r="F272" s="1" t="s">
        <v>196</v>
      </c>
    </row>
    <row r="273" spans="2:6" x14ac:dyDescent="0.25">
      <c r="B273" s="1">
        <v>30400711</v>
      </c>
      <c r="F273" s="1" t="s">
        <v>700</v>
      </c>
    </row>
    <row r="274" spans="2:6" x14ac:dyDescent="0.25">
      <c r="B274" s="1">
        <v>30400730</v>
      </c>
      <c r="F274" s="1" t="s">
        <v>904</v>
      </c>
    </row>
    <row r="275" spans="2:6" x14ac:dyDescent="0.25">
      <c r="B275" s="1">
        <v>30402201</v>
      </c>
      <c r="F275" s="1" t="s">
        <v>240</v>
      </c>
    </row>
    <row r="276" spans="2:6" x14ac:dyDescent="0.25">
      <c r="B276" s="1">
        <v>30402210</v>
      </c>
      <c r="F276" s="1" t="s">
        <v>804</v>
      </c>
    </row>
    <row r="277" spans="2:6" x14ac:dyDescent="0.25">
      <c r="B277" s="1">
        <v>30405101</v>
      </c>
      <c r="F277" s="1" t="s">
        <v>112</v>
      </c>
    </row>
    <row r="278" spans="2:6" x14ac:dyDescent="0.25">
      <c r="B278" s="1">
        <v>30488801</v>
      </c>
      <c r="F278" s="1" t="s">
        <v>325</v>
      </c>
    </row>
    <row r="279" spans="2:6" x14ac:dyDescent="0.25">
      <c r="B279" s="1">
        <v>30500101</v>
      </c>
      <c r="F279" s="1" t="s">
        <v>83</v>
      </c>
    </row>
    <row r="280" spans="2:6" x14ac:dyDescent="0.25">
      <c r="B280" s="1">
        <v>30500102</v>
      </c>
      <c r="F280" s="1" t="s">
        <v>386</v>
      </c>
    </row>
    <row r="281" spans="2:6" x14ac:dyDescent="0.25">
      <c r="B281" s="1">
        <v>30500103</v>
      </c>
      <c r="F281" s="1" t="s">
        <v>899</v>
      </c>
    </row>
    <row r="282" spans="2:6" x14ac:dyDescent="0.25">
      <c r="B282" s="1">
        <v>30500203</v>
      </c>
      <c r="F282" s="1" t="s">
        <v>679</v>
      </c>
    </row>
    <row r="283" spans="2:6" x14ac:dyDescent="0.25">
      <c r="B283" s="1">
        <v>30500245</v>
      </c>
      <c r="F283" s="1" t="s">
        <v>680</v>
      </c>
    </row>
    <row r="284" spans="2:6" x14ac:dyDescent="0.25">
      <c r="B284" s="1">
        <v>30500246</v>
      </c>
      <c r="F284" s="1" t="s">
        <v>678</v>
      </c>
    </row>
    <row r="285" spans="2:6" x14ac:dyDescent="0.25">
      <c r="B285" s="1">
        <v>30500247</v>
      </c>
      <c r="F285" s="1" t="s">
        <v>676</v>
      </c>
    </row>
    <row r="286" spans="2:6" x14ac:dyDescent="0.25">
      <c r="B286" s="1">
        <v>30500255</v>
      </c>
      <c r="F286" s="1" t="s">
        <v>677</v>
      </c>
    </row>
    <row r="287" spans="2:6" x14ac:dyDescent="0.25">
      <c r="B287" s="1">
        <v>30500258</v>
      </c>
      <c r="F287" s="1" t="s">
        <v>683</v>
      </c>
    </row>
    <row r="288" spans="2:6" x14ac:dyDescent="0.25">
      <c r="B288" s="1">
        <v>30500261</v>
      </c>
      <c r="F288" s="1" t="s">
        <v>684</v>
      </c>
    </row>
    <row r="289" spans="2:6" x14ac:dyDescent="0.25">
      <c r="B289" s="1">
        <v>30500302</v>
      </c>
      <c r="F289" s="1" t="s">
        <v>713</v>
      </c>
    </row>
    <row r="290" spans="2:6" x14ac:dyDescent="0.25">
      <c r="B290" s="1">
        <v>30500311</v>
      </c>
      <c r="F290" s="1" t="s">
        <v>961</v>
      </c>
    </row>
    <row r="291" spans="2:6" x14ac:dyDescent="0.25">
      <c r="B291" s="1">
        <v>30500350</v>
      </c>
      <c r="F291" s="1" t="s">
        <v>1090</v>
      </c>
    </row>
    <row r="292" spans="2:6" x14ac:dyDescent="0.25">
      <c r="B292" s="1">
        <v>30500607</v>
      </c>
      <c r="F292" s="1" t="s">
        <v>367</v>
      </c>
    </row>
    <row r="293" spans="2:6" x14ac:dyDescent="0.25">
      <c r="B293" s="1">
        <v>30500612</v>
      </c>
      <c r="F293" s="1" t="s">
        <v>1127</v>
      </c>
    </row>
    <row r="294" spans="2:6" x14ac:dyDescent="0.25">
      <c r="B294" s="1">
        <v>30500618</v>
      </c>
      <c r="F294" s="1" t="s">
        <v>1128</v>
      </c>
    </row>
    <row r="295" spans="2:6" x14ac:dyDescent="0.25">
      <c r="B295" s="1">
        <v>30500619</v>
      </c>
      <c r="F295" s="1" t="s">
        <v>1018</v>
      </c>
    </row>
    <row r="296" spans="2:6" x14ac:dyDescent="0.25">
      <c r="B296" s="1">
        <v>30500699</v>
      </c>
      <c r="F296" s="1" t="s">
        <v>1129</v>
      </c>
    </row>
    <row r="297" spans="2:6" x14ac:dyDescent="0.25">
      <c r="B297" s="1">
        <v>30500803</v>
      </c>
      <c r="F297" s="1" t="s">
        <v>1130</v>
      </c>
    </row>
    <row r="298" spans="2:6" x14ac:dyDescent="0.25">
      <c r="B298" s="1">
        <v>30500901</v>
      </c>
      <c r="F298" s="1" t="s">
        <v>1052</v>
      </c>
    </row>
    <row r="299" spans="2:6" x14ac:dyDescent="0.25">
      <c r="B299" s="1">
        <v>30500905</v>
      </c>
      <c r="F299" s="1" t="s">
        <v>1051</v>
      </c>
    </row>
    <row r="300" spans="2:6" x14ac:dyDescent="0.25">
      <c r="B300" s="1">
        <v>30501008</v>
      </c>
      <c r="F300" s="1" t="s">
        <v>1053</v>
      </c>
    </row>
    <row r="301" spans="2:6" x14ac:dyDescent="0.25">
      <c r="B301" s="1">
        <v>30501009</v>
      </c>
      <c r="F301" s="1" t="s">
        <v>1074</v>
      </c>
    </row>
    <row r="302" spans="2:6" x14ac:dyDescent="0.25">
      <c r="B302" s="1">
        <v>30501010</v>
      </c>
      <c r="F302" s="1" t="s">
        <v>1071</v>
      </c>
    </row>
    <row r="303" spans="2:6" x14ac:dyDescent="0.25">
      <c r="B303" s="1">
        <v>30501011</v>
      </c>
      <c r="F303" s="1" t="s">
        <v>1065</v>
      </c>
    </row>
    <row r="304" spans="2:6" x14ac:dyDescent="0.25">
      <c r="B304" s="1">
        <v>30501012</v>
      </c>
      <c r="F304" s="1" t="s">
        <v>732</v>
      </c>
    </row>
    <row r="305" spans="2:6" x14ac:dyDescent="0.25">
      <c r="B305" s="1">
        <v>30501015</v>
      </c>
      <c r="F305" s="1" t="s">
        <v>974</v>
      </c>
    </row>
    <row r="306" spans="2:6" x14ac:dyDescent="0.25">
      <c r="B306" s="1">
        <v>30501039</v>
      </c>
      <c r="F306" s="1" t="s">
        <v>1007</v>
      </c>
    </row>
    <row r="307" spans="2:6" x14ac:dyDescent="0.25">
      <c r="B307" s="1">
        <v>30501040</v>
      </c>
      <c r="F307" s="1" t="s">
        <v>238</v>
      </c>
    </row>
    <row r="308" spans="2:6" x14ac:dyDescent="0.25">
      <c r="B308" s="1">
        <v>30501041</v>
      </c>
      <c r="F308" s="1" t="s">
        <v>355</v>
      </c>
    </row>
    <row r="309" spans="2:6" x14ac:dyDescent="0.25">
      <c r="B309" s="1">
        <v>30501043</v>
      </c>
      <c r="F309" s="1" t="s">
        <v>354</v>
      </c>
    </row>
    <row r="310" spans="2:6" x14ac:dyDescent="0.25">
      <c r="B310" s="1">
        <v>30501045</v>
      </c>
      <c r="F310" s="1" t="s">
        <v>349</v>
      </c>
    </row>
    <row r="311" spans="2:6" x14ac:dyDescent="0.25">
      <c r="B311" s="1">
        <v>30501049</v>
      </c>
      <c r="F311" s="1" t="s">
        <v>348</v>
      </c>
    </row>
    <row r="312" spans="2:6" x14ac:dyDescent="0.25">
      <c r="B312" s="1">
        <v>30501050</v>
      </c>
      <c r="F312" s="1" t="s">
        <v>313</v>
      </c>
    </row>
    <row r="313" spans="2:6" x14ac:dyDescent="0.25">
      <c r="B313" s="1">
        <v>30501090</v>
      </c>
      <c r="F313" s="1" t="s">
        <v>312</v>
      </c>
    </row>
    <row r="314" spans="2:6" x14ac:dyDescent="0.25">
      <c r="B314" s="1">
        <v>30501106</v>
      </c>
      <c r="F314" s="1" t="s">
        <v>877</v>
      </c>
    </row>
    <row r="315" spans="2:6" x14ac:dyDescent="0.25">
      <c r="B315" s="1">
        <v>30501107</v>
      </c>
      <c r="F315" s="1" t="s">
        <v>806</v>
      </c>
    </row>
    <row r="316" spans="2:6" x14ac:dyDescent="0.25">
      <c r="B316" s="1">
        <v>30501108</v>
      </c>
      <c r="F316" s="1" t="s">
        <v>280</v>
      </c>
    </row>
    <row r="317" spans="2:6" x14ac:dyDescent="0.25">
      <c r="B317" s="1">
        <v>30501109</v>
      </c>
      <c r="F317" s="1" t="s">
        <v>283</v>
      </c>
    </row>
    <row r="318" spans="2:6" x14ac:dyDescent="0.25">
      <c r="B318" s="1">
        <v>30501114</v>
      </c>
      <c r="F318" s="1" t="s">
        <v>560</v>
      </c>
    </row>
    <row r="319" spans="2:6" x14ac:dyDescent="0.25">
      <c r="B319" s="1">
        <v>30501199</v>
      </c>
      <c r="F319" s="1" t="s">
        <v>576</v>
      </c>
    </row>
    <row r="320" spans="2:6" x14ac:dyDescent="0.25">
      <c r="B320" s="1">
        <v>30501299</v>
      </c>
      <c r="F320" s="1" t="s">
        <v>575</v>
      </c>
    </row>
    <row r="321" spans="2:6" x14ac:dyDescent="0.25">
      <c r="B321" s="1">
        <v>30501402</v>
      </c>
      <c r="F321" s="1" t="s">
        <v>574</v>
      </c>
    </row>
    <row r="322" spans="2:6" x14ac:dyDescent="0.25">
      <c r="B322" s="1">
        <v>30501408</v>
      </c>
      <c r="F322" s="1" t="s">
        <v>890</v>
      </c>
    </row>
    <row r="323" spans="2:6" x14ac:dyDescent="0.25">
      <c r="B323" s="1">
        <v>30501410</v>
      </c>
      <c r="F323" s="1" t="s">
        <v>891</v>
      </c>
    </row>
    <row r="324" spans="2:6" x14ac:dyDescent="0.25">
      <c r="B324" s="1">
        <v>30501414</v>
      </c>
      <c r="F324" s="1" t="s">
        <v>907</v>
      </c>
    </row>
    <row r="325" spans="2:6" x14ac:dyDescent="0.25">
      <c r="B325" s="1">
        <v>30501504</v>
      </c>
      <c r="F325" s="1" t="s">
        <v>717</v>
      </c>
    </row>
    <row r="326" spans="2:6" x14ac:dyDescent="0.25">
      <c r="B326" s="1">
        <v>30501603</v>
      </c>
      <c r="F326" s="1" t="s">
        <v>837</v>
      </c>
    </row>
    <row r="327" spans="2:6" x14ac:dyDescent="0.25">
      <c r="B327" s="1">
        <v>30501607</v>
      </c>
      <c r="F327" s="1" t="s">
        <v>1163</v>
      </c>
    </row>
    <row r="328" spans="2:6" x14ac:dyDescent="0.25">
      <c r="B328" s="1">
        <v>30501608</v>
      </c>
      <c r="F328" s="1" t="s">
        <v>1164</v>
      </c>
    </row>
    <row r="329" spans="2:6" x14ac:dyDescent="0.25">
      <c r="B329" s="1">
        <v>30501609</v>
      </c>
      <c r="F329" s="1" t="s">
        <v>648</v>
      </c>
    </row>
    <row r="330" spans="2:6" x14ac:dyDescent="0.25">
      <c r="B330" s="1">
        <v>30501610</v>
      </c>
      <c r="F330" s="1" t="s">
        <v>692</v>
      </c>
    </row>
    <row r="331" spans="2:6" x14ac:dyDescent="0.25">
      <c r="B331" s="1">
        <v>30501613</v>
      </c>
      <c r="F331" s="1" t="s">
        <v>691</v>
      </c>
    </row>
    <row r="332" spans="2:6" x14ac:dyDescent="0.25">
      <c r="B332" s="1">
        <v>30501615</v>
      </c>
      <c r="F332" s="1" t="s">
        <v>831</v>
      </c>
    </row>
    <row r="333" spans="2:6" x14ac:dyDescent="0.25">
      <c r="B333" s="1">
        <v>30501626</v>
      </c>
      <c r="F333" s="1" t="s">
        <v>981</v>
      </c>
    </row>
    <row r="334" spans="2:6" x14ac:dyDescent="0.25">
      <c r="B334" s="1">
        <v>30501627</v>
      </c>
      <c r="F334" s="1" t="s">
        <v>920</v>
      </c>
    </row>
    <row r="335" spans="2:6" x14ac:dyDescent="0.25">
      <c r="B335" s="1">
        <v>30501701</v>
      </c>
      <c r="F335" s="1" t="s">
        <v>921</v>
      </c>
    </row>
    <row r="336" spans="2:6" x14ac:dyDescent="0.25">
      <c r="B336" s="1">
        <v>30501703</v>
      </c>
      <c r="F336" s="1" t="s">
        <v>1175</v>
      </c>
    </row>
    <row r="337" spans="2:6" x14ac:dyDescent="0.25">
      <c r="B337" s="1">
        <v>30502001</v>
      </c>
      <c r="F337" s="1" t="s">
        <v>1019</v>
      </c>
    </row>
    <row r="338" spans="2:6" x14ac:dyDescent="0.25">
      <c r="B338" s="1">
        <v>30502002</v>
      </c>
      <c r="F338" s="1" t="s">
        <v>1131</v>
      </c>
    </row>
    <row r="339" spans="2:6" x14ac:dyDescent="0.25">
      <c r="B339" s="1">
        <v>30502003</v>
      </c>
      <c r="F339" s="1" t="s">
        <v>1132</v>
      </c>
    </row>
    <row r="340" spans="2:6" x14ac:dyDescent="0.25">
      <c r="B340" s="1">
        <v>30502004</v>
      </c>
      <c r="F340" s="1" t="s">
        <v>1000</v>
      </c>
    </row>
    <row r="341" spans="2:6" x14ac:dyDescent="0.25">
      <c r="B341" s="1">
        <v>30502005</v>
      </c>
      <c r="F341" s="1" t="s">
        <v>1021</v>
      </c>
    </row>
    <row r="342" spans="2:6" x14ac:dyDescent="0.25">
      <c r="B342" s="1">
        <v>30502006</v>
      </c>
      <c r="F342" s="1" t="s">
        <v>993</v>
      </c>
    </row>
    <row r="343" spans="2:6" x14ac:dyDescent="0.25">
      <c r="B343" s="1">
        <v>30502007</v>
      </c>
      <c r="F343" s="1" t="s">
        <v>989</v>
      </c>
    </row>
    <row r="344" spans="2:6" x14ac:dyDescent="0.25">
      <c r="B344" s="1">
        <v>30502008</v>
      </c>
      <c r="F344" s="1" t="s">
        <v>942</v>
      </c>
    </row>
    <row r="345" spans="2:6" x14ac:dyDescent="0.25">
      <c r="B345" s="1">
        <v>30502009</v>
      </c>
      <c r="F345" s="1" t="s">
        <v>1020</v>
      </c>
    </row>
    <row r="346" spans="2:6" x14ac:dyDescent="0.25">
      <c r="B346" s="1">
        <v>30502010</v>
      </c>
      <c r="F346" s="1" t="s">
        <v>845</v>
      </c>
    </row>
    <row r="347" spans="2:6" x14ac:dyDescent="0.25">
      <c r="B347" s="1">
        <v>30502011</v>
      </c>
      <c r="F347" s="1" t="s">
        <v>966</v>
      </c>
    </row>
    <row r="348" spans="2:6" x14ac:dyDescent="0.25">
      <c r="B348" s="1">
        <v>30502021</v>
      </c>
      <c r="F348" s="1" t="s">
        <v>818</v>
      </c>
    </row>
    <row r="349" spans="2:6" x14ac:dyDescent="0.25">
      <c r="B349" s="1">
        <v>30502031</v>
      </c>
      <c r="F349" s="1" t="s">
        <v>791</v>
      </c>
    </row>
    <row r="350" spans="2:6" x14ac:dyDescent="0.25">
      <c r="B350" s="1">
        <v>30502032</v>
      </c>
      <c r="F350" s="1" t="s">
        <v>544</v>
      </c>
    </row>
    <row r="351" spans="2:6" x14ac:dyDescent="0.25">
      <c r="B351" s="1">
        <v>30502099</v>
      </c>
      <c r="F351" s="1" t="s">
        <v>1180</v>
      </c>
    </row>
    <row r="352" spans="2:6" x14ac:dyDescent="0.25">
      <c r="B352" s="1">
        <v>30502499</v>
      </c>
      <c r="F352" s="1" t="s">
        <v>289</v>
      </c>
    </row>
    <row r="353" spans="2:6" x14ac:dyDescent="0.25">
      <c r="B353" s="1">
        <v>30502502</v>
      </c>
      <c r="F353" s="1" t="s">
        <v>1172</v>
      </c>
    </row>
    <row r="354" spans="2:6" x14ac:dyDescent="0.25">
      <c r="B354" s="1">
        <v>30502503</v>
      </c>
      <c r="F354" s="1" t="s">
        <v>1177</v>
      </c>
    </row>
    <row r="355" spans="2:6" x14ac:dyDescent="0.25">
      <c r="B355" s="1">
        <v>30502504</v>
      </c>
      <c r="F355" s="1" t="s">
        <v>1136</v>
      </c>
    </row>
    <row r="356" spans="2:6" x14ac:dyDescent="0.25">
      <c r="B356" s="1">
        <v>30502505</v>
      </c>
      <c r="F356" s="1" t="s">
        <v>1137</v>
      </c>
    </row>
    <row r="357" spans="2:6" x14ac:dyDescent="0.25">
      <c r="B357" s="1">
        <v>30502506</v>
      </c>
      <c r="F357" s="1" t="s">
        <v>69</v>
      </c>
    </row>
    <row r="358" spans="2:6" x14ac:dyDescent="0.25">
      <c r="B358" s="1">
        <v>30502507</v>
      </c>
      <c r="F358" s="1" t="s">
        <v>984</v>
      </c>
    </row>
    <row r="359" spans="2:6" x14ac:dyDescent="0.25">
      <c r="B359" s="1">
        <v>30502599</v>
      </c>
      <c r="F359" s="1" t="s">
        <v>853</v>
      </c>
    </row>
    <row r="360" spans="2:6" x14ac:dyDescent="0.25">
      <c r="B360" s="1">
        <v>30502720</v>
      </c>
      <c r="F360" s="1" t="s">
        <v>1151</v>
      </c>
    </row>
    <row r="361" spans="2:6" x14ac:dyDescent="0.25">
      <c r="B361" s="1">
        <v>30503702</v>
      </c>
      <c r="F361" s="1" t="s">
        <v>1152</v>
      </c>
    </row>
    <row r="362" spans="2:6" x14ac:dyDescent="0.25">
      <c r="B362" s="1">
        <v>30503704</v>
      </c>
      <c r="F362" s="1" t="s">
        <v>937</v>
      </c>
    </row>
    <row r="363" spans="2:6" x14ac:dyDescent="0.25">
      <c r="B363" s="1">
        <v>30503811</v>
      </c>
      <c r="F363" s="1" t="s">
        <v>827</v>
      </c>
    </row>
    <row r="364" spans="2:6" x14ac:dyDescent="0.25">
      <c r="B364" s="1">
        <v>30503812</v>
      </c>
      <c r="F364" s="1" t="s">
        <v>1133</v>
      </c>
    </row>
    <row r="365" spans="2:6" x14ac:dyDescent="0.25">
      <c r="B365" s="1">
        <v>30503813</v>
      </c>
      <c r="F365" s="1" t="s">
        <v>1134</v>
      </c>
    </row>
    <row r="366" spans="2:6" x14ac:dyDescent="0.25">
      <c r="B366" s="1">
        <v>30503835</v>
      </c>
      <c r="F366" s="1" t="s">
        <v>379</v>
      </c>
    </row>
    <row r="367" spans="2:6" x14ac:dyDescent="0.25">
      <c r="B367" s="1">
        <v>30510199</v>
      </c>
      <c r="F367" s="1" t="s">
        <v>377</v>
      </c>
    </row>
    <row r="368" spans="2:6" x14ac:dyDescent="0.25">
      <c r="B368" s="1">
        <v>30510298</v>
      </c>
      <c r="F368" s="1" t="s">
        <v>635</v>
      </c>
    </row>
    <row r="369" spans="2:6" x14ac:dyDescent="0.25">
      <c r="B369" s="1">
        <v>30510299</v>
      </c>
      <c r="F369" s="1" t="s">
        <v>851</v>
      </c>
    </row>
    <row r="370" spans="2:6" x14ac:dyDescent="0.25">
      <c r="B370" s="1">
        <v>30510399</v>
      </c>
      <c r="F370" s="1" t="s">
        <v>513</v>
      </c>
    </row>
    <row r="371" spans="2:6" x14ac:dyDescent="0.25">
      <c r="B371" s="1">
        <v>30510499</v>
      </c>
      <c r="F371" s="1" t="s">
        <v>819</v>
      </c>
    </row>
    <row r="372" spans="2:6" x14ac:dyDescent="0.25">
      <c r="B372" s="1">
        <v>30588801</v>
      </c>
      <c r="F372" s="1" t="s">
        <v>782</v>
      </c>
    </row>
    <row r="373" spans="2:6" x14ac:dyDescent="0.25">
      <c r="B373" s="1">
        <v>30599999</v>
      </c>
      <c r="F373" s="1" t="s">
        <v>665</v>
      </c>
    </row>
    <row r="374" spans="2:6" x14ac:dyDescent="0.25">
      <c r="B374" s="1">
        <v>30600103</v>
      </c>
      <c r="F374" s="1" t="s">
        <v>666</v>
      </c>
    </row>
    <row r="375" spans="2:6" x14ac:dyDescent="0.25">
      <c r="B375" s="1">
        <v>30600105</v>
      </c>
      <c r="F375" s="1" t="s">
        <v>366</v>
      </c>
    </row>
    <row r="376" spans="2:6" x14ac:dyDescent="0.25">
      <c r="B376" s="1">
        <v>30600106</v>
      </c>
      <c r="F376" s="1" t="s">
        <v>342</v>
      </c>
    </row>
    <row r="377" spans="2:6" x14ac:dyDescent="0.25">
      <c r="B377" s="1">
        <v>30600201</v>
      </c>
      <c r="F377" s="1" t="s">
        <v>897</v>
      </c>
    </row>
    <row r="378" spans="2:6" x14ac:dyDescent="0.25">
      <c r="B378" s="1">
        <v>30600503</v>
      </c>
      <c r="F378" s="1" t="s">
        <v>303</v>
      </c>
    </row>
    <row r="379" spans="2:6" x14ac:dyDescent="0.25">
      <c r="B379" s="1">
        <v>30600602</v>
      </c>
      <c r="F379" s="1" t="s">
        <v>358</v>
      </c>
    </row>
    <row r="380" spans="2:6" x14ac:dyDescent="0.25">
      <c r="B380" s="1">
        <v>30600701</v>
      </c>
      <c r="F380" s="1" t="s">
        <v>357</v>
      </c>
    </row>
    <row r="381" spans="2:6" x14ac:dyDescent="0.25">
      <c r="B381" s="1">
        <v>30600802</v>
      </c>
      <c r="F381" s="1" t="s">
        <v>345</v>
      </c>
    </row>
    <row r="382" spans="2:6" x14ac:dyDescent="0.25">
      <c r="B382" s="1">
        <v>30600816</v>
      </c>
      <c r="F382" s="1" t="s">
        <v>519</v>
      </c>
    </row>
    <row r="383" spans="2:6" x14ac:dyDescent="0.25">
      <c r="B383" s="1">
        <v>30600903</v>
      </c>
      <c r="F383" s="1" t="s">
        <v>995</v>
      </c>
    </row>
    <row r="384" spans="2:6" x14ac:dyDescent="0.25">
      <c r="B384" s="1">
        <v>30600904</v>
      </c>
      <c r="F384" s="1" t="s">
        <v>372</v>
      </c>
    </row>
    <row r="385" spans="2:6" x14ac:dyDescent="0.25">
      <c r="B385" s="1">
        <v>30688801</v>
      </c>
      <c r="F385" s="1" t="s">
        <v>382</v>
      </c>
    </row>
    <row r="386" spans="2:6" x14ac:dyDescent="0.25">
      <c r="B386" s="1">
        <v>30700102</v>
      </c>
      <c r="F386" s="1" t="s">
        <v>113</v>
      </c>
    </row>
    <row r="387" spans="2:6" x14ac:dyDescent="0.25">
      <c r="B387" s="1">
        <v>30700104</v>
      </c>
      <c r="F387" s="1" t="s">
        <v>251</v>
      </c>
    </row>
    <row r="388" spans="2:6" x14ac:dyDescent="0.25">
      <c r="B388" s="1">
        <v>30700105</v>
      </c>
      <c r="F388" s="1" t="s">
        <v>487</v>
      </c>
    </row>
    <row r="389" spans="2:6" x14ac:dyDescent="0.25">
      <c r="B389" s="1">
        <v>30700106</v>
      </c>
      <c r="F389" s="1" t="s">
        <v>1004</v>
      </c>
    </row>
    <row r="390" spans="2:6" x14ac:dyDescent="0.25">
      <c r="B390" s="1">
        <v>30700110</v>
      </c>
      <c r="F390" s="1" t="s">
        <v>1005</v>
      </c>
    </row>
    <row r="391" spans="2:6" x14ac:dyDescent="0.25">
      <c r="B391" s="1">
        <v>30700121</v>
      </c>
      <c r="F391" s="1" t="s">
        <v>881</v>
      </c>
    </row>
    <row r="392" spans="2:6" x14ac:dyDescent="0.25">
      <c r="B392" s="1">
        <v>30700199</v>
      </c>
      <c r="F392" s="1" t="s">
        <v>408</v>
      </c>
    </row>
    <row r="393" spans="2:6" x14ac:dyDescent="0.25">
      <c r="B393" s="1">
        <v>30700401</v>
      </c>
      <c r="F393" s="1" t="s">
        <v>884</v>
      </c>
    </row>
    <row r="394" spans="2:6" x14ac:dyDescent="0.25">
      <c r="B394" s="1">
        <v>30700499</v>
      </c>
      <c r="F394" s="1" t="s">
        <v>330</v>
      </c>
    </row>
    <row r="395" spans="2:6" x14ac:dyDescent="0.25">
      <c r="B395" s="1">
        <v>30700703</v>
      </c>
      <c r="F395" s="1" t="s">
        <v>297</v>
      </c>
    </row>
    <row r="396" spans="2:6" x14ac:dyDescent="0.25">
      <c r="B396" s="1">
        <v>30700705</v>
      </c>
      <c r="F396" s="1" t="s">
        <v>614</v>
      </c>
    </row>
    <row r="397" spans="2:6" x14ac:dyDescent="0.25">
      <c r="B397" s="1">
        <v>30700707</v>
      </c>
      <c r="F397" s="1" t="s">
        <v>613</v>
      </c>
    </row>
    <row r="398" spans="2:6" x14ac:dyDescent="0.25">
      <c r="B398" s="1">
        <v>30700756</v>
      </c>
      <c r="F398" s="1" t="s">
        <v>685</v>
      </c>
    </row>
    <row r="399" spans="2:6" x14ac:dyDescent="0.25">
      <c r="B399" s="1">
        <v>30700781</v>
      </c>
      <c r="F399" s="1" t="s">
        <v>670</v>
      </c>
    </row>
    <row r="400" spans="2:6" x14ac:dyDescent="0.25">
      <c r="B400" s="1">
        <v>30700799</v>
      </c>
      <c r="F400" s="1" t="s">
        <v>43</v>
      </c>
    </row>
    <row r="401" spans="2:6" x14ac:dyDescent="0.25">
      <c r="B401" s="1">
        <v>30700801</v>
      </c>
      <c r="F401" s="1" t="s">
        <v>987</v>
      </c>
    </row>
    <row r="402" spans="2:6" x14ac:dyDescent="0.25">
      <c r="B402" s="1">
        <v>30700802</v>
      </c>
      <c r="F402" s="1" t="s">
        <v>203</v>
      </c>
    </row>
    <row r="403" spans="2:6" x14ac:dyDescent="0.25">
      <c r="B403" s="1">
        <v>30700803</v>
      </c>
      <c r="F403" s="1" t="s">
        <v>384</v>
      </c>
    </row>
    <row r="404" spans="2:6" x14ac:dyDescent="0.25">
      <c r="B404" s="1">
        <v>30700804</v>
      </c>
      <c r="F404" s="1" t="s">
        <v>1138</v>
      </c>
    </row>
    <row r="405" spans="2:6" x14ac:dyDescent="0.25">
      <c r="B405" s="1">
        <v>30700805</v>
      </c>
      <c r="F405" s="1" t="s">
        <v>483</v>
      </c>
    </row>
    <row r="406" spans="2:6" x14ac:dyDescent="0.25">
      <c r="B406" s="1">
        <v>30700806</v>
      </c>
      <c r="F406" s="1" t="s">
        <v>963</v>
      </c>
    </row>
    <row r="407" spans="2:6" x14ac:dyDescent="0.25">
      <c r="B407" s="1">
        <v>30700807</v>
      </c>
      <c r="F407" s="1" t="s">
        <v>518</v>
      </c>
    </row>
    <row r="408" spans="2:6" x14ac:dyDescent="0.25">
      <c r="B408" s="1">
        <v>30700808</v>
      </c>
      <c r="F408" s="1" t="s">
        <v>536</v>
      </c>
    </row>
    <row r="409" spans="2:6" x14ac:dyDescent="0.25">
      <c r="B409" s="1">
        <v>30700898</v>
      </c>
      <c r="F409" s="1" t="s">
        <v>832</v>
      </c>
    </row>
    <row r="410" spans="2:6" x14ac:dyDescent="0.25">
      <c r="B410" s="1">
        <v>30700899</v>
      </c>
      <c r="F410" s="1" t="s">
        <v>23</v>
      </c>
    </row>
    <row r="411" spans="2:6" x14ac:dyDescent="0.25">
      <c r="B411" s="1">
        <v>30700939</v>
      </c>
      <c r="F411" s="1" t="s">
        <v>894</v>
      </c>
    </row>
    <row r="412" spans="2:6" x14ac:dyDescent="0.25">
      <c r="B412" s="1">
        <v>30701008</v>
      </c>
      <c r="F412" s="1" t="s">
        <v>948</v>
      </c>
    </row>
    <row r="413" spans="2:6" x14ac:dyDescent="0.25">
      <c r="B413" s="1">
        <v>30701009</v>
      </c>
      <c r="F413" s="1" t="s">
        <v>946</v>
      </c>
    </row>
    <row r="414" spans="2:6" x14ac:dyDescent="0.25">
      <c r="B414" s="1">
        <v>30701010</v>
      </c>
      <c r="F414" s="1" t="s">
        <v>916</v>
      </c>
    </row>
    <row r="415" spans="2:6" x14ac:dyDescent="0.25">
      <c r="B415" s="1">
        <v>30701053</v>
      </c>
      <c r="F415" s="1" t="s">
        <v>296</v>
      </c>
    </row>
    <row r="416" spans="2:6" x14ac:dyDescent="0.25">
      <c r="B416" s="1">
        <v>30701399</v>
      </c>
      <c r="F416" s="1" t="s">
        <v>888</v>
      </c>
    </row>
    <row r="417" spans="2:6" x14ac:dyDescent="0.25">
      <c r="B417" s="1">
        <v>30702002</v>
      </c>
      <c r="F417" s="1" t="s">
        <v>530</v>
      </c>
    </row>
    <row r="418" spans="2:6" x14ac:dyDescent="0.25">
      <c r="B418" s="1">
        <v>30702021</v>
      </c>
      <c r="F418" s="1" t="s">
        <v>522</v>
      </c>
    </row>
    <row r="419" spans="2:6" x14ac:dyDescent="0.25">
      <c r="B419" s="1">
        <v>30702099</v>
      </c>
      <c r="F419" s="1" t="s">
        <v>924</v>
      </c>
    </row>
    <row r="420" spans="2:6" x14ac:dyDescent="0.25">
      <c r="B420" s="1">
        <v>30703001</v>
      </c>
      <c r="F420" s="1" t="s">
        <v>261</v>
      </c>
    </row>
    <row r="421" spans="2:6" x14ac:dyDescent="0.25">
      <c r="B421" s="1">
        <v>30703002</v>
      </c>
      <c r="F421" s="1" t="s">
        <v>715</v>
      </c>
    </row>
    <row r="422" spans="2:6" x14ac:dyDescent="0.25">
      <c r="B422" s="1">
        <v>30788801</v>
      </c>
      <c r="F422" s="1" t="s">
        <v>702</v>
      </c>
    </row>
    <row r="423" spans="2:6" x14ac:dyDescent="0.25">
      <c r="B423" s="1">
        <v>30799999</v>
      </c>
      <c r="F423" s="1" t="s">
        <v>797</v>
      </c>
    </row>
    <row r="424" spans="2:6" x14ac:dyDescent="0.25">
      <c r="B424" s="1">
        <v>30800699</v>
      </c>
      <c r="F424" s="1" t="s">
        <v>369</v>
      </c>
    </row>
    <row r="425" spans="2:6" x14ac:dyDescent="0.25">
      <c r="B425" s="1">
        <v>30800701</v>
      </c>
      <c r="F425" s="1" t="s">
        <v>663</v>
      </c>
    </row>
    <row r="426" spans="2:6" x14ac:dyDescent="0.25">
      <c r="B426" s="1">
        <v>30800703</v>
      </c>
      <c r="F426" s="1" t="s">
        <v>687</v>
      </c>
    </row>
    <row r="427" spans="2:6" x14ac:dyDescent="0.25">
      <c r="B427" s="1">
        <v>30800721</v>
      </c>
      <c r="F427" s="1" t="s">
        <v>969</v>
      </c>
    </row>
    <row r="428" spans="2:6" x14ac:dyDescent="0.25">
      <c r="B428" s="1">
        <v>30800722</v>
      </c>
      <c r="F428" s="1" t="s">
        <v>1168</v>
      </c>
    </row>
    <row r="429" spans="2:6" x14ac:dyDescent="0.25">
      <c r="B429" s="1">
        <v>30800723</v>
      </c>
      <c r="F429" s="1" t="s">
        <v>1009</v>
      </c>
    </row>
    <row r="430" spans="2:6" x14ac:dyDescent="0.25">
      <c r="B430" s="1">
        <v>30800730</v>
      </c>
      <c r="F430" s="1" t="s">
        <v>1100</v>
      </c>
    </row>
    <row r="431" spans="2:6" x14ac:dyDescent="0.25">
      <c r="B431" s="1">
        <v>30800736</v>
      </c>
      <c r="F431" s="1" t="s">
        <v>860</v>
      </c>
    </row>
    <row r="432" spans="2:6" x14ac:dyDescent="0.25">
      <c r="B432" s="1">
        <v>30800799</v>
      </c>
      <c r="F432" s="1" t="s">
        <v>455</v>
      </c>
    </row>
    <row r="433" spans="2:6" x14ac:dyDescent="0.25">
      <c r="B433" s="1">
        <v>30800901</v>
      </c>
      <c r="F433" s="1" t="s">
        <v>985</v>
      </c>
    </row>
    <row r="434" spans="2:6" x14ac:dyDescent="0.25">
      <c r="B434" s="1">
        <v>30899999</v>
      </c>
      <c r="F434" s="1" t="s">
        <v>854</v>
      </c>
    </row>
    <row r="435" spans="2:6" x14ac:dyDescent="0.25">
      <c r="B435" s="1">
        <v>30900201</v>
      </c>
      <c r="F435" s="1" t="s">
        <v>538</v>
      </c>
    </row>
    <row r="436" spans="2:6" x14ac:dyDescent="0.25">
      <c r="B436" s="1">
        <v>30900202</v>
      </c>
      <c r="F436" s="1" t="s">
        <v>808</v>
      </c>
    </row>
    <row r="437" spans="2:6" x14ac:dyDescent="0.25">
      <c r="B437" s="1">
        <v>30900204</v>
      </c>
      <c r="F437" s="1" t="s">
        <v>809</v>
      </c>
    </row>
    <row r="438" spans="2:6" x14ac:dyDescent="0.25">
      <c r="B438" s="1">
        <v>30900205</v>
      </c>
      <c r="F438" s="1" t="s">
        <v>841</v>
      </c>
    </row>
    <row r="439" spans="2:6" x14ac:dyDescent="0.25">
      <c r="B439" s="1">
        <v>30901001</v>
      </c>
      <c r="F439" s="1" t="s">
        <v>807</v>
      </c>
    </row>
    <row r="440" spans="2:6" x14ac:dyDescent="0.25">
      <c r="B440" s="1">
        <v>30901003</v>
      </c>
      <c r="F440" s="1" t="s">
        <v>465</v>
      </c>
    </row>
    <row r="441" spans="2:6" x14ac:dyDescent="0.25">
      <c r="B441" s="1">
        <v>30901018</v>
      </c>
      <c r="F441" s="1" t="s">
        <v>500</v>
      </c>
    </row>
    <row r="442" spans="2:6" x14ac:dyDescent="0.25">
      <c r="B442" s="1">
        <v>30901028</v>
      </c>
      <c r="F442" s="1" t="s">
        <v>629</v>
      </c>
    </row>
    <row r="443" spans="2:6" x14ac:dyDescent="0.25">
      <c r="B443" s="1">
        <v>30901042</v>
      </c>
      <c r="F443" s="1" t="s">
        <v>471</v>
      </c>
    </row>
    <row r="444" spans="2:6" x14ac:dyDescent="0.25">
      <c r="B444" s="1">
        <v>30901048</v>
      </c>
      <c r="F444" s="1" t="s">
        <v>436</v>
      </c>
    </row>
    <row r="445" spans="2:6" x14ac:dyDescent="0.25">
      <c r="B445" s="1">
        <v>30901065</v>
      </c>
      <c r="F445" s="1" t="s">
        <v>446</v>
      </c>
    </row>
    <row r="446" spans="2:6" x14ac:dyDescent="0.25">
      <c r="B446" s="1">
        <v>30901098</v>
      </c>
      <c r="F446" s="1" t="s">
        <v>552</v>
      </c>
    </row>
    <row r="447" spans="2:6" x14ac:dyDescent="0.25">
      <c r="B447" s="1">
        <v>30901101</v>
      </c>
      <c r="F447" s="1" t="s">
        <v>1121</v>
      </c>
    </row>
    <row r="448" spans="2:6" x14ac:dyDescent="0.25">
      <c r="B448" s="1">
        <v>30901102</v>
      </c>
      <c r="F448" s="1" t="s">
        <v>323</v>
      </c>
    </row>
    <row r="449" spans="2:6" x14ac:dyDescent="0.25">
      <c r="B449" s="1">
        <v>30901501</v>
      </c>
      <c r="F449" s="1" t="s">
        <v>1144</v>
      </c>
    </row>
    <row r="450" spans="2:6" x14ac:dyDescent="0.25">
      <c r="B450" s="1">
        <v>30902501</v>
      </c>
      <c r="F450" s="1" t="s">
        <v>1145</v>
      </c>
    </row>
    <row r="451" spans="2:6" x14ac:dyDescent="0.25">
      <c r="B451" s="1">
        <v>30903008</v>
      </c>
      <c r="F451" s="1" t="s">
        <v>737</v>
      </c>
    </row>
    <row r="452" spans="2:6" x14ac:dyDescent="0.25">
      <c r="B452" s="1">
        <v>30904020</v>
      </c>
      <c r="F452" s="1" t="s">
        <v>387</v>
      </c>
    </row>
    <row r="453" spans="2:6" x14ac:dyDescent="0.25">
      <c r="B453" s="1">
        <v>30905104</v>
      </c>
      <c r="F453" s="1" t="s">
        <v>770</v>
      </c>
    </row>
    <row r="454" spans="2:6" x14ac:dyDescent="0.25">
      <c r="B454" s="1">
        <v>30905200</v>
      </c>
      <c r="F454" s="1" t="s">
        <v>773</v>
      </c>
    </row>
    <row r="455" spans="2:6" x14ac:dyDescent="0.25">
      <c r="B455" s="1">
        <v>30988801</v>
      </c>
      <c r="F455" s="1" t="s">
        <v>756</v>
      </c>
    </row>
    <row r="456" spans="2:6" x14ac:dyDescent="0.25">
      <c r="B456" s="1">
        <v>30999999</v>
      </c>
      <c r="F456" s="1" t="s">
        <v>798</v>
      </c>
    </row>
    <row r="457" spans="2:6" x14ac:dyDescent="0.25">
      <c r="B457" s="1">
        <v>31299999</v>
      </c>
      <c r="F457" s="1" t="s">
        <v>767</v>
      </c>
    </row>
    <row r="458" spans="2:6" x14ac:dyDescent="0.25">
      <c r="B458" s="1">
        <v>31300500</v>
      </c>
      <c r="F458" s="1" t="s">
        <v>805</v>
      </c>
    </row>
    <row r="459" spans="2:6" x14ac:dyDescent="0.25">
      <c r="B459" s="1">
        <v>31301200</v>
      </c>
      <c r="F459" s="1" t="s">
        <v>761</v>
      </c>
    </row>
    <row r="460" spans="2:6" x14ac:dyDescent="0.25">
      <c r="B460" s="1">
        <v>31303001</v>
      </c>
      <c r="F460" s="1" t="s">
        <v>803</v>
      </c>
    </row>
    <row r="461" spans="2:6" x14ac:dyDescent="0.25">
      <c r="B461" s="1">
        <v>31303501</v>
      </c>
      <c r="F461" s="1" t="s">
        <v>760</v>
      </c>
    </row>
    <row r="462" spans="2:6" x14ac:dyDescent="0.25">
      <c r="B462" s="1">
        <v>31306500</v>
      </c>
      <c r="F462" s="1" t="s">
        <v>534</v>
      </c>
    </row>
    <row r="463" spans="2:6" x14ac:dyDescent="0.25">
      <c r="B463" s="1">
        <v>31306501</v>
      </c>
      <c r="F463" s="1" t="s">
        <v>531</v>
      </c>
    </row>
    <row r="464" spans="2:6" x14ac:dyDescent="0.25">
      <c r="B464" s="1">
        <v>31306505</v>
      </c>
      <c r="F464" s="1" t="s">
        <v>351</v>
      </c>
    </row>
    <row r="465" spans="2:6" x14ac:dyDescent="0.25">
      <c r="B465" s="1">
        <v>31306530</v>
      </c>
      <c r="F465" s="1" t="s">
        <v>350</v>
      </c>
    </row>
    <row r="466" spans="2:6" x14ac:dyDescent="0.25">
      <c r="B466" s="1">
        <v>31306531</v>
      </c>
      <c r="F466" s="1" t="s">
        <v>491</v>
      </c>
    </row>
    <row r="467" spans="2:6" x14ac:dyDescent="0.25">
      <c r="B467" s="1">
        <v>31306599</v>
      </c>
      <c r="F467" s="1" t="s">
        <v>501</v>
      </c>
    </row>
    <row r="468" spans="2:6" x14ac:dyDescent="0.25">
      <c r="B468" s="1">
        <v>31399999</v>
      </c>
      <c r="F468" s="1" t="s">
        <v>493</v>
      </c>
    </row>
    <row r="469" spans="2:6" x14ac:dyDescent="0.25">
      <c r="B469" s="1">
        <v>31401101</v>
      </c>
      <c r="F469" s="1" t="s">
        <v>875</v>
      </c>
    </row>
    <row r="470" spans="2:6" x14ac:dyDescent="0.25">
      <c r="B470" s="1">
        <v>31401501</v>
      </c>
      <c r="F470" s="1" t="s">
        <v>878</v>
      </c>
    </row>
    <row r="471" spans="2:6" x14ac:dyDescent="0.25">
      <c r="B471" s="1">
        <v>31499999</v>
      </c>
      <c r="F471" s="1" t="s">
        <v>816</v>
      </c>
    </row>
    <row r="472" spans="2:6" x14ac:dyDescent="0.25">
      <c r="B472" s="1">
        <v>31502001</v>
      </c>
      <c r="F472" s="1" t="s">
        <v>212</v>
      </c>
    </row>
    <row r="473" spans="2:6" x14ac:dyDescent="0.25">
      <c r="B473" s="1">
        <v>31502088</v>
      </c>
      <c r="F473" s="1" t="s">
        <v>210</v>
      </c>
    </row>
    <row r="474" spans="2:6" x14ac:dyDescent="0.25">
      <c r="B474" s="1">
        <v>31502101</v>
      </c>
      <c r="F474" s="1" t="s">
        <v>718</v>
      </c>
    </row>
    <row r="475" spans="2:6" x14ac:dyDescent="0.25">
      <c r="B475" s="1">
        <v>31503001</v>
      </c>
      <c r="F475" s="1" t="s">
        <v>467</v>
      </c>
    </row>
    <row r="476" spans="2:6" x14ac:dyDescent="0.25">
      <c r="B476" s="1">
        <v>31606001</v>
      </c>
      <c r="F476" s="1" t="s">
        <v>563</v>
      </c>
    </row>
    <row r="477" spans="2:6" x14ac:dyDescent="0.25">
      <c r="B477" s="1">
        <v>38500101</v>
      </c>
      <c r="F477" s="1" t="s">
        <v>922</v>
      </c>
    </row>
    <row r="478" spans="2:6" x14ac:dyDescent="0.25">
      <c r="B478" s="1">
        <v>39000699</v>
      </c>
      <c r="F478" s="1" t="s">
        <v>533</v>
      </c>
    </row>
    <row r="479" spans="2:6" x14ac:dyDescent="0.25">
      <c r="B479" s="1">
        <v>39990013</v>
      </c>
      <c r="F479" s="1" t="s">
        <v>532</v>
      </c>
    </row>
    <row r="480" spans="2:6" x14ac:dyDescent="0.25">
      <c r="B480" s="1">
        <v>39990024</v>
      </c>
      <c r="F480" s="1" t="s">
        <v>728</v>
      </c>
    </row>
    <row r="481" spans="2:6" x14ac:dyDescent="0.25">
      <c r="B481" s="1">
        <v>39999994</v>
      </c>
      <c r="F481" s="1" t="s">
        <v>596</v>
      </c>
    </row>
    <row r="482" spans="2:6" x14ac:dyDescent="0.25">
      <c r="B482" s="1">
        <v>39999999</v>
      </c>
      <c r="F482" s="1" t="s">
        <v>595</v>
      </c>
    </row>
    <row r="483" spans="2:6" x14ac:dyDescent="0.25">
      <c r="B483" s="1">
        <v>40100101</v>
      </c>
      <c r="F483" s="1" t="s">
        <v>331</v>
      </c>
    </row>
    <row r="484" spans="2:6" x14ac:dyDescent="0.25">
      <c r="B484" s="1">
        <v>40100203</v>
      </c>
      <c r="F484" s="1" t="s">
        <v>307</v>
      </c>
    </row>
    <row r="485" spans="2:6" x14ac:dyDescent="0.25">
      <c r="B485" s="1">
        <v>40100204</v>
      </c>
      <c r="F485" s="1" t="s">
        <v>305</v>
      </c>
    </row>
    <row r="486" spans="2:6" x14ac:dyDescent="0.25">
      <c r="B486" s="1">
        <v>40100205</v>
      </c>
      <c r="F486" s="1" t="s">
        <v>337</v>
      </c>
    </row>
    <row r="487" spans="2:6" x14ac:dyDescent="0.25">
      <c r="B487" s="1">
        <v>40100225</v>
      </c>
      <c r="F487" s="1" t="s">
        <v>338</v>
      </c>
    </row>
    <row r="488" spans="2:6" x14ac:dyDescent="0.25">
      <c r="B488" s="1">
        <v>40100254</v>
      </c>
      <c r="F488" s="1" t="s">
        <v>392</v>
      </c>
    </row>
    <row r="489" spans="2:6" x14ac:dyDescent="0.25">
      <c r="B489" s="1">
        <v>40100255</v>
      </c>
      <c r="F489" s="1" t="s">
        <v>401</v>
      </c>
    </row>
    <row r="490" spans="2:6" x14ac:dyDescent="0.25">
      <c r="B490" s="1">
        <v>40100296</v>
      </c>
      <c r="F490" s="1" t="s">
        <v>399</v>
      </c>
    </row>
    <row r="491" spans="2:6" x14ac:dyDescent="0.25">
      <c r="B491" s="1">
        <v>40100303</v>
      </c>
      <c r="F491" s="1" t="s">
        <v>398</v>
      </c>
    </row>
    <row r="492" spans="2:6" x14ac:dyDescent="0.25">
      <c r="B492" s="1">
        <v>40100306</v>
      </c>
      <c r="F492" s="1" t="s">
        <v>400</v>
      </c>
    </row>
    <row r="493" spans="2:6" x14ac:dyDescent="0.25">
      <c r="B493" s="1">
        <v>40100308</v>
      </c>
      <c r="F493" s="1" t="s">
        <v>397</v>
      </c>
    </row>
    <row r="494" spans="2:6" x14ac:dyDescent="0.25">
      <c r="B494" s="1">
        <v>40100310</v>
      </c>
      <c r="F494" s="1" t="s">
        <v>584</v>
      </c>
    </row>
    <row r="495" spans="2:6" x14ac:dyDescent="0.25">
      <c r="B495" s="1">
        <v>40100399</v>
      </c>
      <c r="F495" s="1" t="s">
        <v>928</v>
      </c>
    </row>
    <row r="496" spans="2:6" x14ac:dyDescent="0.25">
      <c r="B496" s="1">
        <v>40188898</v>
      </c>
      <c r="F496" s="1" t="s">
        <v>835</v>
      </c>
    </row>
    <row r="497" spans="2:6" x14ac:dyDescent="0.25">
      <c r="B497" s="1">
        <v>40200101</v>
      </c>
      <c r="F497" s="1" t="s">
        <v>722</v>
      </c>
    </row>
    <row r="498" spans="2:6" x14ac:dyDescent="0.25">
      <c r="B498" s="1">
        <v>40200201</v>
      </c>
      <c r="F498" s="1" t="s">
        <v>896</v>
      </c>
    </row>
    <row r="499" spans="2:6" x14ac:dyDescent="0.25">
      <c r="B499" s="1">
        <v>40200301</v>
      </c>
      <c r="F499" s="1" t="s">
        <v>895</v>
      </c>
    </row>
    <row r="500" spans="2:6" x14ac:dyDescent="0.25">
      <c r="B500" s="1">
        <v>40200401</v>
      </c>
      <c r="F500" s="1" t="s">
        <v>892</v>
      </c>
    </row>
    <row r="501" spans="2:6" x14ac:dyDescent="0.25">
      <c r="B501" s="1">
        <v>40200501</v>
      </c>
      <c r="F501" s="1" t="s">
        <v>893</v>
      </c>
    </row>
    <row r="502" spans="2:6" x14ac:dyDescent="0.25">
      <c r="B502" s="1">
        <v>40200601</v>
      </c>
      <c r="F502" s="1" t="s">
        <v>1108</v>
      </c>
    </row>
    <row r="503" spans="2:6" x14ac:dyDescent="0.25">
      <c r="B503" s="1">
        <v>40200701</v>
      </c>
      <c r="F503" s="1" t="s">
        <v>374</v>
      </c>
    </row>
    <row r="504" spans="2:6" x14ac:dyDescent="0.25">
      <c r="B504" s="1">
        <v>40200706</v>
      </c>
      <c r="F504" s="1" t="s">
        <v>1107</v>
      </c>
    </row>
    <row r="505" spans="2:6" x14ac:dyDescent="0.25">
      <c r="B505" s="1">
        <v>40200710</v>
      </c>
      <c r="F505" s="1" t="s">
        <v>777</v>
      </c>
    </row>
    <row r="506" spans="2:6" x14ac:dyDescent="0.25">
      <c r="B506" s="1">
        <v>40200901</v>
      </c>
      <c r="F506" s="1" t="s">
        <v>814</v>
      </c>
    </row>
    <row r="507" spans="2:6" x14ac:dyDescent="0.25">
      <c r="B507" s="1">
        <v>40200902</v>
      </c>
      <c r="F507" s="1" t="s">
        <v>689</v>
      </c>
    </row>
    <row r="508" spans="2:6" x14ac:dyDescent="0.25">
      <c r="B508" s="1">
        <v>40200910</v>
      </c>
      <c r="F508" s="1" t="s">
        <v>1169</v>
      </c>
    </row>
    <row r="509" spans="2:6" x14ac:dyDescent="0.25">
      <c r="B509" s="1">
        <v>40200912</v>
      </c>
      <c r="F509" s="1" t="s">
        <v>882</v>
      </c>
    </row>
    <row r="510" spans="2:6" x14ac:dyDescent="0.25">
      <c r="B510" s="1">
        <v>40200917</v>
      </c>
      <c r="F510" s="1" t="s">
        <v>725</v>
      </c>
    </row>
    <row r="511" spans="2:6" x14ac:dyDescent="0.25">
      <c r="B511" s="1">
        <v>40200918</v>
      </c>
      <c r="F511" s="1" t="s">
        <v>610</v>
      </c>
    </row>
    <row r="512" spans="2:6" x14ac:dyDescent="0.25">
      <c r="B512" s="1">
        <v>40200920</v>
      </c>
      <c r="F512" s="1" t="s">
        <v>370</v>
      </c>
    </row>
    <row r="513" spans="2:6" x14ac:dyDescent="0.25">
      <c r="B513" s="1">
        <v>40200930</v>
      </c>
      <c r="F513" s="1" t="s">
        <v>353</v>
      </c>
    </row>
    <row r="514" spans="2:6" x14ac:dyDescent="0.25">
      <c r="B514" s="1">
        <v>40201301</v>
      </c>
      <c r="F514" s="1" t="s">
        <v>298</v>
      </c>
    </row>
    <row r="515" spans="2:6" x14ac:dyDescent="0.25">
      <c r="B515" s="1">
        <v>40201303</v>
      </c>
      <c r="F515" s="1" t="s">
        <v>1179</v>
      </c>
    </row>
    <row r="516" spans="2:6" x14ac:dyDescent="0.25">
      <c r="B516" s="1">
        <v>40201305</v>
      </c>
      <c r="F516" s="1" t="s">
        <v>340</v>
      </c>
    </row>
    <row r="517" spans="2:6" x14ac:dyDescent="0.25">
      <c r="B517" s="1">
        <v>40201399</v>
      </c>
      <c r="F517" s="1" t="s">
        <v>1182</v>
      </c>
    </row>
    <row r="518" spans="2:6" x14ac:dyDescent="0.25">
      <c r="B518" s="1">
        <v>40201405</v>
      </c>
      <c r="F518" s="1" t="s">
        <v>1167</v>
      </c>
    </row>
    <row r="519" spans="2:6" x14ac:dyDescent="0.25">
      <c r="B519" s="1">
        <v>40201499</v>
      </c>
      <c r="F519" s="1" t="s">
        <v>876</v>
      </c>
    </row>
    <row r="520" spans="2:6" x14ac:dyDescent="0.25">
      <c r="B520" s="1">
        <v>40201699</v>
      </c>
      <c r="F520" s="1" t="s">
        <v>696</v>
      </c>
    </row>
    <row r="521" spans="2:6" x14ac:dyDescent="0.25">
      <c r="B521" s="1">
        <v>40201799</v>
      </c>
      <c r="F521" s="1" t="s">
        <v>698</v>
      </c>
    </row>
    <row r="522" spans="2:6" x14ac:dyDescent="0.25">
      <c r="B522" s="1">
        <v>40201901</v>
      </c>
      <c r="F522" s="1" t="s">
        <v>730</v>
      </c>
    </row>
    <row r="523" spans="2:6" x14ac:dyDescent="0.25">
      <c r="B523" s="1">
        <v>40201999</v>
      </c>
      <c r="F523" s="1" t="s">
        <v>315</v>
      </c>
    </row>
    <row r="524" spans="2:6" x14ac:dyDescent="0.25">
      <c r="B524" s="1">
        <v>40202001</v>
      </c>
      <c r="F524" s="1" t="s">
        <v>314</v>
      </c>
    </row>
    <row r="525" spans="2:6" x14ac:dyDescent="0.25">
      <c r="B525" s="1">
        <v>40202111</v>
      </c>
      <c r="F525" s="1" t="s">
        <v>291</v>
      </c>
    </row>
    <row r="526" spans="2:6" x14ac:dyDescent="0.25">
      <c r="B526" s="1">
        <v>40202199</v>
      </c>
      <c r="F526" s="1" t="s">
        <v>540</v>
      </c>
    </row>
    <row r="527" spans="2:6" x14ac:dyDescent="0.25">
      <c r="B527" s="1">
        <v>40202205</v>
      </c>
      <c r="F527" s="1" t="s">
        <v>959</v>
      </c>
    </row>
    <row r="528" spans="2:6" x14ac:dyDescent="0.25">
      <c r="B528" s="1">
        <v>40202299</v>
      </c>
      <c r="F528" s="1" t="s">
        <v>917</v>
      </c>
    </row>
    <row r="529" spans="2:6" x14ac:dyDescent="0.25">
      <c r="B529" s="1">
        <v>40202406</v>
      </c>
      <c r="F529" s="1" t="s">
        <v>1158</v>
      </c>
    </row>
    <row r="530" spans="2:6" x14ac:dyDescent="0.25">
      <c r="B530" s="1">
        <v>40202501</v>
      </c>
      <c r="F530" s="1" t="s">
        <v>602</v>
      </c>
    </row>
    <row r="531" spans="2:6" x14ac:dyDescent="0.25">
      <c r="B531" s="1">
        <v>40202502</v>
      </c>
      <c r="F531" s="1" t="s">
        <v>606</v>
      </c>
    </row>
    <row r="532" spans="2:6" x14ac:dyDescent="0.25">
      <c r="B532" s="1">
        <v>40202599</v>
      </c>
      <c r="F532" s="1" t="s">
        <v>600</v>
      </c>
    </row>
    <row r="533" spans="2:6" x14ac:dyDescent="0.25">
      <c r="B533" s="1">
        <v>40202601</v>
      </c>
      <c r="F533" s="1" t="s">
        <v>598</v>
      </c>
    </row>
    <row r="534" spans="2:6" x14ac:dyDescent="0.25">
      <c r="B534" s="1">
        <v>40202699</v>
      </c>
      <c r="F534" s="1" t="s">
        <v>603</v>
      </c>
    </row>
    <row r="535" spans="2:6" x14ac:dyDescent="0.25">
      <c r="B535" s="1">
        <v>40288801</v>
      </c>
      <c r="F535" s="1" t="s">
        <v>597</v>
      </c>
    </row>
    <row r="536" spans="2:6" x14ac:dyDescent="0.25">
      <c r="B536" s="1">
        <v>40288822</v>
      </c>
      <c r="F536" s="1" t="s">
        <v>601</v>
      </c>
    </row>
    <row r="537" spans="2:6" x14ac:dyDescent="0.25">
      <c r="B537" s="1">
        <v>40299998</v>
      </c>
      <c r="F537" s="1" t="s">
        <v>605</v>
      </c>
    </row>
    <row r="538" spans="2:6" x14ac:dyDescent="0.25">
      <c r="B538" s="1">
        <v>40301001</v>
      </c>
      <c r="F538" s="1" t="s">
        <v>604</v>
      </c>
    </row>
    <row r="539" spans="2:6" x14ac:dyDescent="0.25">
      <c r="B539" s="1">
        <v>40301002</v>
      </c>
      <c r="F539" s="1" t="s">
        <v>607</v>
      </c>
    </row>
    <row r="540" spans="2:6" x14ac:dyDescent="0.25">
      <c r="B540" s="1">
        <v>40301005</v>
      </c>
      <c r="F540" s="1" t="s">
        <v>507</v>
      </c>
    </row>
    <row r="541" spans="2:6" x14ac:dyDescent="0.25">
      <c r="B541" s="1">
        <v>40301007</v>
      </c>
      <c r="F541" s="1" t="s">
        <v>293</v>
      </c>
    </row>
    <row r="542" spans="2:6" x14ac:dyDescent="0.25">
      <c r="B542" s="1">
        <v>40301008</v>
      </c>
      <c r="F542" s="1" t="s">
        <v>1153</v>
      </c>
    </row>
    <row r="543" spans="2:6" x14ac:dyDescent="0.25">
      <c r="B543" s="1">
        <v>40301011</v>
      </c>
      <c r="F543" s="1" t="s">
        <v>553</v>
      </c>
    </row>
    <row r="544" spans="2:6" x14ac:dyDescent="0.25">
      <c r="B544" s="1">
        <v>40301012</v>
      </c>
      <c r="F544" s="1" t="s">
        <v>1057</v>
      </c>
    </row>
    <row r="545" spans="2:6" x14ac:dyDescent="0.25">
      <c r="B545" s="1">
        <v>40301016</v>
      </c>
      <c r="F545" s="1" t="s">
        <v>1058</v>
      </c>
    </row>
    <row r="546" spans="2:6" x14ac:dyDescent="0.25">
      <c r="B546" s="1">
        <v>40301017</v>
      </c>
      <c r="F546" s="1" t="s">
        <v>469</v>
      </c>
    </row>
    <row r="547" spans="2:6" x14ac:dyDescent="0.25">
      <c r="B547" s="1">
        <v>40301018</v>
      </c>
      <c r="F547" s="1" t="s">
        <v>209</v>
      </c>
    </row>
    <row r="548" spans="2:6" x14ac:dyDescent="0.25">
      <c r="B548" s="1">
        <v>40301019</v>
      </c>
      <c r="F548" s="1" t="s">
        <v>318</v>
      </c>
    </row>
    <row r="549" spans="2:6" x14ac:dyDescent="0.25">
      <c r="B549" s="1">
        <v>40301020</v>
      </c>
      <c r="F549" s="1" t="s">
        <v>441</v>
      </c>
    </row>
    <row r="550" spans="2:6" x14ac:dyDescent="0.25">
      <c r="B550" s="1">
        <v>40301021</v>
      </c>
      <c r="F550" s="1" t="s">
        <v>219</v>
      </c>
    </row>
    <row r="551" spans="2:6" x14ac:dyDescent="0.25">
      <c r="B551" s="1">
        <v>40301097</v>
      </c>
      <c r="F551" s="1" t="s">
        <v>224</v>
      </c>
    </row>
    <row r="552" spans="2:6" x14ac:dyDescent="0.25">
      <c r="B552" s="1">
        <v>40301099</v>
      </c>
      <c r="F552" s="1" t="s">
        <v>221</v>
      </c>
    </row>
    <row r="553" spans="2:6" x14ac:dyDescent="0.25">
      <c r="B553" s="1">
        <v>40301107</v>
      </c>
      <c r="F553" s="1" t="s">
        <v>1031</v>
      </c>
    </row>
    <row r="554" spans="2:6" x14ac:dyDescent="0.25">
      <c r="B554" s="1">
        <v>40301108</v>
      </c>
      <c r="F554" s="1" t="s">
        <v>627</v>
      </c>
    </row>
    <row r="555" spans="2:6" x14ac:dyDescent="0.25">
      <c r="B555" s="1">
        <v>40301115</v>
      </c>
      <c r="F555" s="1" t="s">
        <v>1160</v>
      </c>
    </row>
    <row r="556" spans="2:6" x14ac:dyDescent="0.25">
      <c r="B556" s="1">
        <v>40301117</v>
      </c>
      <c r="F556" s="1" t="s">
        <v>930</v>
      </c>
    </row>
    <row r="557" spans="2:6" x14ac:dyDescent="0.25">
      <c r="B557" s="1">
        <v>40301118</v>
      </c>
      <c r="F557" s="1" t="s">
        <v>249</v>
      </c>
    </row>
    <row r="558" spans="2:6" x14ac:dyDescent="0.25">
      <c r="B558" s="1">
        <v>40301132</v>
      </c>
      <c r="F558" s="1" t="s">
        <v>973</v>
      </c>
    </row>
    <row r="559" spans="2:6" x14ac:dyDescent="0.25">
      <c r="B559" s="1">
        <v>40301142</v>
      </c>
      <c r="F559" s="1" t="s">
        <v>997</v>
      </c>
    </row>
    <row r="560" spans="2:6" x14ac:dyDescent="0.25">
      <c r="B560" s="1">
        <v>40301151</v>
      </c>
      <c r="F560" s="1" t="s">
        <v>569</v>
      </c>
    </row>
    <row r="561" spans="2:6" x14ac:dyDescent="0.25">
      <c r="B561" s="1">
        <v>40301153</v>
      </c>
      <c r="F561" s="1" t="s">
        <v>748</v>
      </c>
    </row>
    <row r="562" spans="2:6" x14ac:dyDescent="0.25">
      <c r="B562" s="1">
        <v>40301155</v>
      </c>
      <c r="F562" s="1" t="s">
        <v>682</v>
      </c>
    </row>
    <row r="563" spans="2:6" x14ac:dyDescent="0.25">
      <c r="B563" s="1">
        <v>40301204</v>
      </c>
      <c r="F563" s="1" t="s">
        <v>681</v>
      </c>
    </row>
    <row r="564" spans="2:6" x14ac:dyDescent="0.25">
      <c r="B564" s="1">
        <v>40400101</v>
      </c>
      <c r="F564" s="1" t="s">
        <v>1140</v>
      </c>
    </row>
    <row r="565" spans="2:6" x14ac:dyDescent="0.25">
      <c r="B565" s="1">
        <v>40400102</v>
      </c>
      <c r="F565" s="1" t="s">
        <v>1141</v>
      </c>
    </row>
    <row r="566" spans="2:6" x14ac:dyDescent="0.25">
      <c r="B566" s="1">
        <v>40400107</v>
      </c>
      <c r="F566" s="1" t="s">
        <v>632</v>
      </c>
    </row>
    <row r="567" spans="2:6" x14ac:dyDescent="0.25">
      <c r="B567" s="1">
        <v>40400108</v>
      </c>
      <c r="F567" s="1" t="s">
        <v>630</v>
      </c>
    </row>
    <row r="568" spans="2:6" x14ac:dyDescent="0.25">
      <c r="B568" s="1">
        <v>40400116</v>
      </c>
      <c r="F568" s="1" t="s">
        <v>631</v>
      </c>
    </row>
    <row r="569" spans="2:6" x14ac:dyDescent="0.25">
      <c r="B569" s="1">
        <v>40400121</v>
      </c>
      <c r="F569" s="1" t="s">
        <v>332</v>
      </c>
    </row>
    <row r="570" spans="2:6" x14ac:dyDescent="0.25">
      <c r="B570" s="1">
        <v>40400122</v>
      </c>
      <c r="F570" s="1" t="s">
        <v>365</v>
      </c>
    </row>
    <row r="571" spans="2:6" x14ac:dyDescent="0.25">
      <c r="B571" s="1">
        <v>40400151</v>
      </c>
      <c r="F571" s="1" t="s">
        <v>302</v>
      </c>
    </row>
    <row r="572" spans="2:6" x14ac:dyDescent="0.25">
      <c r="B572" s="1">
        <v>40400199</v>
      </c>
      <c r="F572" s="1" t="s">
        <v>295</v>
      </c>
    </row>
    <row r="573" spans="2:6" x14ac:dyDescent="0.25">
      <c r="B573" s="1">
        <v>40400251</v>
      </c>
      <c r="F573" s="1" t="s">
        <v>347</v>
      </c>
    </row>
    <row r="574" spans="2:6" x14ac:dyDescent="0.25">
      <c r="B574" s="1">
        <v>40400302</v>
      </c>
      <c r="F574" s="1" t="s">
        <v>664</v>
      </c>
    </row>
    <row r="575" spans="2:6" x14ac:dyDescent="0.25">
      <c r="B575" s="1">
        <v>40400307</v>
      </c>
      <c r="F575" s="1" t="s">
        <v>815</v>
      </c>
    </row>
    <row r="576" spans="2:6" x14ac:dyDescent="0.25">
      <c r="B576" s="1">
        <v>40400404</v>
      </c>
      <c r="F576" s="1" t="s">
        <v>690</v>
      </c>
    </row>
    <row r="577" spans="2:6" x14ac:dyDescent="0.25">
      <c r="B577" s="1">
        <v>40400406</v>
      </c>
      <c r="F577" s="1" t="s">
        <v>364</v>
      </c>
    </row>
    <row r="578" spans="2:6" x14ac:dyDescent="0.25">
      <c r="B578" s="1">
        <v>40400408</v>
      </c>
      <c r="F578" s="1" t="s">
        <v>1230</v>
      </c>
    </row>
    <row r="579" spans="2:6" x14ac:dyDescent="0.25">
      <c r="B579" s="1">
        <v>40400413</v>
      </c>
      <c r="F579" s="1" t="s">
        <v>1142</v>
      </c>
    </row>
    <row r="580" spans="2:6" x14ac:dyDescent="0.25">
      <c r="B580" s="1">
        <v>40400414</v>
      </c>
      <c r="F580" s="1" t="s">
        <v>1143</v>
      </c>
    </row>
    <row r="581" spans="2:6" x14ac:dyDescent="0.25">
      <c r="B581" s="1">
        <v>40500201</v>
      </c>
      <c r="F581" s="1" t="s">
        <v>1034</v>
      </c>
    </row>
    <row r="582" spans="2:6" x14ac:dyDescent="0.25">
      <c r="B582" s="1">
        <v>40500215</v>
      </c>
      <c r="F582" s="1" t="s">
        <v>18</v>
      </c>
    </row>
    <row r="583" spans="2:6" x14ac:dyDescent="0.25">
      <c r="B583" s="1">
        <v>40500301</v>
      </c>
      <c r="F583" s="1" t="s">
        <v>67</v>
      </c>
    </row>
    <row r="584" spans="2:6" x14ac:dyDescent="0.25">
      <c r="B584" s="1">
        <v>40500401</v>
      </c>
      <c r="F584" s="1" t="s">
        <v>87</v>
      </c>
    </row>
    <row r="585" spans="2:6" x14ac:dyDescent="0.25">
      <c r="B585" s="1">
        <v>40500415</v>
      </c>
      <c r="F585" s="1" t="s">
        <v>115</v>
      </c>
    </row>
    <row r="586" spans="2:6" x14ac:dyDescent="0.25">
      <c r="B586" s="1">
        <v>40500597</v>
      </c>
      <c r="F586" s="1" t="s">
        <v>230</v>
      </c>
    </row>
    <row r="587" spans="2:6" x14ac:dyDescent="0.25">
      <c r="B587" s="1">
        <v>40500801</v>
      </c>
      <c r="F587" s="1" t="s">
        <v>143</v>
      </c>
    </row>
    <row r="588" spans="2:6" x14ac:dyDescent="0.25">
      <c r="B588" s="1">
        <v>40588801</v>
      </c>
      <c r="F588" s="1" t="s">
        <v>21</v>
      </c>
    </row>
    <row r="589" spans="2:6" x14ac:dyDescent="0.25">
      <c r="B589" s="1">
        <v>40600130</v>
      </c>
      <c r="F589" s="1" t="s">
        <v>70</v>
      </c>
    </row>
    <row r="590" spans="2:6" x14ac:dyDescent="0.25">
      <c r="B590" s="1">
        <v>40600131</v>
      </c>
      <c r="F590" s="1" t="s">
        <v>118</v>
      </c>
    </row>
    <row r="591" spans="2:6" x14ac:dyDescent="0.25">
      <c r="B591" s="1">
        <v>40600132</v>
      </c>
      <c r="F591" s="1" t="s">
        <v>339</v>
      </c>
    </row>
    <row r="592" spans="2:6" x14ac:dyDescent="0.25">
      <c r="B592" s="1">
        <v>40600135</v>
      </c>
      <c r="F592" s="1" t="s">
        <v>788</v>
      </c>
    </row>
    <row r="593" spans="2:6" x14ac:dyDescent="0.25">
      <c r="B593" s="1">
        <v>40600136</v>
      </c>
      <c r="F593" s="1" t="s">
        <v>792</v>
      </c>
    </row>
    <row r="594" spans="2:6" x14ac:dyDescent="0.25">
      <c r="B594" s="1">
        <v>40600140</v>
      </c>
      <c r="F594" s="1" t="s">
        <v>442</v>
      </c>
    </row>
    <row r="595" spans="2:6" x14ac:dyDescent="0.25">
      <c r="B595" s="1">
        <v>40600199</v>
      </c>
      <c r="F595" s="1" t="s">
        <v>333</v>
      </c>
    </row>
    <row r="596" spans="2:6" x14ac:dyDescent="0.25">
      <c r="B596" s="1">
        <v>40600236</v>
      </c>
      <c r="F596" s="1" t="s">
        <v>999</v>
      </c>
    </row>
    <row r="597" spans="2:6" x14ac:dyDescent="0.25">
      <c r="B597" s="1">
        <v>40600503</v>
      </c>
      <c r="F597" s="1" t="s">
        <v>991</v>
      </c>
    </row>
    <row r="598" spans="2:6" x14ac:dyDescent="0.25">
      <c r="B598" s="1">
        <v>40700808</v>
      </c>
      <c r="F598" s="1" t="s">
        <v>994</v>
      </c>
    </row>
    <row r="599" spans="2:6" x14ac:dyDescent="0.25">
      <c r="B599" s="1">
        <v>40700809</v>
      </c>
      <c r="F599" s="1" t="s">
        <v>990</v>
      </c>
    </row>
    <row r="600" spans="2:6" x14ac:dyDescent="0.25">
      <c r="B600" s="1">
        <v>40700810</v>
      </c>
      <c r="F600" s="1" t="s">
        <v>311</v>
      </c>
    </row>
    <row r="601" spans="2:6" x14ac:dyDescent="0.25">
      <c r="B601" s="1">
        <v>40700811</v>
      </c>
      <c r="F601" s="1" t="s">
        <v>310</v>
      </c>
    </row>
    <row r="602" spans="2:6" x14ac:dyDescent="0.25">
      <c r="B602" s="1">
        <v>40700812</v>
      </c>
      <c r="F602" s="1" t="s">
        <v>826</v>
      </c>
    </row>
    <row r="603" spans="2:6" x14ac:dyDescent="0.25">
      <c r="B603" s="1">
        <v>40700813</v>
      </c>
      <c r="F603" s="1" t="s">
        <v>825</v>
      </c>
    </row>
    <row r="604" spans="2:6" x14ac:dyDescent="0.25">
      <c r="B604" s="1">
        <v>40700814</v>
      </c>
      <c r="F604" s="1" t="s">
        <v>781</v>
      </c>
    </row>
    <row r="605" spans="2:6" x14ac:dyDescent="0.25">
      <c r="B605" s="1">
        <v>40700815</v>
      </c>
      <c r="F605" s="1" t="s">
        <v>780</v>
      </c>
    </row>
    <row r="606" spans="2:6" x14ac:dyDescent="0.25">
      <c r="B606" s="1">
        <v>40700816</v>
      </c>
      <c r="F606" s="1" t="s">
        <v>24</v>
      </c>
    </row>
    <row r="607" spans="2:6" x14ac:dyDescent="0.25">
      <c r="B607" s="1">
        <v>40700817</v>
      </c>
      <c r="F607" s="1" t="s">
        <v>504</v>
      </c>
    </row>
    <row r="608" spans="2:6" x14ac:dyDescent="0.25">
      <c r="B608" s="1">
        <v>40700818</v>
      </c>
      <c r="F608" s="1" t="s">
        <v>316</v>
      </c>
    </row>
    <row r="609" spans="2:6" x14ac:dyDescent="0.25">
      <c r="B609" s="1">
        <v>40701611</v>
      </c>
      <c r="F609" s="1" t="s">
        <v>1204</v>
      </c>
    </row>
    <row r="610" spans="2:6" x14ac:dyDescent="0.25">
      <c r="B610" s="1">
        <v>40701612</v>
      </c>
      <c r="F610" s="1" t="s">
        <v>131</v>
      </c>
    </row>
    <row r="611" spans="2:6" x14ac:dyDescent="0.25">
      <c r="B611" s="1">
        <v>40701613</v>
      </c>
      <c r="F611" s="1" t="s">
        <v>222</v>
      </c>
    </row>
    <row r="612" spans="2:6" x14ac:dyDescent="0.25">
      <c r="B612" s="1">
        <v>40703613</v>
      </c>
      <c r="F612" s="1" t="s">
        <v>264</v>
      </c>
    </row>
    <row r="613" spans="2:6" x14ac:dyDescent="0.25">
      <c r="B613" s="1">
        <v>40703614</v>
      </c>
      <c r="F613" s="1" t="s">
        <v>772</v>
      </c>
    </row>
    <row r="614" spans="2:6" x14ac:dyDescent="0.25">
      <c r="B614" s="1">
        <v>40703615</v>
      </c>
      <c r="F614" s="1" t="s">
        <v>572</v>
      </c>
    </row>
    <row r="615" spans="2:6" x14ac:dyDescent="0.25">
      <c r="B615" s="1">
        <v>40703616</v>
      </c>
      <c r="F615" s="1" t="s">
        <v>573</v>
      </c>
    </row>
    <row r="616" spans="2:6" x14ac:dyDescent="0.25">
      <c r="B616" s="1">
        <v>40703621</v>
      </c>
      <c r="F616" s="1" t="s">
        <v>570</v>
      </c>
    </row>
    <row r="617" spans="2:6" x14ac:dyDescent="0.25">
      <c r="B617" s="1">
        <v>40703622</v>
      </c>
      <c r="F617" s="1" t="s">
        <v>275</v>
      </c>
    </row>
    <row r="618" spans="2:6" x14ac:dyDescent="0.25">
      <c r="B618" s="1">
        <v>40705603</v>
      </c>
      <c r="F618" s="1" t="s">
        <v>268</v>
      </c>
    </row>
    <row r="619" spans="2:6" x14ac:dyDescent="0.25">
      <c r="B619" s="1">
        <v>40706801</v>
      </c>
      <c r="F619" s="1" t="s">
        <v>406</v>
      </c>
    </row>
    <row r="620" spans="2:6" x14ac:dyDescent="0.25">
      <c r="B620" s="1">
        <v>40717603</v>
      </c>
      <c r="F620" s="1" t="s">
        <v>402</v>
      </c>
    </row>
    <row r="621" spans="2:6" x14ac:dyDescent="0.25">
      <c r="B621" s="1">
        <v>40717604</v>
      </c>
      <c r="F621" s="1" t="s">
        <v>407</v>
      </c>
    </row>
    <row r="622" spans="2:6" x14ac:dyDescent="0.25">
      <c r="B622" s="1">
        <v>40799997</v>
      </c>
      <c r="F622" s="1" t="s">
        <v>405</v>
      </c>
    </row>
    <row r="623" spans="2:6" x14ac:dyDescent="0.25">
      <c r="B623" s="1">
        <v>40880001</v>
      </c>
      <c r="F623" s="1" t="s">
        <v>403</v>
      </c>
    </row>
    <row r="624" spans="2:6" x14ac:dyDescent="0.25">
      <c r="B624" s="1">
        <v>49000205</v>
      </c>
      <c r="F624" s="1" t="s">
        <v>404</v>
      </c>
    </row>
    <row r="625" spans="2:6" x14ac:dyDescent="0.25">
      <c r="B625" s="1">
        <v>50100101</v>
      </c>
      <c r="F625" s="1" t="s">
        <v>862</v>
      </c>
    </row>
    <row r="626" spans="2:6" x14ac:dyDescent="0.25">
      <c r="B626" s="1">
        <v>50100103</v>
      </c>
      <c r="F626" s="1" t="s">
        <v>1086</v>
      </c>
    </row>
    <row r="627" spans="2:6" x14ac:dyDescent="0.25">
      <c r="B627" s="1">
        <v>50100104</v>
      </c>
      <c r="F627" s="1" t="s">
        <v>1006</v>
      </c>
    </row>
    <row r="628" spans="2:6" x14ac:dyDescent="0.25">
      <c r="B628" s="1">
        <v>50100105</v>
      </c>
      <c r="F628" s="1" t="s">
        <v>785</v>
      </c>
    </row>
    <row r="629" spans="2:6" x14ac:dyDescent="0.25">
      <c r="B629" s="1">
        <v>50100402</v>
      </c>
      <c r="F629" s="1" t="s">
        <v>908</v>
      </c>
    </row>
    <row r="630" spans="2:6" x14ac:dyDescent="0.25">
      <c r="B630" s="1">
        <v>50100410</v>
      </c>
      <c r="F630" s="1" t="s">
        <v>865</v>
      </c>
    </row>
    <row r="631" spans="2:6" x14ac:dyDescent="0.25">
      <c r="B631" s="1">
        <v>50100421</v>
      </c>
      <c r="F631" s="1" t="s">
        <v>1190</v>
      </c>
    </row>
    <row r="632" spans="2:6" x14ac:dyDescent="0.25">
      <c r="B632" s="1">
        <v>50100515</v>
      </c>
      <c r="F632" s="1" t="s">
        <v>51</v>
      </c>
    </row>
    <row r="633" spans="2:6" x14ac:dyDescent="0.25">
      <c r="B633" s="1">
        <v>50100701</v>
      </c>
      <c r="F633" s="1" t="s">
        <v>1183</v>
      </c>
    </row>
    <row r="634" spans="2:6" x14ac:dyDescent="0.25">
      <c r="B634" s="1">
        <v>50100702</v>
      </c>
      <c r="F634" s="1" t="s">
        <v>1176</v>
      </c>
    </row>
    <row r="635" spans="2:6" x14ac:dyDescent="0.25">
      <c r="B635" s="1">
        <v>50100703</v>
      </c>
      <c r="F635" s="1" t="s">
        <v>1165</v>
      </c>
    </row>
    <row r="636" spans="2:6" x14ac:dyDescent="0.25">
      <c r="B636" s="1">
        <v>50100704</v>
      </c>
      <c r="F636" s="1" t="s">
        <v>470</v>
      </c>
    </row>
    <row r="637" spans="2:6" x14ac:dyDescent="0.25">
      <c r="B637" s="1">
        <v>50100799</v>
      </c>
      <c r="F637" s="1" t="s">
        <v>1185</v>
      </c>
    </row>
    <row r="638" spans="2:6" x14ac:dyDescent="0.25">
      <c r="B638" s="1">
        <v>50200101</v>
      </c>
      <c r="F638" s="1" t="s">
        <v>879</v>
      </c>
    </row>
    <row r="639" spans="2:6" x14ac:dyDescent="0.25">
      <c r="B639" s="1">
        <v>50200505</v>
      </c>
      <c r="F639" s="1" t="s">
        <v>790</v>
      </c>
    </row>
    <row r="640" spans="2:6" x14ac:dyDescent="0.25">
      <c r="B640" s="1">
        <v>50200601</v>
      </c>
      <c r="F640" s="1" t="s">
        <v>368</v>
      </c>
    </row>
    <row r="641" spans="2:6" x14ac:dyDescent="0.25">
      <c r="B641" s="1">
        <v>50200602</v>
      </c>
      <c r="F641" s="1" t="s">
        <v>589</v>
      </c>
    </row>
    <row r="642" spans="2:6" x14ac:dyDescent="0.25">
      <c r="B642" s="1">
        <v>50300102</v>
      </c>
      <c r="F642" s="1" t="s">
        <v>587</v>
      </c>
    </row>
    <row r="643" spans="2:6" x14ac:dyDescent="0.25">
      <c r="B643" s="1">
        <v>50300115</v>
      </c>
      <c r="F643" s="1" t="s">
        <v>590</v>
      </c>
    </row>
    <row r="644" spans="2:6" x14ac:dyDescent="0.25">
      <c r="B644" s="1">
        <v>50300501</v>
      </c>
      <c r="F644" s="1" t="s">
        <v>588</v>
      </c>
    </row>
    <row r="645" spans="2:6" x14ac:dyDescent="0.25">
      <c r="B645" s="1">
        <v>50300506</v>
      </c>
      <c r="F645" s="1" t="s">
        <v>638</v>
      </c>
    </row>
    <row r="646" spans="2:6" x14ac:dyDescent="0.25">
      <c r="B646" s="1">
        <v>50300601</v>
      </c>
      <c r="F646" s="1" t="s">
        <v>272</v>
      </c>
    </row>
    <row r="647" spans="2:6" x14ac:dyDescent="0.25">
      <c r="B647" s="1">
        <v>50300603</v>
      </c>
      <c r="F647" s="1" t="s">
        <v>784</v>
      </c>
    </row>
    <row r="648" spans="2:6" x14ac:dyDescent="0.25">
      <c r="B648" s="1">
        <v>50300702</v>
      </c>
      <c r="F648" s="1" t="s">
        <v>623</v>
      </c>
    </row>
    <row r="649" spans="2:6" x14ac:dyDescent="0.25">
      <c r="B649" s="1">
        <v>50410420</v>
      </c>
      <c r="F649" s="1" t="s">
        <v>911</v>
      </c>
    </row>
    <row r="650" spans="2:6" x14ac:dyDescent="0.25">
      <c r="B650" s="1">
        <v>50410563</v>
      </c>
      <c r="F650" s="1" t="s">
        <v>910</v>
      </c>
    </row>
    <row r="651" spans="2:6" x14ac:dyDescent="0.25">
      <c r="B651" s="1">
        <v>50410763</v>
      </c>
      <c r="F651" s="1" t="s">
        <v>461</v>
      </c>
    </row>
    <row r="652" spans="2:6" x14ac:dyDescent="0.25">
      <c r="B652" s="1">
        <v>99999999</v>
      </c>
      <c r="F652" s="1" t="s">
        <v>485</v>
      </c>
    </row>
    <row r="653" spans="2:6" x14ac:dyDescent="0.25">
      <c r="B653" s="1">
        <v>2102004001</v>
      </c>
      <c r="F653" s="1" t="s">
        <v>486</v>
      </c>
    </row>
    <row r="654" spans="2:6" x14ac:dyDescent="0.25">
      <c r="B654" s="1">
        <v>2102004002</v>
      </c>
      <c r="F654" s="1" t="s">
        <v>464</v>
      </c>
    </row>
    <row r="655" spans="2:6" x14ac:dyDescent="0.25">
      <c r="B655" s="1">
        <v>2102005000</v>
      </c>
      <c r="F655" s="1" t="s">
        <v>463</v>
      </c>
    </row>
    <row r="656" spans="2:6" x14ac:dyDescent="0.25">
      <c r="B656" s="1">
        <v>2102006000</v>
      </c>
      <c r="F656" s="1" t="s">
        <v>106</v>
      </c>
    </row>
    <row r="657" spans="2:6" x14ac:dyDescent="0.25">
      <c r="B657" s="1">
        <v>2102007000</v>
      </c>
      <c r="F657" s="1" t="s">
        <v>105</v>
      </c>
    </row>
    <row r="658" spans="2:6" x14ac:dyDescent="0.25">
      <c r="B658" s="1">
        <v>2102008000</v>
      </c>
      <c r="F658" s="1" t="s">
        <v>103</v>
      </c>
    </row>
    <row r="659" spans="2:6" x14ac:dyDescent="0.25">
      <c r="B659" s="1">
        <v>2102011000</v>
      </c>
      <c r="F659" s="1" t="s">
        <v>109</v>
      </c>
    </row>
    <row r="660" spans="2:6" x14ac:dyDescent="0.25">
      <c r="B660" s="1">
        <v>2103004001</v>
      </c>
      <c r="F660" s="1" t="s">
        <v>108</v>
      </c>
    </row>
    <row r="661" spans="2:6" x14ac:dyDescent="0.25">
      <c r="B661" s="1">
        <v>2103004002</v>
      </c>
      <c r="F661" s="1" t="s">
        <v>107</v>
      </c>
    </row>
    <row r="662" spans="2:6" x14ac:dyDescent="0.25">
      <c r="B662" s="1">
        <v>2103005000</v>
      </c>
      <c r="F662" s="1" t="s">
        <v>110</v>
      </c>
    </row>
    <row r="663" spans="2:6" x14ac:dyDescent="0.25">
      <c r="B663" s="1">
        <v>2103006000</v>
      </c>
      <c r="F663" s="1" t="s">
        <v>285</v>
      </c>
    </row>
    <row r="664" spans="2:6" x14ac:dyDescent="0.25">
      <c r="B664" s="1">
        <v>2103007000</v>
      </c>
      <c r="F664" s="1" t="s">
        <v>237</v>
      </c>
    </row>
    <row r="665" spans="2:6" x14ac:dyDescent="0.25">
      <c r="B665" s="1">
        <v>2103008000</v>
      </c>
      <c r="F665" s="1" t="s">
        <v>235</v>
      </c>
    </row>
    <row r="666" spans="2:6" x14ac:dyDescent="0.25">
      <c r="B666" s="1">
        <v>2103011000</v>
      </c>
    </row>
    <row r="667" spans="2:6" x14ac:dyDescent="0.25">
      <c r="B667" s="1">
        <v>2104001000</v>
      </c>
    </row>
    <row r="668" spans="2:6" x14ac:dyDescent="0.25">
      <c r="B668" s="1">
        <v>2104002000</v>
      </c>
    </row>
    <row r="669" spans="2:6" x14ac:dyDescent="0.25">
      <c r="B669" s="1">
        <v>2104004000</v>
      </c>
    </row>
    <row r="670" spans="2:6" x14ac:dyDescent="0.25">
      <c r="B670" s="1">
        <v>2104006000</v>
      </c>
    </row>
    <row r="671" spans="2:6" x14ac:dyDescent="0.25">
      <c r="B671" s="1">
        <v>2104007000</v>
      </c>
    </row>
    <row r="672" spans="2:6" x14ac:dyDescent="0.25">
      <c r="B672" s="1">
        <v>2104008100</v>
      </c>
    </row>
    <row r="673" spans="2:2" x14ac:dyDescent="0.25">
      <c r="B673" s="1">
        <v>2104008210</v>
      </c>
    </row>
    <row r="674" spans="2:2" x14ac:dyDescent="0.25">
      <c r="B674" s="1">
        <v>2104008220</v>
      </c>
    </row>
    <row r="675" spans="2:2" x14ac:dyDescent="0.25">
      <c r="B675" s="1">
        <v>2104008230</v>
      </c>
    </row>
    <row r="676" spans="2:2" x14ac:dyDescent="0.25">
      <c r="B676" s="1">
        <v>2104008310</v>
      </c>
    </row>
    <row r="677" spans="2:2" x14ac:dyDescent="0.25">
      <c r="B677" s="1">
        <v>2104008320</v>
      </c>
    </row>
    <row r="678" spans="2:2" x14ac:dyDescent="0.25">
      <c r="B678" s="1">
        <v>2104008330</v>
      </c>
    </row>
    <row r="679" spans="2:2" x14ac:dyDescent="0.25">
      <c r="B679" s="1">
        <v>2104008400</v>
      </c>
    </row>
    <row r="680" spans="2:2" x14ac:dyDescent="0.25">
      <c r="B680" s="1">
        <v>2104008510</v>
      </c>
    </row>
    <row r="681" spans="2:2" x14ac:dyDescent="0.25">
      <c r="B681" s="1">
        <v>2104008610</v>
      </c>
    </row>
    <row r="682" spans="2:2" x14ac:dyDescent="0.25">
      <c r="B682" s="1">
        <v>2104008700</v>
      </c>
    </row>
    <row r="683" spans="2:2" x14ac:dyDescent="0.25">
      <c r="B683" s="1">
        <v>2104009000</v>
      </c>
    </row>
    <row r="684" spans="2:2" x14ac:dyDescent="0.25">
      <c r="B684" s="1">
        <v>2104011000</v>
      </c>
    </row>
    <row r="685" spans="2:2" x14ac:dyDescent="0.25">
      <c r="B685" s="1">
        <v>2201001110</v>
      </c>
    </row>
    <row r="686" spans="2:2" x14ac:dyDescent="0.25">
      <c r="B686" s="1">
        <v>2201001130</v>
      </c>
    </row>
    <row r="687" spans="2:2" x14ac:dyDescent="0.25">
      <c r="B687" s="1">
        <v>2201001150</v>
      </c>
    </row>
    <row r="688" spans="2:2" x14ac:dyDescent="0.25">
      <c r="B688" s="1">
        <v>2201001170</v>
      </c>
    </row>
    <row r="689" spans="2:2" x14ac:dyDescent="0.25">
      <c r="B689" s="1">
        <v>2201001190</v>
      </c>
    </row>
    <row r="690" spans="2:2" x14ac:dyDescent="0.25">
      <c r="B690" s="1">
        <v>2201001210</v>
      </c>
    </row>
    <row r="691" spans="2:2" x14ac:dyDescent="0.25">
      <c r="B691" s="1">
        <v>2201001230</v>
      </c>
    </row>
    <row r="692" spans="2:2" x14ac:dyDescent="0.25">
      <c r="B692" s="1">
        <v>2201001250</v>
      </c>
    </row>
    <row r="693" spans="2:2" x14ac:dyDescent="0.25">
      <c r="B693" s="1">
        <v>2201001270</v>
      </c>
    </row>
    <row r="694" spans="2:2" x14ac:dyDescent="0.25">
      <c r="B694" s="1">
        <v>2201001290</v>
      </c>
    </row>
    <row r="695" spans="2:2" x14ac:dyDescent="0.25">
      <c r="B695" s="1">
        <v>2201001310</v>
      </c>
    </row>
    <row r="696" spans="2:2" x14ac:dyDescent="0.25">
      <c r="B696" s="1">
        <v>2201001330</v>
      </c>
    </row>
    <row r="697" spans="2:2" x14ac:dyDescent="0.25">
      <c r="B697" s="1">
        <v>2201001390</v>
      </c>
    </row>
    <row r="698" spans="2:2" x14ac:dyDescent="0.25">
      <c r="B698" s="1">
        <v>2201020110</v>
      </c>
    </row>
    <row r="699" spans="2:2" x14ac:dyDescent="0.25">
      <c r="B699" s="1">
        <v>2201020130</v>
      </c>
    </row>
    <row r="700" spans="2:2" x14ac:dyDescent="0.25">
      <c r="B700" s="1">
        <v>2201020150</v>
      </c>
    </row>
    <row r="701" spans="2:2" x14ac:dyDescent="0.25">
      <c r="B701" s="1">
        <v>2201020170</v>
      </c>
    </row>
    <row r="702" spans="2:2" x14ac:dyDescent="0.25">
      <c r="B702" s="1">
        <v>2201020190</v>
      </c>
    </row>
    <row r="703" spans="2:2" x14ac:dyDescent="0.25">
      <c r="B703" s="1">
        <v>2201020210</v>
      </c>
    </row>
    <row r="704" spans="2:2" x14ac:dyDescent="0.25">
      <c r="B704" s="1">
        <v>2201020230</v>
      </c>
    </row>
    <row r="705" spans="2:2" x14ac:dyDescent="0.25">
      <c r="B705" s="1">
        <v>2201020250</v>
      </c>
    </row>
    <row r="706" spans="2:2" x14ac:dyDescent="0.25">
      <c r="B706" s="1">
        <v>2201020270</v>
      </c>
    </row>
    <row r="707" spans="2:2" x14ac:dyDescent="0.25">
      <c r="B707" s="1">
        <v>2201020290</v>
      </c>
    </row>
    <row r="708" spans="2:2" x14ac:dyDescent="0.25">
      <c r="B708" s="1">
        <v>2201020310</v>
      </c>
    </row>
    <row r="709" spans="2:2" x14ac:dyDescent="0.25">
      <c r="B709" s="1">
        <v>2201020330</v>
      </c>
    </row>
    <row r="710" spans="2:2" x14ac:dyDescent="0.25">
      <c r="B710" s="1">
        <v>2201020390</v>
      </c>
    </row>
    <row r="711" spans="2:2" x14ac:dyDescent="0.25">
      <c r="B711" s="1">
        <v>2201040110</v>
      </c>
    </row>
    <row r="712" spans="2:2" x14ac:dyDescent="0.25">
      <c r="B712" s="1">
        <v>2201040130</v>
      </c>
    </row>
    <row r="713" spans="2:2" x14ac:dyDescent="0.25">
      <c r="B713" s="1">
        <v>2201040150</v>
      </c>
    </row>
    <row r="714" spans="2:2" x14ac:dyDescent="0.25">
      <c r="B714" s="1">
        <v>2201040170</v>
      </c>
    </row>
    <row r="715" spans="2:2" x14ac:dyDescent="0.25">
      <c r="B715" s="1">
        <v>2201040190</v>
      </c>
    </row>
    <row r="716" spans="2:2" x14ac:dyDescent="0.25">
      <c r="B716" s="1">
        <v>2201040210</v>
      </c>
    </row>
    <row r="717" spans="2:2" x14ac:dyDescent="0.25">
      <c r="B717" s="1">
        <v>2201040230</v>
      </c>
    </row>
    <row r="718" spans="2:2" x14ac:dyDescent="0.25">
      <c r="B718" s="1">
        <v>2201040250</v>
      </c>
    </row>
    <row r="719" spans="2:2" x14ac:dyDescent="0.25">
      <c r="B719" s="1">
        <v>2201040270</v>
      </c>
    </row>
    <row r="720" spans="2:2" x14ac:dyDescent="0.25">
      <c r="B720" s="1">
        <v>2201040290</v>
      </c>
    </row>
    <row r="721" spans="2:2" x14ac:dyDescent="0.25">
      <c r="B721" s="1">
        <v>2201040310</v>
      </c>
    </row>
    <row r="722" spans="2:2" x14ac:dyDescent="0.25">
      <c r="B722" s="1">
        <v>2201040330</v>
      </c>
    </row>
    <row r="723" spans="2:2" x14ac:dyDescent="0.25">
      <c r="B723" s="1">
        <v>2201040390</v>
      </c>
    </row>
    <row r="724" spans="2:2" x14ac:dyDescent="0.25">
      <c r="B724" s="1">
        <v>2201070110</v>
      </c>
    </row>
    <row r="725" spans="2:2" x14ac:dyDescent="0.25">
      <c r="B725" s="1">
        <v>2201070130</v>
      </c>
    </row>
    <row r="726" spans="2:2" x14ac:dyDescent="0.25">
      <c r="B726" s="1">
        <v>2201070150</v>
      </c>
    </row>
    <row r="727" spans="2:2" x14ac:dyDescent="0.25">
      <c r="B727" s="1">
        <v>2201070170</v>
      </c>
    </row>
    <row r="728" spans="2:2" x14ac:dyDescent="0.25">
      <c r="B728" s="1">
        <v>2201070190</v>
      </c>
    </row>
    <row r="729" spans="2:2" x14ac:dyDescent="0.25">
      <c r="B729" s="1">
        <v>2201070210</v>
      </c>
    </row>
    <row r="730" spans="2:2" x14ac:dyDescent="0.25">
      <c r="B730" s="1">
        <v>2201070230</v>
      </c>
    </row>
    <row r="731" spans="2:2" x14ac:dyDescent="0.25">
      <c r="B731" s="1">
        <v>2201070250</v>
      </c>
    </row>
    <row r="732" spans="2:2" x14ac:dyDescent="0.25">
      <c r="B732" s="1">
        <v>2201070270</v>
      </c>
    </row>
    <row r="733" spans="2:2" x14ac:dyDescent="0.25">
      <c r="B733" s="1">
        <v>2201070290</v>
      </c>
    </row>
    <row r="734" spans="2:2" x14ac:dyDescent="0.25">
      <c r="B734" s="1">
        <v>2201070310</v>
      </c>
    </row>
    <row r="735" spans="2:2" x14ac:dyDescent="0.25">
      <c r="B735" s="1">
        <v>2201070330</v>
      </c>
    </row>
    <row r="736" spans="2:2" x14ac:dyDescent="0.25">
      <c r="B736" s="1">
        <v>2201070390</v>
      </c>
    </row>
    <row r="737" spans="2:2" x14ac:dyDescent="0.25">
      <c r="B737" s="1">
        <v>2201080110</v>
      </c>
    </row>
    <row r="738" spans="2:2" x14ac:dyDescent="0.25">
      <c r="B738" s="1">
        <v>2201080130</v>
      </c>
    </row>
    <row r="739" spans="2:2" x14ac:dyDescent="0.25">
      <c r="B739" s="1">
        <v>2201080150</v>
      </c>
    </row>
    <row r="740" spans="2:2" x14ac:dyDescent="0.25">
      <c r="B740" s="1">
        <v>2201080170</v>
      </c>
    </row>
    <row r="741" spans="2:2" x14ac:dyDescent="0.25">
      <c r="B741" s="1">
        <v>2201080190</v>
      </c>
    </row>
    <row r="742" spans="2:2" x14ac:dyDescent="0.25">
      <c r="B742" s="1">
        <v>2201080210</v>
      </c>
    </row>
    <row r="743" spans="2:2" x14ac:dyDescent="0.25">
      <c r="B743" s="1">
        <v>2201080230</v>
      </c>
    </row>
    <row r="744" spans="2:2" x14ac:dyDescent="0.25">
      <c r="B744" s="1">
        <v>2201080250</v>
      </c>
    </row>
    <row r="745" spans="2:2" x14ac:dyDescent="0.25">
      <c r="B745" s="1">
        <v>2201080270</v>
      </c>
    </row>
    <row r="746" spans="2:2" x14ac:dyDescent="0.25">
      <c r="B746" s="1">
        <v>2201080290</v>
      </c>
    </row>
    <row r="747" spans="2:2" x14ac:dyDescent="0.25">
      <c r="B747" s="1">
        <v>2201080310</v>
      </c>
    </row>
    <row r="748" spans="2:2" x14ac:dyDescent="0.25">
      <c r="B748" s="1">
        <v>2201080330</v>
      </c>
    </row>
    <row r="749" spans="2:2" x14ac:dyDescent="0.25">
      <c r="B749" s="1">
        <v>2201080390</v>
      </c>
    </row>
    <row r="750" spans="2:2" x14ac:dyDescent="0.25">
      <c r="B750" s="1">
        <v>2230001110</v>
      </c>
    </row>
    <row r="751" spans="2:2" x14ac:dyDescent="0.25">
      <c r="B751" s="1">
        <v>2230001130</v>
      </c>
    </row>
    <row r="752" spans="2:2" x14ac:dyDescent="0.25">
      <c r="B752" s="1">
        <v>2230001150</v>
      </c>
    </row>
    <row r="753" spans="2:2" x14ac:dyDescent="0.25">
      <c r="B753" s="1">
        <v>2230001170</v>
      </c>
    </row>
    <row r="754" spans="2:2" x14ac:dyDescent="0.25">
      <c r="B754" s="1">
        <v>2230001190</v>
      </c>
    </row>
    <row r="755" spans="2:2" x14ac:dyDescent="0.25">
      <c r="B755" s="1">
        <v>2230001210</v>
      </c>
    </row>
    <row r="756" spans="2:2" x14ac:dyDescent="0.25">
      <c r="B756" s="1">
        <v>2230001230</v>
      </c>
    </row>
    <row r="757" spans="2:2" x14ac:dyDescent="0.25">
      <c r="B757" s="1">
        <v>2230001250</v>
      </c>
    </row>
    <row r="758" spans="2:2" x14ac:dyDescent="0.25">
      <c r="B758" s="1">
        <v>2230001270</v>
      </c>
    </row>
    <row r="759" spans="2:2" x14ac:dyDescent="0.25">
      <c r="B759" s="1">
        <v>2230001290</v>
      </c>
    </row>
    <row r="760" spans="2:2" x14ac:dyDescent="0.25">
      <c r="B760" s="1">
        <v>2230001310</v>
      </c>
    </row>
    <row r="761" spans="2:2" x14ac:dyDescent="0.25">
      <c r="B761" s="1">
        <v>2230001330</v>
      </c>
    </row>
    <row r="762" spans="2:2" x14ac:dyDescent="0.25">
      <c r="B762" s="1">
        <v>2230001390</v>
      </c>
    </row>
    <row r="763" spans="2:2" x14ac:dyDescent="0.25">
      <c r="B763" s="1">
        <v>2230060110</v>
      </c>
    </row>
    <row r="764" spans="2:2" x14ac:dyDescent="0.25">
      <c r="B764" s="1">
        <v>2230060130</v>
      </c>
    </row>
    <row r="765" spans="2:2" x14ac:dyDescent="0.25">
      <c r="B765" s="1">
        <v>2230060150</v>
      </c>
    </row>
    <row r="766" spans="2:2" x14ac:dyDescent="0.25">
      <c r="B766" s="1">
        <v>2230060170</v>
      </c>
    </row>
    <row r="767" spans="2:2" x14ac:dyDescent="0.25">
      <c r="B767" s="1">
        <v>2230060190</v>
      </c>
    </row>
    <row r="768" spans="2:2" x14ac:dyDescent="0.25">
      <c r="B768" s="1">
        <v>2230060210</v>
      </c>
    </row>
    <row r="769" spans="2:2" x14ac:dyDescent="0.25">
      <c r="B769" s="1">
        <v>2230060230</v>
      </c>
    </row>
    <row r="770" spans="2:2" x14ac:dyDescent="0.25">
      <c r="B770" s="1">
        <v>2230060250</v>
      </c>
    </row>
    <row r="771" spans="2:2" x14ac:dyDescent="0.25">
      <c r="B771" s="1">
        <v>2230060270</v>
      </c>
    </row>
    <row r="772" spans="2:2" x14ac:dyDescent="0.25">
      <c r="B772" s="1">
        <v>2230060290</v>
      </c>
    </row>
    <row r="773" spans="2:2" x14ac:dyDescent="0.25">
      <c r="B773" s="1">
        <v>2230060310</v>
      </c>
    </row>
    <row r="774" spans="2:2" x14ac:dyDescent="0.25">
      <c r="B774" s="1">
        <v>2230060330</v>
      </c>
    </row>
    <row r="775" spans="2:2" x14ac:dyDescent="0.25">
      <c r="B775" s="1">
        <v>2230060390</v>
      </c>
    </row>
    <row r="776" spans="2:2" x14ac:dyDescent="0.25">
      <c r="B776" s="1">
        <v>2230071110</v>
      </c>
    </row>
    <row r="777" spans="2:2" x14ac:dyDescent="0.25">
      <c r="B777" s="1">
        <v>2230071130</v>
      </c>
    </row>
    <row r="778" spans="2:2" x14ac:dyDescent="0.25">
      <c r="B778" s="1">
        <v>2230071150</v>
      </c>
    </row>
    <row r="779" spans="2:2" x14ac:dyDescent="0.25">
      <c r="B779" s="1">
        <v>2230071170</v>
      </c>
    </row>
    <row r="780" spans="2:2" x14ac:dyDescent="0.25">
      <c r="B780" s="1">
        <v>2230071190</v>
      </c>
    </row>
    <row r="781" spans="2:2" x14ac:dyDescent="0.25">
      <c r="B781" s="1">
        <v>2230071210</v>
      </c>
    </row>
    <row r="782" spans="2:2" x14ac:dyDescent="0.25">
      <c r="B782" s="1">
        <v>2230071230</v>
      </c>
    </row>
    <row r="783" spans="2:2" x14ac:dyDescent="0.25">
      <c r="B783" s="1">
        <v>2230071250</v>
      </c>
    </row>
    <row r="784" spans="2:2" x14ac:dyDescent="0.25">
      <c r="B784" s="1">
        <v>2230071270</v>
      </c>
    </row>
    <row r="785" spans="2:2" x14ac:dyDescent="0.25">
      <c r="B785" s="1">
        <v>2230071290</v>
      </c>
    </row>
    <row r="786" spans="2:2" x14ac:dyDescent="0.25">
      <c r="B786" s="1">
        <v>2230071310</v>
      </c>
    </row>
    <row r="787" spans="2:2" x14ac:dyDescent="0.25">
      <c r="B787" s="1">
        <v>2230071330</v>
      </c>
    </row>
    <row r="788" spans="2:2" x14ac:dyDescent="0.25">
      <c r="B788" s="1">
        <v>2230071390</v>
      </c>
    </row>
    <row r="789" spans="2:2" x14ac:dyDescent="0.25">
      <c r="B789" s="1">
        <v>2230072110</v>
      </c>
    </row>
    <row r="790" spans="2:2" x14ac:dyDescent="0.25">
      <c r="B790" s="1">
        <v>2230072130</v>
      </c>
    </row>
    <row r="791" spans="2:2" x14ac:dyDescent="0.25">
      <c r="B791" s="1">
        <v>2230072150</v>
      </c>
    </row>
    <row r="792" spans="2:2" x14ac:dyDescent="0.25">
      <c r="B792" s="1">
        <v>2230072170</v>
      </c>
    </row>
    <row r="793" spans="2:2" x14ac:dyDescent="0.25">
      <c r="B793" s="1">
        <v>2230072190</v>
      </c>
    </row>
    <row r="794" spans="2:2" x14ac:dyDescent="0.25">
      <c r="B794" s="1">
        <v>2230072210</v>
      </c>
    </row>
    <row r="795" spans="2:2" x14ac:dyDescent="0.25">
      <c r="B795" s="1">
        <v>2230072230</v>
      </c>
    </row>
    <row r="796" spans="2:2" x14ac:dyDescent="0.25">
      <c r="B796" s="1">
        <v>2230072250</v>
      </c>
    </row>
    <row r="797" spans="2:2" x14ac:dyDescent="0.25">
      <c r="B797" s="1">
        <v>2230072270</v>
      </c>
    </row>
    <row r="798" spans="2:2" x14ac:dyDescent="0.25">
      <c r="B798" s="1">
        <v>2230072290</v>
      </c>
    </row>
    <row r="799" spans="2:2" x14ac:dyDescent="0.25">
      <c r="B799" s="1">
        <v>2230072310</v>
      </c>
    </row>
    <row r="800" spans="2:2" x14ac:dyDescent="0.25">
      <c r="B800" s="1">
        <v>2230072330</v>
      </c>
    </row>
    <row r="801" spans="2:2" x14ac:dyDescent="0.25">
      <c r="B801" s="1">
        <v>2230072390</v>
      </c>
    </row>
    <row r="802" spans="2:2" x14ac:dyDescent="0.25">
      <c r="B802" s="1">
        <v>2230073110</v>
      </c>
    </row>
    <row r="803" spans="2:2" x14ac:dyDescent="0.25">
      <c r="B803" s="1">
        <v>2230073130</v>
      </c>
    </row>
    <row r="804" spans="2:2" x14ac:dyDescent="0.25">
      <c r="B804" s="1">
        <v>2230073150</v>
      </c>
    </row>
    <row r="805" spans="2:2" x14ac:dyDescent="0.25">
      <c r="B805" s="1">
        <v>2230073170</v>
      </c>
    </row>
    <row r="806" spans="2:2" x14ac:dyDescent="0.25">
      <c r="B806" s="1">
        <v>2230073190</v>
      </c>
    </row>
    <row r="807" spans="2:2" x14ac:dyDescent="0.25">
      <c r="B807" s="1">
        <v>2230073210</v>
      </c>
    </row>
    <row r="808" spans="2:2" x14ac:dyDescent="0.25">
      <c r="B808" s="1">
        <v>2230073230</v>
      </c>
    </row>
    <row r="809" spans="2:2" x14ac:dyDescent="0.25">
      <c r="B809" s="1">
        <v>2230073250</v>
      </c>
    </row>
    <row r="810" spans="2:2" x14ac:dyDescent="0.25">
      <c r="B810" s="1">
        <v>2230073270</v>
      </c>
    </row>
    <row r="811" spans="2:2" x14ac:dyDescent="0.25">
      <c r="B811" s="1">
        <v>2230073290</v>
      </c>
    </row>
    <row r="812" spans="2:2" x14ac:dyDescent="0.25">
      <c r="B812" s="1">
        <v>2230073310</v>
      </c>
    </row>
    <row r="813" spans="2:2" x14ac:dyDescent="0.25">
      <c r="B813" s="1">
        <v>2230073330</v>
      </c>
    </row>
    <row r="814" spans="2:2" x14ac:dyDescent="0.25">
      <c r="B814" s="1">
        <v>2230073390</v>
      </c>
    </row>
    <row r="815" spans="2:2" x14ac:dyDescent="0.25">
      <c r="B815" s="1">
        <v>2230074110</v>
      </c>
    </row>
    <row r="816" spans="2:2" x14ac:dyDescent="0.25">
      <c r="B816" s="1">
        <v>2230074130</v>
      </c>
    </row>
    <row r="817" spans="2:2" x14ac:dyDescent="0.25">
      <c r="B817" s="1">
        <v>2230074150</v>
      </c>
    </row>
    <row r="818" spans="2:2" x14ac:dyDescent="0.25">
      <c r="B818" s="1">
        <v>2230074170</v>
      </c>
    </row>
    <row r="819" spans="2:2" x14ac:dyDescent="0.25">
      <c r="B819" s="1">
        <v>2230074190</v>
      </c>
    </row>
    <row r="820" spans="2:2" x14ac:dyDescent="0.25">
      <c r="B820" s="1">
        <v>2230074210</v>
      </c>
    </row>
    <row r="821" spans="2:2" x14ac:dyDescent="0.25">
      <c r="B821" s="1">
        <v>2230074230</v>
      </c>
    </row>
    <row r="822" spans="2:2" x14ac:dyDescent="0.25">
      <c r="B822" s="1">
        <v>2230074250</v>
      </c>
    </row>
    <row r="823" spans="2:2" x14ac:dyDescent="0.25">
      <c r="B823" s="1">
        <v>2230074270</v>
      </c>
    </row>
    <row r="824" spans="2:2" x14ac:dyDescent="0.25">
      <c r="B824" s="1">
        <v>2230074290</v>
      </c>
    </row>
    <row r="825" spans="2:2" x14ac:dyDescent="0.25">
      <c r="B825" s="1">
        <v>2230074310</v>
      </c>
    </row>
    <row r="826" spans="2:2" x14ac:dyDescent="0.25">
      <c r="B826" s="1">
        <v>2230074330</v>
      </c>
    </row>
    <row r="827" spans="2:2" x14ac:dyDescent="0.25">
      <c r="B827" s="1">
        <v>2230074390</v>
      </c>
    </row>
    <row r="828" spans="2:2" x14ac:dyDescent="0.25">
      <c r="B828" s="1">
        <v>2230075110</v>
      </c>
    </row>
    <row r="829" spans="2:2" x14ac:dyDescent="0.25">
      <c r="B829" s="1">
        <v>2230075130</v>
      </c>
    </row>
    <row r="830" spans="2:2" x14ac:dyDescent="0.25">
      <c r="B830" s="1">
        <v>2230075150</v>
      </c>
    </row>
    <row r="831" spans="2:2" x14ac:dyDescent="0.25">
      <c r="B831" s="1">
        <v>2230075170</v>
      </c>
    </row>
    <row r="832" spans="2:2" x14ac:dyDescent="0.25">
      <c r="B832" s="1">
        <v>2230075190</v>
      </c>
    </row>
    <row r="833" spans="2:2" x14ac:dyDescent="0.25">
      <c r="B833" s="1">
        <v>2230075210</v>
      </c>
    </row>
    <row r="834" spans="2:2" x14ac:dyDescent="0.25">
      <c r="B834" s="1">
        <v>2230075230</v>
      </c>
    </row>
    <row r="835" spans="2:2" x14ac:dyDescent="0.25">
      <c r="B835" s="1">
        <v>2230075250</v>
      </c>
    </row>
    <row r="836" spans="2:2" x14ac:dyDescent="0.25">
      <c r="B836" s="1">
        <v>2230075270</v>
      </c>
    </row>
    <row r="837" spans="2:2" x14ac:dyDescent="0.25">
      <c r="B837" s="1">
        <v>2230075290</v>
      </c>
    </row>
    <row r="838" spans="2:2" x14ac:dyDescent="0.25">
      <c r="B838" s="1">
        <v>2230075310</v>
      </c>
    </row>
    <row r="839" spans="2:2" x14ac:dyDescent="0.25">
      <c r="B839" s="1">
        <v>2230075330</v>
      </c>
    </row>
    <row r="840" spans="2:2" x14ac:dyDescent="0.25">
      <c r="B840" s="1">
        <v>2230075390</v>
      </c>
    </row>
    <row r="841" spans="2:2" x14ac:dyDescent="0.25">
      <c r="B841" s="1">
        <v>2260001010</v>
      </c>
    </row>
    <row r="842" spans="2:2" x14ac:dyDescent="0.25">
      <c r="B842" s="1">
        <v>2260001020</v>
      </c>
    </row>
    <row r="843" spans="2:2" x14ac:dyDescent="0.25">
      <c r="B843" s="1">
        <v>2260001030</v>
      </c>
    </row>
    <row r="844" spans="2:2" x14ac:dyDescent="0.25">
      <c r="B844" s="1">
        <v>2260001060</v>
      </c>
    </row>
    <row r="845" spans="2:2" x14ac:dyDescent="0.25">
      <c r="B845" s="1">
        <v>2260002006</v>
      </c>
    </row>
    <row r="846" spans="2:2" x14ac:dyDescent="0.25">
      <c r="B846" s="1">
        <v>2260002009</v>
      </c>
    </row>
    <row r="847" spans="2:2" x14ac:dyDescent="0.25">
      <c r="B847" s="1">
        <v>2260002021</v>
      </c>
    </row>
    <row r="848" spans="2:2" x14ac:dyDescent="0.25">
      <c r="B848" s="1">
        <v>2260002027</v>
      </c>
    </row>
    <row r="849" spans="2:2" x14ac:dyDescent="0.25">
      <c r="B849" s="1">
        <v>2260002039</v>
      </c>
    </row>
    <row r="850" spans="2:2" x14ac:dyDescent="0.25">
      <c r="B850" s="1">
        <v>2260002054</v>
      </c>
    </row>
    <row r="851" spans="2:2" x14ac:dyDescent="0.25">
      <c r="B851" s="1">
        <v>2260003030</v>
      </c>
    </row>
    <row r="852" spans="2:2" x14ac:dyDescent="0.25">
      <c r="B852" s="1">
        <v>2260003040</v>
      </c>
    </row>
    <row r="853" spans="2:2" x14ac:dyDescent="0.25">
      <c r="B853" s="1">
        <v>2260004015</v>
      </c>
    </row>
    <row r="854" spans="2:2" x14ac:dyDescent="0.25">
      <c r="B854" s="1">
        <v>2260004016</v>
      </c>
    </row>
    <row r="855" spans="2:2" x14ac:dyDescent="0.25">
      <c r="B855" s="1">
        <v>2260004020</v>
      </c>
    </row>
    <row r="856" spans="2:2" x14ac:dyDescent="0.25">
      <c r="B856" s="1">
        <v>2260004021</v>
      </c>
    </row>
    <row r="857" spans="2:2" x14ac:dyDescent="0.25">
      <c r="B857" s="1">
        <v>2260004025</v>
      </c>
    </row>
    <row r="858" spans="2:2" x14ac:dyDescent="0.25">
      <c r="B858" s="1">
        <v>2260004026</v>
      </c>
    </row>
    <row r="859" spans="2:2" x14ac:dyDescent="0.25">
      <c r="B859" s="1">
        <v>2260004030</v>
      </c>
    </row>
    <row r="860" spans="2:2" x14ac:dyDescent="0.25">
      <c r="B860" s="1">
        <v>2260004031</v>
      </c>
    </row>
    <row r="861" spans="2:2" x14ac:dyDescent="0.25">
      <c r="B861" s="1">
        <v>2260004035</v>
      </c>
    </row>
    <row r="862" spans="2:2" x14ac:dyDescent="0.25">
      <c r="B862" s="1">
        <v>2260004036</v>
      </c>
    </row>
    <row r="863" spans="2:2" x14ac:dyDescent="0.25">
      <c r="B863" s="1">
        <v>2260004071</v>
      </c>
    </row>
    <row r="864" spans="2:2" x14ac:dyDescent="0.25">
      <c r="B864" s="1">
        <v>2260005035</v>
      </c>
    </row>
    <row r="865" spans="2:2" x14ac:dyDescent="0.25">
      <c r="B865" s="1">
        <v>2260006005</v>
      </c>
    </row>
    <row r="866" spans="2:2" x14ac:dyDescent="0.25">
      <c r="B866" s="1">
        <v>2260006010</v>
      </c>
    </row>
    <row r="867" spans="2:2" x14ac:dyDescent="0.25">
      <c r="B867" s="1">
        <v>2260006015</v>
      </c>
    </row>
    <row r="868" spans="2:2" x14ac:dyDescent="0.25">
      <c r="B868" s="1">
        <v>2260006035</v>
      </c>
    </row>
    <row r="869" spans="2:2" x14ac:dyDescent="0.25">
      <c r="B869" s="1">
        <v>2260007005</v>
      </c>
    </row>
    <row r="870" spans="2:2" x14ac:dyDescent="0.25">
      <c r="B870" s="1">
        <v>2265001010</v>
      </c>
    </row>
    <row r="871" spans="2:2" x14ac:dyDescent="0.25">
      <c r="B871" s="1">
        <v>2265001030</v>
      </c>
    </row>
    <row r="872" spans="2:2" x14ac:dyDescent="0.25">
      <c r="B872" s="1">
        <v>2265001050</v>
      </c>
    </row>
    <row r="873" spans="2:2" x14ac:dyDescent="0.25">
      <c r="B873" s="1">
        <v>2265001060</v>
      </c>
    </row>
    <row r="874" spans="2:2" x14ac:dyDescent="0.25">
      <c r="B874" s="1">
        <v>2265002003</v>
      </c>
    </row>
    <row r="875" spans="2:2" x14ac:dyDescent="0.25">
      <c r="B875" s="1">
        <v>2265002006</v>
      </c>
    </row>
    <row r="876" spans="2:2" x14ac:dyDescent="0.25">
      <c r="B876" s="1">
        <v>2265002009</v>
      </c>
    </row>
    <row r="877" spans="2:2" x14ac:dyDescent="0.25">
      <c r="B877" s="1">
        <v>2265002015</v>
      </c>
    </row>
    <row r="878" spans="2:2" x14ac:dyDescent="0.25">
      <c r="B878" s="1">
        <v>2265002021</v>
      </c>
    </row>
    <row r="879" spans="2:2" x14ac:dyDescent="0.25">
      <c r="B879" s="1">
        <v>2265002024</v>
      </c>
    </row>
    <row r="880" spans="2:2" x14ac:dyDescent="0.25">
      <c r="B880" s="1">
        <v>2265002027</v>
      </c>
    </row>
    <row r="881" spans="2:2" x14ac:dyDescent="0.25">
      <c r="B881" s="1">
        <v>2265002030</v>
      </c>
    </row>
    <row r="882" spans="2:2" x14ac:dyDescent="0.25">
      <c r="B882" s="1">
        <v>2265002033</v>
      </c>
    </row>
    <row r="883" spans="2:2" x14ac:dyDescent="0.25">
      <c r="B883" s="1">
        <v>2265002039</v>
      </c>
    </row>
    <row r="884" spans="2:2" x14ac:dyDescent="0.25">
      <c r="B884" s="1">
        <v>2265002042</v>
      </c>
    </row>
    <row r="885" spans="2:2" x14ac:dyDescent="0.25">
      <c r="B885" s="1">
        <v>2265002045</v>
      </c>
    </row>
    <row r="886" spans="2:2" x14ac:dyDescent="0.25">
      <c r="B886" s="1">
        <v>2265002054</v>
      </c>
    </row>
    <row r="887" spans="2:2" x14ac:dyDescent="0.25">
      <c r="B887" s="1">
        <v>2265002057</v>
      </c>
    </row>
    <row r="888" spans="2:2" x14ac:dyDescent="0.25">
      <c r="B888" s="1">
        <v>2265002060</v>
      </c>
    </row>
    <row r="889" spans="2:2" x14ac:dyDescent="0.25">
      <c r="B889" s="1">
        <v>2265002066</v>
      </c>
    </row>
    <row r="890" spans="2:2" x14ac:dyDescent="0.25">
      <c r="B890" s="1">
        <v>2265002072</v>
      </c>
    </row>
    <row r="891" spans="2:2" x14ac:dyDescent="0.25">
      <c r="B891" s="1">
        <v>2265002078</v>
      </c>
    </row>
    <row r="892" spans="2:2" x14ac:dyDescent="0.25">
      <c r="B892" s="1">
        <v>2265002081</v>
      </c>
    </row>
    <row r="893" spans="2:2" x14ac:dyDescent="0.25">
      <c r="B893" s="1">
        <v>2265003010</v>
      </c>
    </row>
    <row r="894" spans="2:2" x14ac:dyDescent="0.25">
      <c r="B894" s="1">
        <v>2265003020</v>
      </c>
    </row>
    <row r="895" spans="2:2" x14ac:dyDescent="0.25">
      <c r="B895" s="1">
        <v>2265003030</v>
      </c>
    </row>
    <row r="896" spans="2:2" x14ac:dyDescent="0.25">
      <c r="B896" s="1">
        <v>2265003040</v>
      </c>
    </row>
    <row r="897" spans="2:2" x14ac:dyDescent="0.25">
      <c r="B897" s="1">
        <v>2265003050</v>
      </c>
    </row>
    <row r="898" spans="2:2" x14ac:dyDescent="0.25">
      <c r="B898" s="1">
        <v>2265003060</v>
      </c>
    </row>
    <row r="899" spans="2:2" x14ac:dyDescent="0.25">
      <c r="B899" s="1">
        <v>2265003070</v>
      </c>
    </row>
    <row r="900" spans="2:2" x14ac:dyDescent="0.25">
      <c r="B900" s="1">
        <v>2265004010</v>
      </c>
    </row>
    <row r="901" spans="2:2" x14ac:dyDescent="0.25">
      <c r="B901" s="1">
        <v>2265004011</v>
      </c>
    </row>
    <row r="902" spans="2:2" x14ac:dyDescent="0.25">
      <c r="B902" s="1">
        <v>2265004015</v>
      </c>
    </row>
    <row r="903" spans="2:2" x14ac:dyDescent="0.25">
      <c r="B903" s="1">
        <v>2265004016</v>
      </c>
    </row>
    <row r="904" spans="2:2" x14ac:dyDescent="0.25">
      <c r="B904" s="1">
        <v>2265004025</v>
      </c>
    </row>
    <row r="905" spans="2:2" x14ac:dyDescent="0.25">
      <c r="B905" s="1">
        <v>2265004026</v>
      </c>
    </row>
    <row r="906" spans="2:2" x14ac:dyDescent="0.25">
      <c r="B906" s="1">
        <v>2265004030</v>
      </c>
    </row>
    <row r="907" spans="2:2" x14ac:dyDescent="0.25">
      <c r="B907" s="1">
        <v>2265004031</v>
      </c>
    </row>
    <row r="908" spans="2:2" x14ac:dyDescent="0.25">
      <c r="B908" s="1">
        <v>2265004035</v>
      </c>
    </row>
    <row r="909" spans="2:2" x14ac:dyDescent="0.25">
      <c r="B909" s="1">
        <v>2265004036</v>
      </c>
    </row>
    <row r="910" spans="2:2" x14ac:dyDescent="0.25">
      <c r="B910" s="1">
        <v>2265004040</v>
      </c>
    </row>
    <row r="911" spans="2:2" x14ac:dyDescent="0.25">
      <c r="B911" s="1">
        <v>2265004041</v>
      </c>
    </row>
    <row r="912" spans="2:2" x14ac:dyDescent="0.25">
      <c r="B912" s="1">
        <v>2265004046</v>
      </c>
    </row>
    <row r="913" spans="2:2" x14ac:dyDescent="0.25">
      <c r="B913" s="1">
        <v>2265004051</v>
      </c>
    </row>
    <row r="914" spans="2:2" x14ac:dyDescent="0.25">
      <c r="B914" s="1">
        <v>2265004055</v>
      </c>
    </row>
    <row r="915" spans="2:2" x14ac:dyDescent="0.25">
      <c r="B915" s="1">
        <v>2265004056</v>
      </c>
    </row>
    <row r="916" spans="2:2" x14ac:dyDescent="0.25">
      <c r="B916" s="1">
        <v>2265004066</v>
      </c>
    </row>
    <row r="917" spans="2:2" x14ac:dyDescent="0.25">
      <c r="B917" s="1">
        <v>2265004071</v>
      </c>
    </row>
    <row r="918" spans="2:2" x14ac:dyDescent="0.25">
      <c r="B918" s="1">
        <v>2265004075</v>
      </c>
    </row>
    <row r="919" spans="2:2" x14ac:dyDescent="0.25">
      <c r="B919" s="1">
        <v>2265004076</v>
      </c>
    </row>
    <row r="920" spans="2:2" x14ac:dyDescent="0.25">
      <c r="B920" s="1">
        <v>2265005010</v>
      </c>
    </row>
    <row r="921" spans="2:2" x14ac:dyDescent="0.25">
      <c r="B921" s="1">
        <v>2265005015</v>
      </c>
    </row>
    <row r="922" spans="2:2" x14ac:dyDescent="0.25">
      <c r="B922" s="1">
        <v>2265005020</v>
      </c>
    </row>
    <row r="923" spans="2:2" x14ac:dyDescent="0.25">
      <c r="B923" s="1">
        <v>2265005025</v>
      </c>
    </row>
    <row r="924" spans="2:2" x14ac:dyDescent="0.25">
      <c r="B924" s="1">
        <v>2265005030</v>
      </c>
    </row>
    <row r="925" spans="2:2" x14ac:dyDescent="0.25">
      <c r="B925" s="1">
        <v>2265005035</v>
      </c>
    </row>
    <row r="926" spans="2:2" x14ac:dyDescent="0.25">
      <c r="B926" s="1">
        <v>2265005040</v>
      </c>
    </row>
    <row r="927" spans="2:2" x14ac:dyDescent="0.25">
      <c r="B927" s="1">
        <v>2265005045</v>
      </c>
    </row>
    <row r="928" spans="2:2" x14ac:dyDescent="0.25">
      <c r="B928" s="1">
        <v>2265005055</v>
      </c>
    </row>
    <row r="929" spans="2:2" x14ac:dyDescent="0.25">
      <c r="B929" s="1">
        <v>2265005060</v>
      </c>
    </row>
    <row r="930" spans="2:2" x14ac:dyDescent="0.25">
      <c r="B930" s="1">
        <v>2265006005</v>
      </c>
    </row>
    <row r="931" spans="2:2" x14ac:dyDescent="0.25">
      <c r="B931" s="1">
        <v>2265006010</v>
      </c>
    </row>
    <row r="932" spans="2:2" x14ac:dyDescent="0.25">
      <c r="B932" s="1">
        <v>2265006015</v>
      </c>
    </row>
    <row r="933" spans="2:2" x14ac:dyDescent="0.25">
      <c r="B933" s="1">
        <v>2265006025</v>
      </c>
    </row>
    <row r="934" spans="2:2" x14ac:dyDescent="0.25">
      <c r="B934" s="1">
        <v>2265006030</v>
      </c>
    </row>
    <row r="935" spans="2:2" x14ac:dyDescent="0.25">
      <c r="B935" s="1">
        <v>2265006035</v>
      </c>
    </row>
    <row r="936" spans="2:2" x14ac:dyDescent="0.25">
      <c r="B936" s="1">
        <v>2265007010</v>
      </c>
    </row>
    <row r="937" spans="2:2" x14ac:dyDescent="0.25">
      <c r="B937" s="1">
        <v>2265007015</v>
      </c>
    </row>
    <row r="938" spans="2:2" x14ac:dyDescent="0.25">
      <c r="B938" s="1">
        <v>2265008005</v>
      </c>
    </row>
    <row r="939" spans="2:2" x14ac:dyDescent="0.25">
      <c r="B939" s="1">
        <v>2265010010</v>
      </c>
    </row>
    <row r="940" spans="2:2" x14ac:dyDescent="0.25">
      <c r="B940" s="1">
        <v>2267001060</v>
      </c>
    </row>
    <row r="941" spans="2:2" x14ac:dyDescent="0.25">
      <c r="B941" s="1">
        <v>2267002003</v>
      </c>
    </row>
    <row r="942" spans="2:2" x14ac:dyDescent="0.25">
      <c r="B942" s="1">
        <v>2267002015</v>
      </c>
    </row>
    <row r="943" spans="2:2" x14ac:dyDescent="0.25">
      <c r="B943" s="1">
        <v>2267002021</v>
      </c>
    </row>
    <row r="944" spans="2:2" x14ac:dyDescent="0.25">
      <c r="B944" s="1">
        <v>2267002024</v>
      </c>
    </row>
    <row r="945" spans="2:2" x14ac:dyDescent="0.25">
      <c r="B945" s="1">
        <v>2267002030</v>
      </c>
    </row>
    <row r="946" spans="2:2" x14ac:dyDescent="0.25">
      <c r="B946" s="1">
        <v>2267002033</v>
      </c>
    </row>
    <row r="947" spans="2:2" x14ac:dyDescent="0.25">
      <c r="B947" s="1">
        <v>2267002039</v>
      </c>
    </row>
    <row r="948" spans="2:2" x14ac:dyDescent="0.25">
      <c r="B948" s="1">
        <v>2267002045</v>
      </c>
    </row>
    <row r="949" spans="2:2" x14ac:dyDescent="0.25">
      <c r="B949" s="1">
        <v>2267002054</v>
      </c>
    </row>
    <row r="950" spans="2:2" x14ac:dyDescent="0.25">
      <c r="B950" s="1">
        <v>2267002057</v>
      </c>
    </row>
    <row r="951" spans="2:2" x14ac:dyDescent="0.25">
      <c r="B951" s="1">
        <v>2267002060</v>
      </c>
    </row>
    <row r="952" spans="2:2" x14ac:dyDescent="0.25">
      <c r="B952" s="1">
        <v>2267002066</v>
      </c>
    </row>
    <row r="953" spans="2:2" x14ac:dyDescent="0.25">
      <c r="B953" s="1">
        <v>2267002072</v>
      </c>
    </row>
    <row r="954" spans="2:2" x14ac:dyDescent="0.25">
      <c r="B954" s="1">
        <v>2267002081</v>
      </c>
    </row>
    <row r="955" spans="2:2" x14ac:dyDescent="0.25">
      <c r="B955" s="1">
        <v>2267003010</v>
      </c>
    </row>
    <row r="956" spans="2:2" x14ac:dyDescent="0.25">
      <c r="B956" s="1">
        <v>2267003020</v>
      </c>
    </row>
    <row r="957" spans="2:2" x14ac:dyDescent="0.25">
      <c r="B957" s="1">
        <v>2267003030</v>
      </c>
    </row>
    <row r="958" spans="2:2" x14ac:dyDescent="0.25">
      <c r="B958" s="1">
        <v>2267003040</v>
      </c>
    </row>
    <row r="959" spans="2:2" x14ac:dyDescent="0.25">
      <c r="B959" s="1">
        <v>2267003050</v>
      </c>
    </row>
    <row r="960" spans="2:2" x14ac:dyDescent="0.25">
      <c r="B960" s="1">
        <v>2267003070</v>
      </c>
    </row>
    <row r="961" spans="2:2" x14ac:dyDescent="0.25">
      <c r="B961" s="1">
        <v>2267004066</v>
      </c>
    </row>
    <row r="962" spans="2:2" x14ac:dyDescent="0.25">
      <c r="B962" s="1">
        <v>2267005055</v>
      </c>
    </row>
    <row r="963" spans="2:2" x14ac:dyDescent="0.25">
      <c r="B963" s="1">
        <v>2267005060</v>
      </c>
    </row>
    <row r="964" spans="2:2" x14ac:dyDescent="0.25">
      <c r="B964" s="1">
        <v>2267006005</v>
      </c>
    </row>
    <row r="965" spans="2:2" x14ac:dyDescent="0.25">
      <c r="B965" s="1">
        <v>2267006010</v>
      </c>
    </row>
    <row r="966" spans="2:2" x14ac:dyDescent="0.25">
      <c r="B966" s="1">
        <v>2267006015</v>
      </c>
    </row>
    <row r="967" spans="2:2" x14ac:dyDescent="0.25">
      <c r="B967" s="1">
        <v>2267006025</v>
      </c>
    </row>
    <row r="968" spans="2:2" x14ac:dyDescent="0.25">
      <c r="B968" s="1">
        <v>2267006030</v>
      </c>
    </row>
    <row r="969" spans="2:2" x14ac:dyDescent="0.25">
      <c r="B969" s="1">
        <v>2267006035</v>
      </c>
    </row>
    <row r="970" spans="2:2" x14ac:dyDescent="0.25">
      <c r="B970" s="1">
        <v>2267008005</v>
      </c>
    </row>
    <row r="971" spans="2:2" x14ac:dyDescent="0.25">
      <c r="B971" s="1">
        <v>2268002081</v>
      </c>
    </row>
    <row r="972" spans="2:2" x14ac:dyDescent="0.25">
      <c r="B972" s="1">
        <v>2268003020</v>
      </c>
    </row>
    <row r="973" spans="2:2" x14ac:dyDescent="0.25">
      <c r="B973" s="1">
        <v>2268003030</v>
      </c>
    </row>
    <row r="974" spans="2:2" x14ac:dyDescent="0.25">
      <c r="B974" s="1">
        <v>2268003040</v>
      </c>
    </row>
    <row r="975" spans="2:2" x14ac:dyDescent="0.25">
      <c r="B975" s="1">
        <v>2268003060</v>
      </c>
    </row>
    <row r="976" spans="2:2" x14ac:dyDescent="0.25">
      <c r="B976" s="1">
        <v>2268003070</v>
      </c>
    </row>
    <row r="977" spans="2:2" x14ac:dyDescent="0.25">
      <c r="B977" s="1">
        <v>2268005055</v>
      </c>
    </row>
    <row r="978" spans="2:2" x14ac:dyDescent="0.25">
      <c r="B978" s="1">
        <v>2268005060</v>
      </c>
    </row>
    <row r="979" spans="2:2" x14ac:dyDescent="0.25">
      <c r="B979" s="1">
        <v>2268006005</v>
      </c>
    </row>
    <row r="980" spans="2:2" x14ac:dyDescent="0.25">
      <c r="B980" s="1">
        <v>2268006010</v>
      </c>
    </row>
    <row r="981" spans="2:2" x14ac:dyDescent="0.25">
      <c r="B981" s="1">
        <v>2268006015</v>
      </c>
    </row>
    <row r="982" spans="2:2" x14ac:dyDescent="0.25">
      <c r="B982" s="1">
        <v>2268006020</v>
      </c>
    </row>
    <row r="983" spans="2:2" x14ac:dyDescent="0.25">
      <c r="B983" s="1">
        <v>2268008005</v>
      </c>
    </row>
    <row r="984" spans="2:2" x14ac:dyDescent="0.25">
      <c r="B984" s="1">
        <v>2268010010</v>
      </c>
    </row>
    <row r="985" spans="2:2" x14ac:dyDescent="0.25">
      <c r="B985" s="1">
        <v>2270001060</v>
      </c>
    </row>
    <row r="986" spans="2:2" x14ac:dyDescent="0.25">
      <c r="B986" s="1">
        <v>2270002003</v>
      </c>
    </row>
    <row r="987" spans="2:2" x14ac:dyDescent="0.25">
      <c r="B987" s="1">
        <v>2270002006</v>
      </c>
    </row>
    <row r="988" spans="2:2" x14ac:dyDescent="0.25">
      <c r="B988" s="1">
        <v>2270002009</v>
      </c>
    </row>
    <row r="989" spans="2:2" x14ac:dyDescent="0.25">
      <c r="B989" s="1">
        <v>2270002015</v>
      </c>
    </row>
    <row r="990" spans="2:2" x14ac:dyDescent="0.25">
      <c r="B990" s="1">
        <v>2270002018</v>
      </c>
    </row>
    <row r="991" spans="2:2" x14ac:dyDescent="0.25">
      <c r="B991" s="1">
        <v>2270002021</v>
      </c>
    </row>
    <row r="992" spans="2:2" x14ac:dyDescent="0.25">
      <c r="B992" s="1">
        <v>2270002024</v>
      </c>
    </row>
    <row r="993" spans="2:2" x14ac:dyDescent="0.25">
      <c r="B993" s="1">
        <v>2270002027</v>
      </c>
    </row>
    <row r="994" spans="2:2" x14ac:dyDescent="0.25">
      <c r="B994" s="1">
        <v>2270002030</v>
      </c>
    </row>
    <row r="995" spans="2:2" x14ac:dyDescent="0.25">
      <c r="B995" s="1">
        <v>2270002033</v>
      </c>
    </row>
    <row r="996" spans="2:2" x14ac:dyDescent="0.25">
      <c r="B996" s="1">
        <v>2270002036</v>
      </c>
    </row>
    <row r="997" spans="2:2" x14ac:dyDescent="0.25">
      <c r="B997" s="1">
        <v>2270002039</v>
      </c>
    </row>
    <row r="998" spans="2:2" x14ac:dyDescent="0.25">
      <c r="B998" s="1">
        <v>2270002042</v>
      </c>
    </row>
    <row r="999" spans="2:2" x14ac:dyDescent="0.25">
      <c r="B999" s="1">
        <v>2270002045</v>
      </c>
    </row>
    <row r="1000" spans="2:2" x14ac:dyDescent="0.25">
      <c r="B1000" s="1">
        <v>2270002048</v>
      </c>
    </row>
    <row r="1001" spans="2:2" x14ac:dyDescent="0.25">
      <c r="B1001" s="1">
        <v>2270002051</v>
      </c>
    </row>
    <row r="1002" spans="2:2" x14ac:dyDescent="0.25">
      <c r="B1002" s="1">
        <v>2270002054</v>
      </c>
    </row>
    <row r="1003" spans="2:2" x14ac:dyDescent="0.25">
      <c r="B1003" s="1">
        <v>2270002057</v>
      </c>
    </row>
    <row r="1004" spans="2:2" x14ac:dyDescent="0.25">
      <c r="B1004" s="1">
        <v>2270002060</v>
      </c>
    </row>
    <row r="1005" spans="2:2" x14ac:dyDescent="0.25">
      <c r="B1005" s="1">
        <v>2270002066</v>
      </c>
    </row>
    <row r="1006" spans="2:2" x14ac:dyDescent="0.25">
      <c r="B1006" s="1">
        <v>2270002069</v>
      </c>
    </row>
    <row r="1007" spans="2:2" x14ac:dyDescent="0.25">
      <c r="B1007" s="1">
        <v>2270002072</v>
      </c>
    </row>
    <row r="1008" spans="2:2" x14ac:dyDescent="0.25">
      <c r="B1008" s="1">
        <v>2270002075</v>
      </c>
    </row>
    <row r="1009" spans="2:2" x14ac:dyDescent="0.25">
      <c r="B1009" s="1">
        <v>2270002078</v>
      </c>
    </row>
    <row r="1010" spans="2:2" x14ac:dyDescent="0.25">
      <c r="B1010" s="1">
        <v>2270002081</v>
      </c>
    </row>
    <row r="1011" spans="2:2" x14ac:dyDescent="0.25">
      <c r="B1011" s="1">
        <v>2270003010</v>
      </c>
    </row>
    <row r="1012" spans="2:2" x14ac:dyDescent="0.25">
      <c r="B1012" s="1">
        <v>2270003020</v>
      </c>
    </row>
    <row r="1013" spans="2:2" x14ac:dyDescent="0.25">
      <c r="B1013" s="1">
        <v>2270003030</v>
      </c>
    </row>
    <row r="1014" spans="2:2" x14ac:dyDescent="0.25">
      <c r="B1014" s="1">
        <v>2270003040</v>
      </c>
    </row>
    <row r="1015" spans="2:2" x14ac:dyDescent="0.25">
      <c r="B1015" s="1">
        <v>2270003050</v>
      </c>
    </row>
    <row r="1016" spans="2:2" x14ac:dyDescent="0.25">
      <c r="B1016" s="1">
        <v>2270003060</v>
      </c>
    </row>
    <row r="1017" spans="2:2" x14ac:dyDescent="0.25">
      <c r="B1017" s="1">
        <v>2270003070</v>
      </c>
    </row>
    <row r="1018" spans="2:2" x14ac:dyDescent="0.25">
      <c r="B1018" s="1">
        <v>2270004031</v>
      </c>
    </row>
    <row r="1019" spans="2:2" x14ac:dyDescent="0.25">
      <c r="B1019" s="1">
        <v>2270004036</v>
      </c>
    </row>
    <row r="1020" spans="2:2" x14ac:dyDescent="0.25">
      <c r="B1020" s="1">
        <v>2270004046</v>
      </c>
    </row>
    <row r="1021" spans="2:2" x14ac:dyDescent="0.25">
      <c r="B1021" s="1">
        <v>2270004056</v>
      </c>
    </row>
    <row r="1022" spans="2:2" x14ac:dyDescent="0.25">
      <c r="B1022" s="1">
        <v>2270004066</v>
      </c>
    </row>
    <row r="1023" spans="2:2" x14ac:dyDescent="0.25">
      <c r="B1023" s="1">
        <v>2270004071</v>
      </c>
    </row>
    <row r="1024" spans="2:2" x14ac:dyDescent="0.25">
      <c r="B1024" s="1">
        <v>2270004076</v>
      </c>
    </row>
    <row r="1025" spans="2:2" x14ac:dyDescent="0.25">
      <c r="B1025" s="1">
        <v>2270005010</v>
      </c>
    </row>
    <row r="1026" spans="2:2" x14ac:dyDescent="0.25">
      <c r="B1026" s="1">
        <v>2270005015</v>
      </c>
    </row>
    <row r="1027" spans="2:2" x14ac:dyDescent="0.25">
      <c r="B1027" s="1">
        <v>2270005020</v>
      </c>
    </row>
    <row r="1028" spans="2:2" x14ac:dyDescent="0.25">
      <c r="B1028" s="1">
        <v>2270005025</v>
      </c>
    </row>
    <row r="1029" spans="2:2" x14ac:dyDescent="0.25">
      <c r="B1029" s="1">
        <v>2270005030</v>
      </c>
    </row>
    <row r="1030" spans="2:2" x14ac:dyDescent="0.25">
      <c r="B1030" s="1">
        <v>2270005035</v>
      </c>
    </row>
    <row r="1031" spans="2:2" x14ac:dyDescent="0.25">
      <c r="B1031" s="1">
        <v>2270005040</v>
      </c>
    </row>
    <row r="1032" spans="2:2" x14ac:dyDescent="0.25">
      <c r="B1032" s="1">
        <v>2270005045</v>
      </c>
    </row>
    <row r="1033" spans="2:2" x14ac:dyDescent="0.25">
      <c r="B1033" s="1">
        <v>2270005055</v>
      </c>
    </row>
    <row r="1034" spans="2:2" x14ac:dyDescent="0.25">
      <c r="B1034" s="1">
        <v>2270005060</v>
      </c>
    </row>
    <row r="1035" spans="2:2" x14ac:dyDescent="0.25">
      <c r="B1035" s="1">
        <v>2270006005</v>
      </c>
    </row>
    <row r="1036" spans="2:2" x14ac:dyDescent="0.25">
      <c r="B1036" s="1">
        <v>2270006010</v>
      </c>
    </row>
    <row r="1037" spans="2:2" x14ac:dyDescent="0.25">
      <c r="B1037" s="1">
        <v>2270006015</v>
      </c>
    </row>
    <row r="1038" spans="2:2" x14ac:dyDescent="0.25">
      <c r="B1038" s="1">
        <v>2270006025</v>
      </c>
    </row>
    <row r="1039" spans="2:2" x14ac:dyDescent="0.25">
      <c r="B1039" s="1">
        <v>2270006030</v>
      </c>
    </row>
    <row r="1040" spans="2:2" x14ac:dyDescent="0.25">
      <c r="B1040" s="1">
        <v>2270006035</v>
      </c>
    </row>
    <row r="1041" spans="2:2" x14ac:dyDescent="0.25">
      <c r="B1041" s="1">
        <v>2270007015</v>
      </c>
    </row>
    <row r="1042" spans="2:2" x14ac:dyDescent="0.25">
      <c r="B1042" s="1">
        <v>2270008005</v>
      </c>
    </row>
    <row r="1043" spans="2:2" x14ac:dyDescent="0.25">
      <c r="B1043" s="1">
        <v>2270010010</v>
      </c>
    </row>
    <row r="1044" spans="2:2" x14ac:dyDescent="0.25">
      <c r="B1044" s="1">
        <v>2275001000</v>
      </c>
    </row>
    <row r="1045" spans="2:2" x14ac:dyDescent="0.25">
      <c r="B1045" s="1">
        <v>2275020000</v>
      </c>
    </row>
    <row r="1046" spans="2:2" x14ac:dyDescent="0.25">
      <c r="B1046" s="1">
        <v>2275050011</v>
      </c>
    </row>
    <row r="1047" spans="2:2" x14ac:dyDescent="0.25">
      <c r="B1047" s="1">
        <v>2275050012</v>
      </c>
    </row>
    <row r="1048" spans="2:2" x14ac:dyDescent="0.25">
      <c r="B1048" s="1">
        <v>2275060011</v>
      </c>
    </row>
    <row r="1049" spans="2:2" x14ac:dyDescent="0.25">
      <c r="B1049" s="1">
        <v>2275060012</v>
      </c>
    </row>
    <row r="1050" spans="2:2" x14ac:dyDescent="0.25">
      <c r="B1050" s="1">
        <v>2275070000</v>
      </c>
    </row>
    <row r="1051" spans="2:2" x14ac:dyDescent="0.25">
      <c r="B1051" s="1">
        <v>2275087000</v>
      </c>
    </row>
    <row r="1052" spans="2:2" x14ac:dyDescent="0.25">
      <c r="B1052" s="1">
        <v>2280002100</v>
      </c>
    </row>
    <row r="1053" spans="2:2" x14ac:dyDescent="0.25">
      <c r="B1053" s="1">
        <v>2280002200</v>
      </c>
    </row>
    <row r="1054" spans="2:2" x14ac:dyDescent="0.25">
      <c r="B1054" s="1">
        <v>2280003100</v>
      </c>
    </row>
    <row r="1055" spans="2:2" x14ac:dyDescent="0.25">
      <c r="B1055" s="1">
        <v>2280003200</v>
      </c>
    </row>
    <row r="1056" spans="2:2" x14ac:dyDescent="0.25">
      <c r="B1056" s="1">
        <v>2282005010</v>
      </c>
    </row>
    <row r="1057" spans="2:2" x14ac:dyDescent="0.25">
      <c r="B1057" s="1">
        <v>2282005015</v>
      </c>
    </row>
    <row r="1058" spans="2:2" x14ac:dyDescent="0.25">
      <c r="B1058" s="1">
        <v>2282010005</v>
      </c>
    </row>
    <row r="1059" spans="2:2" x14ac:dyDescent="0.25">
      <c r="B1059" s="1">
        <v>2282020005</v>
      </c>
    </row>
    <row r="1060" spans="2:2" x14ac:dyDescent="0.25">
      <c r="B1060" s="1">
        <v>2282020010</v>
      </c>
    </row>
    <row r="1061" spans="2:2" x14ac:dyDescent="0.25">
      <c r="B1061" s="1">
        <v>2285002006</v>
      </c>
    </row>
    <row r="1062" spans="2:2" x14ac:dyDescent="0.25">
      <c r="B1062" s="1">
        <v>2285002007</v>
      </c>
    </row>
    <row r="1063" spans="2:2" x14ac:dyDescent="0.25">
      <c r="B1063" s="1">
        <v>2285002015</v>
      </c>
    </row>
    <row r="1064" spans="2:2" x14ac:dyDescent="0.25">
      <c r="B1064" s="1">
        <v>2285004015</v>
      </c>
    </row>
    <row r="1065" spans="2:2" x14ac:dyDescent="0.25">
      <c r="B1065" s="1">
        <v>2285006015</v>
      </c>
    </row>
    <row r="1066" spans="2:2" x14ac:dyDescent="0.25">
      <c r="B1066" s="1">
        <v>2294000000</v>
      </c>
    </row>
    <row r="1067" spans="2:2" x14ac:dyDescent="0.25">
      <c r="B1067" s="1">
        <v>2296000000</v>
      </c>
    </row>
    <row r="1068" spans="2:2" x14ac:dyDescent="0.25">
      <c r="B1068" s="1">
        <v>2302002100</v>
      </c>
    </row>
    <row r="1069" spans="2:2" x14ac:dyDescent="0.25">
      <c r="B1069" s="1">
        <v>2302002200</v>
      </c>
    </row>
    <row r="1070" spans="2:2" x14ac:dyDescent="0.25">
      <c r="B1070" s="1">
        <v>2302003000</v>
      </c>
    </row>
    <row r="1071" spans="2:2" x14ac:dyDescent="0.25">
      <c r="B1071" s="1">
        <v>2302003100</v>
      </c>
    </row>
    <row r="1072" spans="2:2" x14ac:dyDescent="0.25">
      <c r="B1072" s="1">
        <v>2302003200</v>
      </c>
    </row>
    <row r="1073" spans="2:2" x14ac:dyDescent="0.25">
      <c r="B1073" s="1">
        <v>2311010000</v>
      </c>
    </row>
    <row r="1074" spans="2:2" x14ac:dyDescent="0.25">
      <c r="B1074" s="1">
        <v>2311020000</v>
      </c>
    </row>
    <row r="1075" spans="2:2" x14ac:dyDescent="0.25">
      <c r="B1075" s="1">
        <v>2311030000</v>
      </c>
    </row>
    <row r="1076" spans="2:2" x14ac:dyDescent="0.25">
      <c r="B1076" s="1">
        <v>2401001000</v>
      </c>
    </row>
    <row r="1077" spans="2:2" x14ac:dyDescent="0.25">
      <c r="B1077" s="1">
        <v>2401005000</v>
      </c>
    </row>
    <row r="1078" spans="2:2" x14ac:dyDescent="0.25">
      <c r="B1078" s="1">
        <v>2401008000</v>
      </c>
    </row>
    <row r="1079" spans="2:2" x14ac:dyDescent="0.25">
      <c r="B1079" s="1">
        <v>2401020000</v>
      </c>
    </row>
    <row r="1080" spans="2:2" x14ac:dyDescent="0.25">
      <c r="B1080" s="1">
        <v>2401025000</v>
      </c>
    </row>
    <row r="1081" spans="2:2" x14ac:dyDescent="0.25">
      <c r="B1081" s="1">
        <v>2401030000</v>
      </c>
    </row>
    <row r="1082" spans="2:2" x14ac:dyDescent="0.25">
      <c r="B1082" s="1">
        <v>2401040000</v>
      </c>
    </row>
    <row r="1083" spans="2:2" x14ac:dyDescent="0.25">
      <c r="B1083" s="1">
        <v>2401055000</v>
      </c>
    </row>
    <row r="1084" spans="2:2" x14ac:dyDescent="0.25">
      <c r="B1084" s="1">
        <v>2401060000</v>
      </c>
    </row>
    <row r="1085" spans="2:2" x14ac:dyDescent="0.25">
      <c r="B1085" s="1">
        <v>2401070000</v>
      </c>
    </row>
    <row r="1086" spans="2:2" x14ac:dyDescent="0.25">
      <c r="B1086" s="1">
        <v>2401075000</v>
      </c>
    </row>
    <row r="1087" spans="2:2" x14ac:dyDescent="0.25">
      <c r="B1087" s="1">
        <v>2401080000</v>
      </c>
    </row>
    <row r="1088" spans="2:2" x14ac:dyDescent="0.25">
      <c r="B1088" s="1">
        <v>2401085000</v>
      </c>
    </row>
    <row r="1089" spans="2:2" x14ac:dyDescent="0.25">
      <c r="B1089" s="1">
        <v>2401090000</v>
      </c>
    </row>
    <row r="1090" spans="2:2" x14ac:dyDescent="0.25">
      <c r="B1090" s="1">
        <v>2401100000</v>
      </c>
    </row>
    <row r="1091" spans="2:2" x14ac:dyDescent="0.25">
      <c r="B1091" s="1">
        <v>2415000000</v>
      </c>
    </row>
    <row r="1092" spans="2:2" x14ac:dyDescent="0.25">
      <c r="B1092" s="1">
        <v>2425000000</v>
      </c>
    </row>
    <row r="1093" spans="2:2" x14ac:dyDescent="0.25">
      <c r="B1093" s="1">
        <v>2460100000</v>
      </c>
    </row>
    <row r="1094" spans="2:2" x14ac:dyDescent="0.25">
      <c r="B1094" s="1">
        <v>2460190000</v>
      </c>
    </row>
    <row r="1095" spans="2:2" x14ac:dyDescent="0.25">
      <c r="B1095" s="1">
        <v>2460200000</v>
      </c>
    </row>
    <row r="1096" spans="2:2" x14ac:dyDescent="0.25">
      <c r="B1096" s="1">
        <v>2460400000</v>
      </c>
    </row>
    <row r="1097" spans="2:2" x14ac:dyDescent="0.25">
      <c r="B1097" s="1">
        <v>2460500000</v>
      </c>
    </row>
    <row r="1098" spans="2:2" x14ac:dyDescent="0.25">
      <c r="B1098" s="1">
        <v>2460600000</v>
      </c>
    </row>
    <row r="1099" spans="2:2" x14ac:dyDescent="0.25">
      <c r="B1099" s="1">
        <v>2460800000</v>
      </c>
    </row>
    <row r="1100" spans="2:2" x14ac:dyDescent="0.25">
      <c r="B1100" s="1">
        <v>2460900000</v>
      </c>
    </row>
    <row r="1101" spans="2:2" x14ac:dyDescent="0.25">
      <c r="B1101" s="1">
        <v>2461021000</v>
      </c>
    </row>
    <row r="1102" spans="2:2" x14ac:dyDescent="0.25">
      <c r="B1102" s="1">
        <v>2461850001</v>
      </c>
    </row>
    <row r="1103" spans="2:2" x14ac:dyDescent="0.25">
      <c r="B1103" s="1">
        <v>2461850005</v>
      </c>
    </row>
    <row r="1104" spans="2:2" x14ac:dyDescent="0.25">
      <c r="B1104" s="1">
        <v>2461850006</v>
      </c>
    </row>
    <row r="1105" spans="2:2" x14ac:dyDescent="0.25">
      <c r="B1105" s="1">
        <v>2461850009</v>
      </c>
    </row>
    <row r="1106" spans="2:2" x14ac:dyDescent="0.25">
      <c r="B1106" s="1">
        <v>2461900000</v>
      </c>
    </row>
    <row r="1107" spans="2:2" x14ac:dyDescent="0.25">
      <c r="B1107" s="1">
        <v>2501011011</v>
      </c>
    </row>
    <row r="1108" spans="2:2" x14ac:dyDescent="0.25">
      <c r="B1108" s="1">
        <v>2501011012</v>
      </c>
    </row>
    <row r="1109" spans="2:2" x14ac:dyDescent="0.25">
      <c r="B1109" s="1">
        <v>2501011013</v>
      </c>
    </row>
    <row r="1110" spans="2:2" x14ac:dyDescent="0.25">
      <c r="B1110" s="1">
        <v>2501011014</v>
      </c>
    </row>
    <row r="1111" spans="2:2" x14ac:dyDescent="0.25">
      <c r="B1111" s="1">
        <v>2501011015</v>
      </c>
    </row>
    <row r="1112" spans="2:2" x14ac:dyDescent="0.25">
      <c r="B1112" s="1">
        <v>2501012011</v>
      </c>
    </row>
    <row r="1113" spans="2:2" x14ac:dyDescent="0.25">
      <c r="B1113" s="1">
        <v>2501012012</v>
      </c>
    </row>
    <row r="1114" spans="2:2" x14ac:dyDescent="0.25">
      <c r="B1114" s="1">
        <v>2501012013</v>
      </c>
    </row>
    <row r="1115" spans="2:2" x14ac:dyDescent="0.25">
      <c r="B1115" s="1">
        <v>2501012014</v>
      </c>
    </row>
    <row r="1116" spans="2:2" x14ac:dyDescent="0.25">
      <c r="B1116" s="1">
        <v>2501012015</v>
      </c>
    </row>
    <row r="1117" spans="2:2" x14ac:dyDescent="0.25">
      <c r="B1117" s="1">
        <v>2501050120</v>
      </c>
    </row>
    <row r="1118" spans="2:2" x14ac:dyDescent="0.25">
      <c r="B1118" s="1">
        <v>2501060051</v>
      </c>
    </row>
    <row r="1119" spans="2:2" x14ac:dyDescent="0.25">
      <c r="B1119" s="1">
        <v>2501060100</v>
      </c>
    </row>
    <row r="1120" spans="2:2" x14ac:dyDescent="0.25">
      <c r="B1120" s="1">
        <v>2501060201</v>
      </c>
    </row>
    <row r="1121" spans="2:2" x14ac:dyDescent="0.25">
      <c r="B1121" s="1">
        <v>2501080050</v>
      </c>
    </row>
    <row r="1122" spans="2:2" x14ac:dyDescent="0.25">
      <c r="B1122" s="1">
        <v>2501080100</v>
      </c>
    </row>
    <row r="1123" spans="2:2" x14ac:dyDescent="0.25">
      <c r="B1123" s="1">
        <v>2505030120</v>
      </c>
    </row>
    <row r="1124" spans="2:2" x14ac:dyDescent="0.25">
      <c r="B1124" s="1">
        <v>2525000000</v>
      </c>
    </row>
    <row r="1125" spans="2:2" x14ac:dyDescent="0.25">
      <c r="B1125" s="1">
        <v>2610000100</v>
      </c>
    </row>
    <row r="1126" spans="2:2" x14ac:dyDescent="0.25">
      <c r="B1126" s="1">
        <v>2610000400</v>
      </c>
    </row>
    <row r="1127" spans="2:2" x14ac:dyDescent="0.25">
      <c r="B1127" s="1">
        <v>2610000500</v>
      </c>
    </row>
    <row r="1128" spans="2:2" x14ac:dyDescent="0.25">
      <c r="B1128" s="1">
        <v>2610030000</v>
      </c>
    </row>
    <row r="1129" spans="2:2" x14ac:dyDescent="0.25">
      <c r="B1129" s="1">
        <v>2680001000</v>
      </c>
    </row>
    <row r="1130" spans="2:2" x14ac:dyDescent="0.25">
      <c r="B1130" s="1">
        <v>2680003000</v>
      </c>
    </row>
    <row r="1131" spans="2:2" x14ac:dyDescent="0.25">
      <c r="B1131" s="1">
        <v>2801000003</v>
      </c>
    </row>
    <row r="1132" spans="2:2" x14ac:dyDescent="0.25">
      <c r="B1132" s="1">
        <v>2801500000</v>
      </c>
    </row>
    <row r="1133" spans="2:2" x14ac:dyDescent="0.25">
      <c r="B1133" s="1">
        <v>2810001000</v>
      </c>
    </row>
    <row r="1134" spans="2:2" x14ac:dyDescent="0.25">
      <c r="B1134" s="1">
        <v>2810015000</v>
      </c>
    </row>
    <row r="1135" spans="2:2" x14ac:dyDescent="0.25">
      <c r="B1135" s="1">
        <v>2810060200</v>
      </c>
    </row>
    <row r="1136" spans="2:2" x14ac:dyDescent="0.25">
      <c r="B1136" s="1">
        <v>2850000010</v>
      </c>
    </row>
    <row r="1137" spans="2:2" x14ac:dyDescent="0.25">
      <c r="B1137" s="1">
        <v>2850001000</v>
      </c>
    </row>
    <row r="1138" spans="2:2" x14ac:dyDescent="0.25">
      <c r="B1138" s="1">
        <v>2851001000</v>
      </c>
    </row>
    <row r="1139" spans="2:2" x14ac:dyDescent="0.25">
      <c r="B1139" s="1">
        <v>2861000000</v>
      </c>
    </row>
    <row r="1140" spans="2:2" x14ac:dyDescent="0.25">
      <c r="B1140" s="1">
        <v>2862000000</v>
      </c>
    </row>
  </sheetData>
  <sortState ref="O2:P27185">
    <sortCondition ref="P2:P2718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4"/>
  <sheetViews>
    <sheetView workbookViewId="0">
      <selection activeCell="E24" sqref="E24"/>
    </sheetView>
  </sheetViews>
  <sheetFormatPr defaultRowHeight="12.75" x14ac:dyDescent="0.2"/>
  <cols>
    <col min="1" max="1" width="11.5703125" style="7" customWidth="1"/>
    <col min="2" max="2" width="21.140625" style="7" customWidth="1"/>
    <col min="3" max="3" width="24.7109375" style="7" customWidth="1"/>
    <col min="4" max="4" width="32.85546875" style="7" customWidth="1"/>
    <col min="5" max="5" width="42.85546875" style="7" customWidth="1"/>
    <col min="6" max="6" width="16.5703125" style="7" customWidth="1"/>
    <col min="7" max="7" width="15" style="7" customWidth="1"/>
    <col min="8" max="8" width="10.7109375" style="7" customWidth="1"/>
    <col min="9" max="9" width="20.85546875" style="7" hidden="1" customWidth="1"/>
    <col min="10" max="10" width="10.140625" style="7" hidden="1" customWidth="1"/>
    <col min="11" max="13" width="0" style="7" hidden="1" customWidth="1"/>
    <col min="14" max="14" width="2.5703125" style="7" customWidth="1"/>
    <col min="15" max="16384" width="9.140625" style="7"/>
  </cols>
  <sheetData>
    <row r="1" spans="1:12" s="6" customFormat="1" ht="38.25" customHeight="1" x14ac:dyDescent="0.2">
      <c r="A1" s="4" t="s">
        <v>1310</v>
      </c>
      <c r="B1" s="4" t="s">
        <v>1311</v>
      </c>
      <c r="C1" s="4" t="s">
        <v>1312</v>
      </c>
      <c r="D1" s="4" t="s">
        <v>1313</v>
      </c>
      <c r="E1" s="4" t="s">
        <v>1314</v>
      </c>
      <c r="F1" s="5" t="s">
        <v>1315</v>
      </c>
      <c r="G1" s="5" t="s">
        <v>1316</v>
      </c>
      <c r="H1" s="6" t="s">
        <v>1317</v>
      </c>
    </row>
    <row r="2" spans="1:12" x14ac:dyDescent="0.2">
      <c r="D2" s="8" t="s">
        <v>317</v>
      </c>
      <c r="E2" s="8" t="s">
        <v>360</v>
      </c>
      <c r="F2" s="9">
        <v>5907560.0516389981</v>
      </c>
      <c r="G2" s="10">
        <f>F2/H$2</f>
        <v>0.33738844962495312</v>
      </c>
      <c r="H2" s="11">
        <v>17509668.923775975</v>
      </c>
    </row>
    <row r="3" spans="1:12" x14ac:dyDescent="0.2">
      <c r="D3" s="8" t="s">
        <v>317</v>
      </c>
      <c r="E3" s="8" t="s">
        <v>361</v>
      </c>
      <c r="F3" s="9">
        <v>648407.3600955999</v>
      </c>
      <c r="G3" s="10">
        <f t="shared" ref="G3:G37" si="0">F3/H$2</f>
        <v>3.7031388938207878E-2</v>
      </c>
    </row>
    <row r="4" spans="1:12" x14ac:dyDescent="0.2">
      <c r="D4" s="7" t="s">
        <v>317</v>
      </c>
      <c r="E4" s="7" t="s">
        <v>366</v>
      </c>
      <c r="F4" s="11">
        <v>140683.46134390001</v>
      </c>
      <c r="G4" s="12">
        <f t="shared" si="0"/>
        <v>8.0346157289627098E-3</v>
      </c>
    </row>
    <row r="5" spans="1:12" x14ac:dyDescent="0.2">
      <c r="D5" s="7" t="s">
        <v>317</v>
      </c>
      <c r="E5" s="7" t="s">
        <v>367</v>
      </c>
      <c r="F5" s="11">
        <v>68425.067712489996</v>
      </c>
      <c r="G5" s="12">
        <f t="shared" si="0"/>
        <v>3.9078447462577194E-3</v>
      </c>
    </row>
    <row r="6" spans="1:12" x14ac:dyDescent="0.2">
      <c r="D6" s="7" t="s">
        <v>317</v>
      </c>
      <c r="E6" s="7" t="s">
        <v>365</v>
      </c>
      <c r="F6" s="11">
        <v>56111.277288460013</v>
      </c>
      <c r="G6" s="12">
        <f t="shared" si="0"/>
        <v>3.2045881354311506E-3</v>
      </c>
    </row>
    <row r="7" spans="1:12" x14ac:dyDescent="0.2">
      <c r="D7" s="7" t="s">
        <v>317</v>
      </c>
      <c r="E7" s="7" t="s">
        <v>318</v>
      </c>
      <c r="F7" s="11">
        <v>51822.087624909997</v>
      </c>
      <c r="G7" s="12">
        <f t="shared" si="0"/>
        <v>2.9596269267285792E-3</v>
      </c>
    </row>
    <row r="8" spans="1:12" x14ac:dyDescent="0.2">
      <c r="D8" s="7" t="s">
        <v>317</v>
      </c>
      <c r="E8" s="7" t="s">
        <v>9</v>
      </c>
      <c r="F8" s="11">
        <v>4946.2147555554302</v>
      </c>
      <c r="G8" s="12">
        <f t="shared" si="0"/>
        <v>2.8248476753544319E-4</v>
      </c>
      <c r="I8" s="13" t="s">
        <v>1318</v>
      </c>
    </row>
    <row r="9" spans="1:12" x14ac:dyDescent="0.2">
      <c r="D9" s="14" t="s">
        <v>294</v>
      </c>
      <c r="E9" s="15" t="s">
        <v>339</v>
      </c>
      <c r="F9" s="16">
        <v>432480.30284000008</v>
      </c>
      <c r="G9" s="17">
        <f t="shared" si="0"/>
        <v>2.469951343584487E-2</v>
      </c>
      <c r="K9" s="7" t="s">
        <v>1319</v>
      </c>
    </row>
    <row r="10" spans="1:12" x14ac:dyDescent="0.2">
      <c r="D10" s="14" t="s">
        <v>294</v>
      </c>
      <c r="E10" s="14" t="s">
        <v>340</v>
      </c>
      <c r="F10" s="16">
        <v>373160.70511999988</v>
      </c>
      <c r="G10" s="17">
        <f t="shared" si="0"/>
        <v>2.1311693941471022E-2</v>
      </c>
      <c r="I10" s="7" t="s">
        <v>1320</v>
      </c>
      <c r="J10" s="7">
        <v>508822.72717700055</v>
      </c>
      <c r="K10" s="12">
        <v>0.20257270116686371</v>
      </c>
      <c r="L10" s="12">
        <f>K10</f>
        <v>0.20257270116686371</v>
      </c>
    </row>
    <row r="11" spans="1:12" x14ac:dyDescent="0.2">
      <c r="D11" s="14" t="s">
        <v>294</v>
      </c>
      <c r="E11" s="14" t="s">
        <v>338</v>
      </c>
      <c r="F11" s="16">
        <v>328994.89864999987</v>
      </c>
      <c r="G11" s="17">
        <f t="shared" si="0"/>
        <v>1.8789327204426196E-2</v>
      </c>
      <c r="I11" s="7" t="s">
        <v>1321</v>
      </c>
      <c r="J11" s="7">
        <v>213139.19835089997</v>
      </c>
      <c r="K11" s="12">
        <v>8.4855060177888547E-2</v>
      </c>
      <c r="L11" s="12">
        <f>L10+K11</f>
        <v>0.28742776134475223</v>
      </c>
    </row>
    <row r="12" spans="1:12" x14ac:dyDescent="0.2">
      <c r="D12" s="14" t="s">
        <v>294</v>
      </c>
      <c r="E12" s="14" t="s">
        <v>378</v>
      </c>
      <c r="F12" s="16">
        <v>271898.58118099993</v>
      </c>
      <c r="G12" s="17">
        <f t="shared" si="0"/>
        <v>1.5528482141189725E-2</v>
      </c>
      <c r="I12" s="7" t="s">
        <v>1322</v>
      </c>
      <c r="J12" s="7">
        <v>169552.56484659971</v>
      </c>
      <c r="K12" s="12">
        <v>6.7502332769812726E-2</v>
      </c>
      <c r="L12" s="12">
        <f t="shared" ref="L12:L75" si="1">L11+K12</f>
        <v>0.35493009411456494</v>
      </c>
    </row>
    <row r="13" spans="1:12" x14ac:dyDescent="0.2">
      <c r="D13" s="14" t="s">
        <v>294</v>
      </c>
      <c r="E13" s="14" t="s">
        <v>375</v>
      </c>
      <c r="F13" s="16">
        <v>260255.7062389999</v>
      </c>
      <c r="G13" s="17">
        <f t="shared" si="0"/>
        <v>1.4863542387463688E-2</v>
      </c>
      <c r="I13" s="7" t="s">
        <v>1323</v>
      </c>
      <c r="J13" s="7">
        <v>155914.23250210009</v>
      </c>
      <c r="K13" s="12">
        <v>6.2072634615870724E-2</v>
      </c>
      <c r="L13" s="12">
        <f t="shared" si="1"/>
        <v>0.41700272873043565</v>
      </c>
    </row>
    <row r="14" spans="1:12" x14ac:dyDescent="0.2">
      <c r="D14" s="14" t="s">
        <v>294</v>
      </c>
      <c r="E14" s="14" t="s">
        <v>377</v>
      </c>
      <c r="F14" s="16">
        <v>199260.98853</v>
      </c>
      <c r="G14" s="17">
        <f t="shared" si="0"/>
        <v>1.1380054608538493E-2</v>
      </c>
      <c r="I14" s="7" t="s">
        <v>1324</v>
      </c>
      <c r="J14" s="7">
        <v>146714.97890890008</v>
      </c>
      <c r="K14" s="12">
        <v>5.8410224213268455E-2</v>
      </c>
      <c r="L14" s="12">
        <f t="shared" si="1"/>
        <v>0.47541295294370411</v>
      </c>
    </row>
    <row r="15" spans="1:12" x14ac:dyDescent="0.2">
      <c r="D15" s="7" t="s">
        <v>294</v>
      </c>
      <c r="E15" s="7" t="s">
        <v>337</v>
      </c>
      <c r="F15" s="11">
        <v>135604.65790200001</v>
      </c>
      <c r="G15" s="12">
        <f t="shared" si="0"/>
        <v>7.7445586488426163E-3</v>
      </c>
      <c r="I15" s="7" t="s">
        <v>1325</v>
      </c>
      <c r="J15" s="7">
        <v>146572.16029400012</v>
      </c>
      <c r="K15" s="12">
        <v>5.835336521100315E-2</v>
      </c>
      <c r="L15" s="12">
        <f t="shared" si="1"/>
        <v>0.53376631815470721</v>
      </c>
    </row>
    <row r="16" spans="1:12" x14ac:dyDescent="0.2">
      <c r="D16" s="7" t="s">
        <v>294</v>
      </c>
      <c r="E16" s="7" t="s">
        <v>331</v>
      </c>
      <c r="F16" s="11">
        <v>88181.102605000007</v>
      </c>
      <c r="G16" s="12">
        <f t="shared" si="0"/>
        <v>5.0361376328058906E-3</v>
      </c>
      <c r="I16" s="7" t="s">
        <v>1326</v>
      </c>
      <c r="J16" s="7">
        <v>124151.89303199999</v>
      </c>
      <c r="K16" s="12">
        <v>4.9427399727219899E-2</v>
      </c>
      <c r="L16" s="12">
        <f t="shared" si="1"/>
        <v>0.58319371788192709</v>
      </c>
    </row>
    <row r="17" spans="1:12" x14ac:dyDescent="0.2">
      <c r="D17" s="7" t="s">
        <v>294</v>
      </c>
      <c r="E17" s="7" t="s">
        <v>374</v>
      </c>
      <c r="F17" s="11">
        <v>69356.78162699996</v>
      </c>
      <c r="G17" s="12">
        <f t="shared" si="0"/>
        <v>3.9610561415482845E-3</v>
      </c>
      <c r="I17" s="7" t="s">
        <v>1327</v>
      </c>
      <c r="J17" s="7">
        <v>104374.65650970001</v>
      </c>
      <c r="K17" s="12">
        <v>4.1553678664943916E-2</v>
      </c>
      <c r="L17" s="12">
        <f t="shared" si="1"/>
        <v>0.62474739654687106</v>
      </c>
    </row>
    <row r="18" spans="1:12" x14ac:dyDescent="0.2">
      <c r="D18" s="7" t="s">
        <v>294</v>
      </c>
      <c r="E18" s="7" t="s">
        <v>376</v>
      </c>
      <c r="F18" s="11">
        <v>62218.596890000008</v>
      </c>
      <c r="G18" s="12">
        <f t="shared" si="0"/>
        <v>3.5533851131539567E-3</v>
      </c>
      <c r="I18" s="7" t="s">
        <v>1328</v>
      </c>
      <c r="J18" s="7">
        <v>82997.840935400003</v>
      </c>
      <c r="K18" s="12">
        <v>3.3043132571106679E-2</v>
      </c>
      <c r="L18" s="12">
        <f t="shared" si="1"/>
        <v>0.65779052911797775</v>
      </c>
    </row>
    <row r="19" spans="1:12" x14ac:dyDescent="0.2">
      <c r="D19" s="7" t="s">
        <v>294</v>
      </c>
      <c r="E19" s="7" t="s">
        <v>336</v>
      </c>
      <c r="F19" s="11">
        <v>56405.146260000023</v>
      </c>
      <c r="G19" s="12">
        <f t="shared" si="0"/>
        <v>3.2213713751839579E-3</v>
      </c>
      <c r="I19" s="7" t="s">
        <v>1329</v>
      </c>
      <c r="J19" s="7">
        <v>73676.572392699993</v>
      </c>
      <c r="K19" s="12">
        <v>2.9332145529563602E-2</v>
      </c>
      <c r="L19" s="12">
        <f t="shared" si="1"/>
        <v>0.6871226746475414</v>
      </c>
    </row>
    <row r="20" spans="1:12" x14ac:dyDescent="0.2">
      <c r="D20" s="7" t="s">
        <v>294</v>
      </c>
      <c r="E20" s="7" t="s">
        <v>333</v>
      </c>
      <c r="F20" s="11">
        <v>53056.683873999988</v>
      </c>
      <c r="G20" s="12">
        <f t="shared" si="0"/>
        <v>3.0301363266758028E-3</v>
      </c>
      <c r="I20" s="7" t="s">
        <v>1330</v>
      </c>
      <c r="J20" s="7">
        <v>65202.506516500005</v>
      </c>
      <c r="K20" s="12">
        <v>2.5958447141656037E-2</v>
      </c>
      <c r="L20" s="12">
        <f t="shared" si="1"/>
        <v>0.71308112178919747</v>
      </c>
    </row>
    <row r="21" spans="1:12" x14ac:dyDescent="0.2">
      <c r="D21" s="7" t="s">
        <v>294</v>
      </c>
      <c r="E21" s="7" t="s">
        <v>334</v>
      </c>
      <c r="F21" s="11">
        <v>38526.540506999998</v>
      </c>
      <c r="G21" s="12">
        <f t="shared" si="0"/>
        <v>2.2003009122968454E-3</v>
      </c>
      <c r="I21" s="7" t="s">
        <v>1331</v>
      </c>
      <c r="J21" s="7">
        <v>62759.04628780004</v>
      </c>
      <c r="K21" s="12">
        <v>2.4985655809264609E-2</v>
      </c>
      <c r="L21" s="12">
        <f t="shared" si="1"/>
        <v>0.73806677759846206</v>
      </c>
    </row>
    <row r="22" spans="1:12" x14ac:dyDescent="0.2">
      <c r="D22" s="7" t="s">
        <v>294</v>
      </c>
      <c r="E22" s="7" t="s">
        <v>342</v>
      </c>
      <c r="F22" s="11">
        <v>37071.552091999984</v>
      </c>
      <c r="G22" s="12">
        <f t="shared" si="0"/>
        <v>2.1172046286758385E-3</v>
      </c>
      <c r="I22" s="7" t="s">
        <v>1332</v>
      </c>
      <c r="J22" s="7">
        <v>43997.820793400009</v>
      </c>
      <c r="K22" s="12">
        <v>1.7516429450829589E-2</v>
      </c>
      <c r="L22" s="12">
        <f t="shared" si="1"/>
        <v>0.75558320704929161</v>
      </c>
    </row>
    <row r="23" spans="1:12" x14ac:dyDescent="0.2">
      <c r="D23" s="7" t="s">
        <v>294</v>
      </c>
      <c r="E23" s="7" t="s">
        <v>379</v>
      </c>
      <c r="F23" s="11">
        <v>34561.781804999991</v>
      </c>
      <c r="G23" s="12">
        <f t="shared" si="0"/>
        <v>1.9738683784060215E-3</v>
      </c>
      <c r="I23" s="7" t="s">
        <v>1333</v>
      </c>
      <c r="J23" s="7">
        <v>32418.241789</v>
      </c>
      <c r="K23" s="12">
        <v>1.290636297382565E-2</v>
      </c>
      <c r="L23" s="12">
        <f t="shared" si="1"/>
        <v>0.76848957002311724</v>
      </c>
    </row>
    <row r="24" spans="1:12" x14ac:dyDescent="0.2">
      <c r="D24" s="7" t="s">
        <v>294</v>
      </c>
      <c r="E24" s="7" t="s">
        <v>330</v>
      </c>
      <c r="F24" s="11">
        <v>31197.717639599989</v>
      </c>
      <c r="G24" s="12">
        <f t="shared" si="0"/>
        <v>1.7817422919537518E-3</v>
      </c>
      <c r="H24" s="11"/>
      <c r="I24" s="7" t="s">
        <v>1334</v>
      </c>
      <c r="J24" s="7">
        <v>29454.599793900004</v>
      </c>
      <c r="K24" s="12">
        <v>1.1726476675173509E-2</v>
      </c>
      <c r="L24" s="12">
        <f t="shared" si="1"/>
        <v>0.7802160466982907</v>
      </c>
    </row>
    <row r="25" spans="1:12" ht="55.5" customHeight="1" x14ac:dyDescent="0.2">
      <c r="A25" s="18" t="s">
        <v>427</v>
      </c>
      <c r="B25" s="18" t="s">
        <v>0</v>
      </c>
      <c r="C25" s="18" t="s">
        <v>419</v>
      </c>
      <c r="D25" s="19" t="s">
        <v>431</v>
      </c>
      <c r="E25" s="19"/>
      <c r="F25" s="20">
        <v>2123664.5445130002</v>
      </c>
      <c r="G25" s="21">
        <f t="shared" si="0"/>
        <v>0.12128524838235663</v>
      </c>
      <c r="I25" s="7" t="s">
        <v>1335</v>
      </c>
      <c r="J25" s="7">
        <v>27533.928991800007</v>
      </c>
      <c r="K25" s="12">
        <v>1.0961818471731314E-2</v>
      </c>
      <c r="L25" s="12">
        <f t="shared" si="1"/>
        <v>0.79117786517002198</v>
      </c>
    </row>
    <row r="26" spans="1:12" x14ac:dyDescent="0.2">
      <c r="A26" s="22"/>
      <c r="B26" s="7" t="s">
        <v>57</v>
      </c>
      <c r="C26" s="7" t="s">
        <v>80</v>
      </c>
      <c r="D26" s="7" t="s">
        <v>59</v>
      </c>
      <c r="E26" s="7" t="s">
        <v>70</v>
      </c>
      <c r="F26" s="11">
        <v>516796.51782306895</v>
      </c>
      <c r="G26" s="12">
        <f t="shared" si="0"/>
        <v>2.9514922302232849E-2</v>
      </c>
      <c r="I26" s="7" t="s">
        <v>1336</v>
      </c>
      <c r="J26" s="7">
        <v>24307.118340090004</v>
      </c>
      <c r="K26" s="12">
        <v>9.6771593656070753E-3</v>
      </c>
      <c r="L26" s="12">
        <f t="shared" si="1"/>
        <v>0.80085502453562907</v>
      </c>
    </row>
    <row r="27" spans="1:12" x14ac:dyDescent="0.2">
      <c r="A27" s="22"/>
      <c r="B27" s="7" t="s">
        <v>57</v>
      </c>
      <c r="C27" s="7" t="s">
        <v>58</v>
      </c>
      <c r="D27" s="7" t="s">
        <v>59</v>
      </c>
      <c r="E27" s="7" t="s">
        <v>70</v>
      </c>
      <c r="F27" s="11">
        <v>1466114.1664040436</v>
      </c>
      <c r="G27" s="12">
        <f t="shared" si="0"/>
        <v>8.3731689775883827E-2</v>
      </c>
      <c r="I27" s="7" t="s">
        <v>1337</v>
      </c>
      <c r="J27" s="7">
        <v>24039.933661350002</v>
      </c>
      <c r="K27" s="12">
        <v>9.5707876978495237E-3</v>
      </c>
      <c r="L27" s="12">
        <f t="shared" si="1"/>
        <v>0.81042581223347854</v>
      </c>
    </row>
    <row r="28" spans="1:12" x14ac:dyDescent="0.2">
      <c r="C28" s="7" t="s">
        <v>13</v>
      </c>
      <c r="D28" s="7" t="s">
        <v>301</v>
      </c>
      <c r="E28" s="7" t="s">
        <v>343</v>
      </c>
      <c r="F28" s="11">
        <v>21698.418445200001</v>
      </c>
      <c r="G28" s="12">
        <f t="shared" si="0"/>
        <v>1.239224941354329E-3</v>
      </c>
      <c r="I28" s="7" t="s">
        <v>1338</v>
      </c>
      <c r="J28" s="7">
        <v>23378.114992419996</v>
      </c>
      <c r="K28" s="12">
        <v>9.3073041931098222E-3</v>
      </c>
      <c r="L28" s="12">
        <f t="shared" si="1"/>
        <v>0.81973311642658842</v>
      </c>
    </row>
    <row r="29" spans="1:12" x14ac:dyDescent="0.2">
      <c r="C29" s="7" t="s">
        <v>13</v>
      </c>
      <c r="D29" s="7" t="s">
        <v>301</v>
      </c>
      <c r="E29" s="7" t="s">
        <v>344</v>
      </c>
      <c r="F29" s="11">
        <v>133258.2914173</v>
      </c>
      <c r="G29" s="12">
        <f t="shared" si="0"/>
        <v>7.6105546025688501E-3</v>
      </c>
      <c r="I29" s="7" t="s">
        <v>1339</v>
      </c>
      <c r="J29" s="7">
        <v>23004.053853109996</v>
      </c>
      <c r="K29" s="12">
        <v>9.158382827486107E-3</v>
      </c>
      <c r="L29" s="12">
        <f t="shared" si="1"/>
        <v>0.82889149925407457</v>
      </c>
    </row>
    <row r="30" spans="1:12" x14ac:dyDescent="0.2">
      <c r="C30" s="7" t="s">
        <v>13</v>
      </c>
      <c r="D30" s="7" t="s">
        <v>301</v>
      </c>
      <c r="E30" s="7" t="s">
        <v>302</v>
      </c>
      <c r="F30" s="11">
        <v>47721.711543199999</v>
      </c>
      <c r="G30" s="12">
        <f t="shared" si="0"/>
        <v>2.7254491076298872E-3</v>
      </c>
      <c r="I30" s="7" t="s">
        <v>1340</v>
      </c>
      <c r="J30" s="7">
        <v>20294.356268769996</v>
      </c>
      <c r="K30" s="12">
        <v>8.0795969759765041E-3</v>
      </c>
      <c r="L30" s="12">
        <f t="shared" si="1"/>
        <v>0.83697109623005106</v>
      </c>
    </row>
    <row r="31" spans="1:12" x14ac:dyDescent="0.2">
      <c r="C31" s="7" t="s">
        <v>13</v>
      </c>
      <c r="D31" s="7" t="s">
        <v>301</v>
      </c>
      <c r="E31" s="7" t="s">
        <v>303</v>
      </c>
      <c r="F31" s="11">
        <v>53281.08074339998</v>
      </c>
      <c r="G31" s="12">
        <f t="shared" si="0"/>
        <v>3.042951924182349E-3</v>
      </c>
      <c r="I31" s="7" t="s">
        <v>1341</v>
      </c>
      <c r="J31" s="7">
        <v>20251.08572581</v>
      </c>
      <c r="K31" s="12">
        <v>8.0623700906583221E-3</v>
      </c>
      <c r="L31" s="12">
        <f t="shared" si="1"/>
        <v>0.84503346632070941</v>
      </c>
    </row>
    <row r="32" spans="1:12" x14ac:dyDescent="0.2">
      <c r="C32" s="7" t="s">
        <v>13</v>
      </c>
      <c r="D32" s="7" t="s">
        <v>301</v>
      </c>
      <c r="E32" s="7" t="s">
        <v>345</v>
      </c>
      <c r="F32" s="11">
        <v>4378.1421027400002</v>
      </c>
      <c r="G32" s="12">
        <f t="shared" si="0"/>
        <v>2.5004139837247422E-4</v>
      </c>
      <c r="I32" s="7" t="s">
        <v>1342</v>
      </c>
      <c r="J32" s="7">
        <v>20007.780110269996</v>
      </c>
      <c r="K32" s="12">
        <v>7.9655051647882554E-3</v>
      </c>
      <c r="L32" s="12">
        <f t="shared" si="1"/>
        <v>0.85299897148549764</v>
      </c>
    </row>
    <row r="33" spans="3:12" x14ac:dyDescent="0.2">
      <c r="C33" s="7" t="s">
        <v>13</v>
      </c>
      <c r="D33" s="7" t="s">
        <v>301</v>
      </c>
      <c r="E33" s="7" t="s">
        <v>346</v>
      </c>
      <c r="F33" s="11">
        <v>140040.12293000001</v>
      </c>
      <c r="G33" s="12">
        <f t="shared" si="0"/>
        <v>7.9978738341444453E-3</v>
      </c>
      <c r="I33" s="7" t="s">
        <v>1343</v>
      </c>
      <c r="J33" s="7">
        <v>18047.860693169998</v>
      </c>
      <c r="K33" s="12">
        <v>7.1852212875446568E-3</v>
      </c>
      <c r="L33" s="12">
        <f t="shared" si="1"/>
        <v>0.86018419277304226</v>
      </c>
    </row>
    <row r="34" spans="3:12" x14ac:dyDescent="0.2">
      <c r="C34" s="7" t="s">
        <v>13</v>
      </c>
      <c r="D34" s="7" t="s">
        <v>301</v>
      </c>
      <c r="E34" s="7" t="s">
        <v>347</v>
      </c>
      <c r="F34" s="11">
        <v>64950.325239299993</v>
      </c>
      <c r="G34" s="12">
        <f t="shared" si="0"/>
        <v>3.7093976774800947E-3</v>
      </c>
      <c r="I34" s="7" t="s">
        <v>1344</v>
      </c>
      <c r="J34" s="7">
        <v>17580.402834839999</v>
      </c>
      <c r="K34" s="12">
        <v>6.9991167839802077E-3</v>
      </c>
      <c r="L34" s="12">
        <f>L33+K34</f>
        <v>0.8671833095570225</v>
      </c>
    </row>
    <row r="35" spans="3:12" x14ac:dyDescent="0.2">
      <c r="C35" s="23" t="s">
        <v>279</v>
      </c>
      <c r="D35" s="23" t="s">
        <v>260</v>
      </c>
      <c r="E35" s="24" t="s">
        <v>1345</v>
      </c>
      <c r="F35" s="20">
        <v>1323145.8863463404</v>
      </c>
      <c r="G35" s="21">
        <f t="shared" si="0"/>
        <v>7.5566585074014231E-2</v>
      </c>
      <c r="I35" s="7" t="s">
        <v>1346</v>
      </c>
      <c r="J35" s="7">
        <v>15432.27013277</v>
      </c>
      <c r="K35" s="12">
        <v>6.1439013608455802E-3</v>
      </c>
      <c r="L35" s="12">
        <f t="shared" si="1"/>
        <v>0.87332721091786802</v>
      </c>
    </row>
    <row r="36" spans="3:12" x14ac:dyDescent="0.2">
      <c r="E36" s="7" t="s">
        <v>1347</v>
      </c>
      <c r="F36" s="11">
        <v>82906.094261233389</v>
      </c>
      <c r="G36" s="12">
        <f t="shared" si="0"/>
        <v>4.7348750351674049E-3</v>
      </c>
      <c r="I36" s="7" t="s">
        <v>1348</v>
      </c>
      <c r="J36" s="7">
        <v>14106.976985840001</v>
      </c>
      <c r="K36" s="12">
        <v>5.61627514001808E-3</v>
      </c>
      <c r="L36" s="12">
        <f t="shared" si="1"/>
        <v>0.87894348605788608</v>
      </c>
    </row>
    <row r="37" spans="3:12" x14ac:dyDescent="0.2">
      <c r="E37" s="7" t="s">
        <v>1349</v>
      </c>
      <c r="F37" s="11">
        <v>6806.2087436863485</v>
      </c>
      <c r="G37" s="12">
        <f t="shared" si="0"/>
        <v>3.8871144699054562E-4</v>
      </c>
      <c r="I37" s="7" t="s">
        <v>1350</v>
      </c>
      <c r="J37" s="7">
        <v>13889.444321350004</v>
      </c>
      <c r="K37" s="12">
        <v>5.5296709513996834E-3</v>
      </c>
      <c r="L37" s="12">
        <f t="shared" si="1"/>
        <v>0.88447315700928575</v>
      </c>
    </row>
    <row r="38" spans="3:12" x14ac:dyDescent="0.2">
      <c r="I38" s="7" t="s">
        <v>1351</v>
      </c>
      <c r="J38" s="7">
        <v>12768.443538559999</v>
      </c>
      <c r="K38" s="12">
        <v>5.0833776856884106E-3</v>
      </c>
      <c r="L38" s="12">
        <f t="shared" si="1"/>
        <v>0.8895565346949742</v>
      </c>
    </row>
    <row r="39" spans="3:12" x14ac:dyDescent="0.2">
      <c r="I39" s="7" t="s">
        <v>1352</v>
      </c>
      <c r="J39" s="7">
        <v>12751.419401649999</v>
      </c>
      <c r="K39" s="12">
        <v>5.0766000297098211E-3</v>
      </c>
      <c r="L39" s="12">
        <f t="shared" si="1"/>
        <v>0.89463313472468398</v>
      </c>
    </row>
    <row r="40" spans="3:12" x14ac:dyDescent="0.2">
      <c r="I40" s="7" t="s">
        <v>1353</v>
      </c>
      <c r="J40" s="7">
        <v>12200.022485740001</v>
      </c>
      <c r="K40" s="12">
        <v>4.8570776760392649E-3</v>
      </c>
      <c r="L40" s="12">
        <f t="shared" si="1"/>
        <v>0.89949021240072324</v>
      </c>
    </row>
    <row r="41" spans="3:12" x14ac:dyDescent="0.2">
      <c r="I41" s="7" t="s">
        <v>1354</v>
      </c>
      <c r="J41" s="7">
        <v>11640.11264849</v>
      </c>
      <c r="K41" s="12">
        <v>4.6341661548285071E-3</v>
      </c>
      <c r="L41" s="12">
        <f t="shared" si="1"/>
        <v>0.90412437855555172</v>
      </c>
    </row>
    <row r="42" spans="3:12" x14ac:dyDescent="0.2">
      <c r="I42" s="7" t="s">
        <v>1355</v>
      </c>
      <c r="J42" s="7">
        <v>11202.210041619999</v>
      </c>
      <c r="K42" s="12">
        <v>4.459828199419512E-3</v>
      </c>
      <c r="L42" s="12">
        <f t="shared" si="1"/>
        <v>0.9085842067549712</v>
      </c>
    </row>
    <row r="43" spans="3:12" x14ac:dyDescent="0.2">
      <c r="I43" s="7" t="s">
        <v>1356</v>
      </c>
      <c r="J43" s="7">
        <v>10965.76170968</v>
      </c>
      <c r="K43" s="12">
        <v>4.3656932979515145E-3</v>
      </c>
      <c r="L43" s="12">
        <f t="shared" si="1"/>
        <v>0.91294990005292276</v>
      </c>
    </row>
    <row r="44" spans="3:12" x14ac:dyDescent="0.2">
      <c r="I44" s="7" t="s">
        <v>1357</v>
      </c>
      <c r="J44" s="7">
        <v>10425.477372930001</v>
      </c>
      <c r="K44" s="12">
        <v>4.1505950885990803E-3</v>
      </c>
      <c r="L44" s="12">
        <f t="shared" si="1"/>
        <v>0.91710049514152181</v>
      </c>
    </row>
    <row r="45" spans="3:12" x14ac:dyDescent="0.2">
      <c r="I45" s="7" t="s">
        <v>1358</v>
      </c>
      <c r="J45" s="7">
        <v>10020.205746670001</v>
      </c>
      <c r="K45" s="12">
        <v>3.9892481918257028E-3</v>
      </c>
      <c r="L45" s="12">
        <f t="shared" si="1"/>
        <v>0.92108974333334748</v>
      </c>
    </row>
    <row r="46" spans="3:12" x14ac:dyDescent="0.2">
      <c r="I46" s="7" t="s">
        <v>1359</v>
      </c>
      <c r="J46" s="7">
        <v>9576.1551350699992</v>
      </c>
      <c r="K46" s="12">
        <v>3.8124625903930079E-3</v>
      </c>
      <c r="L46" s="12">
        <f t="shared" si="1"/>
        <v>0.92490220592374051</v>
      </c>
    </row>
    <row r="47" spans="3:12" x14ac:dyDescent="0.2">
      <c r="I47" s="7" t="s">
        <v>1360</v>
      </c>
      <c r="J47" s="7">
        <v>9536.4316675999999</v>
      </c>
      <c r="K47" s="12">
        <v>3.7966478681423789E-3</v>
      </c>
      <c r="L47" s="12">
        <f t="shared" si="1"/>
        <v>0.92869885379188288</v>
      </c>
    </row>
    <row r="48" spans="3:12" x14ac:dyDescent="0.2">
      <c r="I48" s="7" t="s">
        <v>1361</v>
      </c>
      <c r="J48" s="7">
        <v>9456.2759121499985</v>
      </c>
      <c r="K48" s="12">
        <v>3.764736227745214E-3</v>
      </c>
      <c r="L48" s="12">
        <f t="shared" si="1"/>
        <v>0.93246359001962809</v>
      </c>
    </row>
    <row r="49" spans="9:12" x14ac:dyDescent="0.2">
      <c r="I49" s="7" t="s">
        <v>1362</v>
      </c>
      <c r="J49" s="7">
        <v>9379.1940626899996</v>
      </c>
      <c r="K49" s="12">
        <v>3.7340483719910471E-3</v>
      </c>
      <c r="L49" s="12">
        <f t="shared" si="1"/>
        <v>0.93619763839161918</v>
      </c>
    </row>
    <row r="50" spans="9:12" x14ac:dyDescent="0.2">
      <c r="I50" s="7" t="s">
        <v>1363</v>
      </c>
      <c r="J50" s="7">
        <v>9265.935277630002</v>
      </c>
      <c r="K50" s="12">
        <v>3.6889577406276019E-3</v>
      </c>
      <c r="L50" s="12">
        <f t="shared" si="1"/>
        <v>0.93988659613224679</v>
      </c>
    </row>
    <row r="51" spans="9:12" x14ac:dyDescent="0.2">
      <c r="I51" s="7" t="s">
        <v>1364</v>
      </c>
      <c r="J51" s="7">
        <v>8352.7715755499994</v>
      </c>
      <c r="K51" s="12">
        <v>3.3254086539659701E-3</v>
      </c>
      <c r="L51" s="12">
        <f t="shared" si="1"/>
        <v>0.94321200478621281</v>
      </c>
    </row>
    <row r="52" spans="9:12" x14ac:dyDescent="0.2">
      <c r="I52" s="7" t="s">
        <v>1365</v>
      </c>
      <c r="J52" s="7">
        <v>8300.9896912599997</v>
      </c>
      <c r="K52" s="12">
        <v>3.3047932301417779E-3</v>
      </c>
      <c r="L52" s="12">
        <f t="shared" si="1"/>
        <v>0.94651679801635458</v>
      </c>
    </row>
    <row r="53" spans="9:12" x14ac:dyDescent="0.2">
      <c r="I53" s="7" t="s">
        <v>1366</v>
      </c>
      <c r="J53" s="7">
        <v>7446.4652011199996</v>
      </c>
      <c r="K53" s="12">
        <v>2.9645896092436088E-3</v>
      </c>
      <c r="L53" s="12">
        <f t="shared" si="1"/>
        <v>0.94948138762559819</v>
      </c>
    </row>
    <row r="54" spans="9:12" x14ac:dyDescent="0.2">
      <c r="I54" s="7" t="s">
        <v>1367</v>
      </c>
      <c r="J54" s="7">
        <v>7337.9361472400005</v>
      </c>
      <c r="K54" s="12">
        <v>2.9213819802889614E-3</v>
      </c>
      <c r="L54" s="12">
        <f t="shared" si="1"/>
        <v>0.9524027696058871</v>
      </c>
    </row>
    <row r="55" spans="9:12" x14ac:dyDescent="0.2">
      <c r="I55" s="7" t="s">
        <v>1368</v>
      </c>
      <c r="J55" s="7">
        <v>7126.3145282700007</v>
      </c>
      <c r="K55" s="12">
        <v>2.8371310994018246E-3</v>
      </c>
      <c r="L55" s="12">
        <f t="shared" si="1"/>
        <v>0.95523990070528897</v>
      </c>
    </row>
    <row r="56" spans="9:12" x14ac:dyDescent="0.2">
      <c r="I56" s="7" t="s">
        <v>1369</v>
      </c>
      <c r="J56" s="7">
        <v>6645.3787284</v>
      </c>
      <c r="K56" s="12">
        <v>2.6456607525326254E-3</v>
      </c>
      <c r="L56" s="12">
        <f t="shared" si="1"/>
        <v>0.95788556145782155</v>
      </c>
    </row>
    <row r="57" spans="9:12" x14ac:dyDescent="0.2">
      <c r="I57" s="7" t="s">
        <v>1370</v>
      </c>
      <c r="J57" s="7">
        <v>6364.714677349999</v>
      </c>
      <c r="K57" s="12">
        <v>2.5339226718516191E-3</v>
      </c>
      <c r="L57" s="12">
        <f t="shared" si="1"/>
        <v>0.96041948412967315</v>
      </c>
    </row>
    <row r="58" spans="9:12" x14ac:dyDescent="0.2">
      <c r="I58" s="7" t="s">
        <v>1371</v>
      </c>
      <c r="J58" s="7">
        <v>5928.7038810800004</v>
      </c>
      <c r="K58" s="12">
        <v>2.3603378848112318E-3</v>
      </c>
      <c r="L58" s="12">
        <f t="shared" si="1"/>
        <v>0.96277982201448442</v>
      </c>
    </row>
    <row r="59" spans="9:12" x14ac:dyDescent="0.2">
      <c r="I59" s="7" t="s">
        <v>1372</v>
      </c>
      <c r="J59" s="7">
        <v>5540.9288670100004</v>
      </c>
      <c r="K59" s="12">
        <v>2.2059567460578663E-3</v>
      </c>
      <c r="L59" s="12">
        <f t="shared" si="1"/>
        <v>0.96498577876054226</v>
      </c>
    </row>
    <row r="60" spans="9:12" x14ac:dyDescent="0.2">
      <c r="I60" s="7" t="s">
        <v>1373</v>
      </c>
      <c r="J60" s="7">
        <v>5237.0926430199997</v>
      </c>
      <c r="K60" s="12">
        <v>2.0849933509134032E-3</v>
      </c>
      <c r="L60" s="12">
        <f t="shared" si="1"/>
        <v>0.96707077211145565</v>
      </c>
    </row>
    <row r="61" spans="9:12" x14ac:dyDescent="0.2">
      <c r="I61" s="7" t="s">
        <v>1374</v>
      </c>
      <c r="J61" s="7">
        <v>4409.99675776</v>
      </c>
      <c r="K61" s="12">
        <v>1.755709616810793E-3</v>
      </c>
      <c r="L61" s="12">
        <f t="shared" si="1"/>
        <v>0.96882648172826646</v>
      </c>
    </row>
    <row r="62" spans="9:12" x14ac:dyDescent="0.2">
      <c r="I62" s="7" t="s">
        <v>1375</v>
      </c>
      <c r="J62" s="7">
        <v>4279.7138449599997</v>
      </c>
      <c r="K62" s="12">
        <v>1.7038413331195218E-3</v>
      </c>
      <c r="L62" s="12">
        <f t="shared" si="1"/>
        <v>0.97053032306138598</v>
      </c>
    </row>
    <row r="63" spans="9:12" x14ac:dyDescent="0.2">
      <c r="I63" s="7" t="s">
        <v>1376</v>
      </c>
      <c r="J63" s="7">
        <v>4187.2626337399997</v>
      </c>
      <c r="K63" s="12">
        <v>1.667034621110235E-3</v>
      </c>
      <c r="L63" s="12">
        <f t="shared" si="1"/>
        <v>0.97219735768249627</v>
      </c>
    </row>
    <row r="64" spans="9:12" x14ac:dyDescent="0.2">
      <c r="I64" s="7" t="s">
        <v>1377</v>
      </c>
      <c r="J64" s="7">
        <v>4128.3868152300001</v>
      </c>
      <c r="K64" s="12">
        <v>1.6435949574475075E-3</v>
      </c>
      <c r="L64" s="12">
        <f t="shared" si="1"/>
        <v>0.97384095263994375</v>
      </c>
    </row>
    <row r="65" spans="9:12" x14ac:dyDescent="0.2">
      <c r="I65" s="7" t="s">
        <v>1378</v>
      </c>
      <c r="J65" s="7">
        <v>3871.8403580199997</v>
      </c>
      <c r="K65" s="12">
        <v>1.5414585825647466E-3</v>
      </c>
      <c r="L65" s="12">
        <f t="shared" si="1"/>
        <v>0.97538241122250846</v>
      </c>
    </row>
    <row r="66" spans="9:12" x14ac:dyDescent="0.2">
      <c r="I66" s="7" t="s">
        <v>1379</v>
      </c>
      <c r="J66" s="7">
        <v>3570.36886869</v>
      </c>
      <c r="K66" s="12">
        <v>1.4214366364987811E-3</v>
      </c>
      <c r="L66" s="12">
        <f t="shared" si="1"/>
        <v>0.9768038478590072</v>
      </c>
    </row>
    <row r="67" spans="9:12" x14ac:dyDescent="0.2">
      <c r="I67" s="7" t="s">
        <v>1380</v>
      </c>
      <c r="J67" s="7">
        <v>3520.005341099999</v>
      </c>
      <c r="K67" s="12">
        <v>1.4013858893931995E-3</v>
      </c>
      <c r="L67" s="12">
        <f t="shared" si="1"/>
        <v>0.9782052337484004</v>
      </c>
    </row>
    <row r="68" spans="9:12" x14ac:dyDescent="0.2">
      <c r="I68" s="7" t="s">
        <v>1381</v>
      </c>
      <c r="J68" s="7">
        <v>3352.6002090299994</v>
      </c>
      <c r="K68" s="12">
        <v>1.3347384933919224E-3</v>
      </c>
      <c r="L68" s="12">
        <f t="shared" si="1"/>
        <v>0.97953997224179234</v>
      </c>
    </row>
    <row r="69" spans="9:12" x14ac:dyDescent="0.2">
      <c r="I69" s="7" t="s">
        <v>1382</v>
      </c>
      <c r="J69" s="7">
        <v>3239.3412959799998</v>
      </c>
      <c r="K69" s="12">
        <v>1.289647811073048E-3</v>
      </c>
      <c r="L69" s="12">
        <f t="shared" si="1"/>
        <v>0.98082962005286545</v>
      </c>
    </row>
    <row r="70" spans="9:12" x14ac:dyDescent="0.2">
      <c r="I70" s="7" t="s">
        <v>1383</v>
      </c>
      <c r="J70" s="7">
        <v>2813.97083286</v>
      </c>
      <c r="K70" s="12">
        <v>1.1202991575864217E-3</v>
      </c>
      <c r="L70" s="12">
        <f t="shared" si="1"/>
        <v>0.98194991921045183</v>
      </c>
    </row>
    <row r="71" spans="9:12" x14ac:dyDescent="0.2">
      <c r="I71" s="7" t="s">
        <v>1384</v>
      </c>
      <c r="J71" s="7">
        <v>2799.3110967299999</v>
      </c>
      <c r="K71" s="12">
        <v>1.1144628177618945E-3</v>
      </c>
      <c r="L71" s="12">
        <f t="shared" si="1"/>
        <v>0.98306438202821367</v>
      </c>
    </row>
    <row r="72" spans="9:12" x14ac:dyDescent="0.2">
      <c r="I72" s="7" t="s">
        <v>1385</v>
      </c>
      <c r="J72" s="7">
        <v>2797.1832152400007</v>
      </c>
      <c r="K72" s="12">
        <v>1.113615664759151E-3</v>
      </c>
      <c r="L72" s="12">
        <f t="shared" si="1"/>
        <v>0.98417799769297287</v>
      </c>
    </row>
    <row r="73" spans="9:12" x14ac:dyDescent="0.2">
      <c r="I73" s="7" t="s">
        <v>1386</v>
      </c>
      <c r="J73" s="7">
        <v>2757.6963622200001</v>
      </c>
      <c r="K73" s="12">
        <v>1.097895143544976E-3</v>
      </c>
      <c r="L73" s="12">
        <f t="shared" si="1"/>
        <v>0.98527589283651784</v>
      </c>
    </row>
    <row r="74" spans="9:12" x14ac:dyDescent="0.2">
      <c r="I74" s="7" t="s">
        <v>1387</v>
      </c>
      <c r="J74" s="7">
        <v>2742.8001071799999</v>
      </c>
      <c r="K74" s="12">
        <v>1.0919646407204163E-3</v>
      </c>
      <c r="L74" s="12">
        <f t="shared" si="1"/>
        <v>0.98636785747723821</v>
      </c>
    </row>
    <row r="75" spans="9:12" x14ac:dyDescent="0.2">
      <c r="I75" s="7" t="s">
        <v>1388</v>
      </c>
      <c r="J75" s="7">
        <v>2609.9159341300001</v>
      </c>
      <c r="K75" s="12">
        <v>1.0390607422911715E-3</v>
      </c>
      <c r="L75" s="12">
        <f t="shared" si="1"/>
        <v>0.98740691821952942</v>
      </c>
    </row>
    <row r="76" spans="9:12" x14ac:dyDescent="0.2">
      <c r="I76" s="7" t="s">
        <v>1389</v>
      </c>
      <c r="J76" s="7">
        <v>2450.5499292210002</v>
      </c>
      <c r="K76" s="12">
        <v>9.7561388670809211E-4</v>
      </c>
      <c r="L76" s="12">
        <f t="shared" ref="L76:L93" si="2">L75+K76</f>
        <v>0.9883825321062375</v>
      </c>
    </row>
    <row r="77" spans="9:12" x14ac:dyDescent="0.2">
      <c r="I77" s="7" t="s">
        <v>1390</v>
      </c>
      <c r="J77" s="7">
        <v>2444.638770343</v>
      </c>
      <c r="K77" s="12">
        <v>9.7326053384670067E-4</v>
      </c>
      <c r="L77" s="12">
        <f t="shared" si="2"/>
        <v>0.98935579264008422</v>
      </c>
    </row>
    <row r="78" spans="9:12" x14ac:dyDescent="0.2">
      <c r="I78" s="7" t="s">
        <v>1391</v>
      </c>
      <c r="J78" s="7">
        <v>2294.4940519380002</v>
      </c>
      <c r="K78" s="12">
        <v>9.1348486041720276E-4</v>
      </c>
      <c r="L78" s="12">
        <f t="shared" si="2"/>
        <v>0.99026927750050142</v>
      </c>
    </row>
    <row r="79" spans="9:12" x14ac:dyDescent="0.2">
      <c r="I79" s="7" t="s">
        <v>1392</v>
      </c>
      <c r="J79" s="7">
        <v>2228.2885337289999</v>
      </c>
      <c r="K79" s="12">
        <v>8.8712709387214859E-4</v>
      </c>
      <c r="L79" s="12">
        <f t="shared" si="2"/>
        <v>0.9911564045943736</v>
      </c>
    </row>
    <row r="80" spans="9:12" x14ac:dyDescent="0.2">
      <c r="I80" s="7" t="s">
        <v>1393</v>
      </c>
      <c r="J80" s="7">
        <v>2198.9689361000001</v>
      </c>
      <c r="K80" s="12">
        <v>8.7545436431113975E-4</v>
      </c>
      <c r="L80" s="12">
        <f t="shared" si="2"/>
        <v>0.99203185895868473</v>
      </c>
    </row>
    <row r="81" spans="9:12" x14ac:dyDescent="0.2">
      <c r="I81" s="7" t="s">
        <v>1394</v>
      </c>
      <c r="J81" s="7">
        <v>2144.1130107499998</v>
      </c>
      <c r="K81" s="12">
        <v>8.536151020698291E-4</v>
      </c>
      <c r="L81" s="12">
        <f t="shared" si="2"/>
        <v>0.99288547406075456</v>
      </c>
    </row>
    <row r="82" spans="9:12" x14ac:dyDescent="0.2">
      <c r="I82" s="7" t="s">
        <v>1395</v>
      </c>
      <c r="J82" s="7">
        <v>2024.2337164200001</v>
      </c>
      <c r="K82" s="12">
        <v>8.058887109922585E-4</v>
      </c>
      <c r="L82" s="12">
        <f t="shared" si="2"/>
        <v>0.99369136277174686</v>
      </c>
    </row>
    <row r="83" spans="9:12" x14ac:dyDescent="0.2">
      <c r="I83" s="7" t="s">
        <v>1396</v>
      </c>
      <c r="J83" s="7">
        <v>1939.821697373</v>
      </c>
      <c r="K83" s="12">
        <v>7.7228256528377238E-4</v>
      </c>
      <c r="L83" s="12">
        <f t="shared" si="2"/>
        <v>0.99446364533703058</v>
      </c>
    </row>
    <row r="84" spans="9:12" x14ac:dyDescent="0.2">
      <c r="I84" s="7" t="s">
        <v>1397</v>
      </c>
      <c r="J84" s="7">
        <v>1797.00687008</v>
      </c>
      <c r="K84" s="12">
        <v>7.1542507094201843E-4</v>
      </c>
      <c r="L84" s="12">
        <f t="shared" si="2"/>
        <v>0.9951790704079726</v>
      </c>
    </row>
    <row r="85" spans="9:12" x14ac:dyDescent="0.2">
      <c r="I85" s="7" t="s">
        <v>1398</v>
      </c>
      <c r="J85" s="7">
        <v>1653.4828454129997</v>
      </c>
      <c r="K85" s="12">
        <v>6.5828523066711647E-4</v>
      </c>
      <c r="L85" s="12">
        <f t="shared" si="2"/>
        <v>0.99583735563863973</v>
      </c>
    </row>
    <row r="86" spans="9:12" x14ac:dyDescent="0.2">
      <c r="I86" s="7" t="s">
        <v>1399</v>
      </c>
      <c r="J86" s="7">
        <v>1620.3800315420001</v>
      </c>
      <c r="K86" s="12">
        <v>6.4510632559092943E-4</v>
      </c>
      <c r="L86" s="12">
        <f t="shared" si="2"/>
        <v>0.99648246196423063</v>
      </c>
    </row>
    <row r="87" spans="9:12" x14ac:dyDescent="0.2">
      <c r="I87" s="7" t="s">
        <v>1400</v>
      </c>
      <c r="J87" s="7">
        <v>1570.72584588</v>
      </c>
      <c r="K87" s="12">
        <v>6.2533798196839051E-4</v>
      </c>
      <c r="L87" s="12">
        <f t="shared" si="2"/>
        <v>0.99710779994619902</v>
      </c>
    </row>
    <row r="88" spans="9:12" x14ac:dyDescent="0.2">
      <c r="I88" s="7" t="s">
        <v>1401</v>
      </c>
      <c r="J88" s="7">
        <v>1554.883929026</v>
      </c>
      <c r="K88" s="12">
        <v>6.1903099189626804E-4</v>
      </c>
      <c r="L88" s="12">
        <f t="shared" si="2"/>
        <v>0.99772683093809533</v>
      </c>
    </row>
    <row r="89" spans="9:12" x14ac:dyDescent="0.2">
      <c r="I89" s="7" t="s">
        <v>1402</v>
      </c>
      <c r="J89" s="7">
        <v>1331.6767198389998</v>
      </c>
      <c r="K89" s="12">
        <v>5.3016765134583903E-4</v>
      </c>
      <c r="L89" s="12">
        <f t="shared" si="2"/>
        <v>0.99825699858944117</v>
      </c>
    </row>
    <row r="90" spans="9:12" x14ac:dyDescent="0.2">
      <c r="I90" s="7" t="s">
        <v>1403</v>
      </c>
      <c r="J90" s="7">
        <v>1312.9972693330001</v>
      </c>
      <c r="K90" s="12">
        <v>5.2273098127745036E-4</v>
      </c>
      <c r="L90" s="12">
        <f t="shared" si="2"/>
        <v>0.99877972957071859</v>
      </c>
    </row>
    <row r="91" spans="9:12" x14ac:dyDescent="0.2">
      <c r="I91" s="7" t="s">
        <v>1404</v>
      </c>
      <c r="J91" s="7">
        <v>1179.403975967</v>
      </c>
      <c r="K91" s="12">
        <v>4.6954476759341826E-4</v>
      </c>
      <c r="L91" s="12">
        <f t="shared" si="2"/>
        <v>0.99924927433831201</v>
      </c>
    </row>
    <row r="92" spans="9:12" x14ac:dyDescent="0.2">
      <c r="I92" s="7" t="s">
        <v>1405</v>
      </c>
      <c r="J92" s="7">
        <v>1110.5975493030001</v>
      </c>
      <c r="K92" s="12">
        <v>4.4215152636715212E-4</v>
      </c>
      <c r="L92" s="12">
        <f t="shared" si="2"/>
        <v>0.99969142586467918</v>
      </c>
    </row>
    <row r="93" spans="9:12" x14ac:dyDescent="0.2">
      <c r="I93" s="7" t="s">
        <v>1406</v>
      </c>
      <c r="J93" s="7">
        <v>775.07745202599995</v>
      </c>
      <c r="K93" s="12">
        <v>3.0857413532123782E-4</v>
      </c>
      <c r="L93" s="12">
        <f t="shared" si="2"/>
        <v>1.0000000000000004</v>
      </c>
    </row>
    <row r="94" spans="9:12" x14ac:dyDescent="0.2">
      <c r="K94" s="7">
        <v>2511803.042789422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14" sqref="A14"/>
    </sheetView>
  </sheetViews>
  <sheetFormatPr defaultRowHeight="15" x14ac:dyDescent="0.25"/>
  <sheetData>
    <row r="1" spans="1:2" x14ac:dyDescent="0.25">
      <c r="A1" t="s">
        <v>1763</v>
      </c>
    </row>
    <row r="2" spans="1:2" x14ac:dyDescent="0.25">
      <c r="A2">
        <v>1</v>
      </c>
      <c r="B2" t="s">
        <v>1761</v>
      </c>
    </row>
    <row r="3" spans="1:2" x14ac:dyDescent="0.25">
      <c r="A3">
        <v>2</v>
      </c>
      <c r="B3" t="s">
        <v>1762</v>
      </c>
    </row>
    <row r="5" spans="1:2" x14ac:dyDescent="0.25">
      <c r="A5" s="33" t="s">
        <v>1764</v>
      </c>
      <c r="B5" s="33"/>
    </row>
    <row r="6" spans="1:2" x14ac:dyDescent="0.25">
      <c r="A6" s="33">
        <v>3</v>
      </c>
      <c r="B6" s="33" t="s">
        <v>1761</v>
      </c>
    </row>
    <row r="7" spans="1:2" x14ac:dyDescent="0.25">
      <c r="A7" s="33">
        <v>4</v>
      </c>
      <c r="B7" s="33" t="s">
        <v>1762</v>
      </c>
    </row>
    <row r="10" spans="1:2" x14ac:dyDescent="0.25">
      <c r="A10" t="s">
        <v>1765</v>
      </c>
    </row>
    <row r="11" spans="1:2" x14ac:dyDescent="0.25">
      <c r="A11" t="s">
        <v>1766</v>
      </c>
    </row>
    <row r="13" spans="1:2" s="33" customFormat="1" x14ac:dyDescent="0.25">
      <c r="A13" s="33" t="s">
        <v>2083</v>
      </c>
    </row>
    <row r="14" spans="1:2" s="33" customFormat="1" x14ac:dyDescent="0.25"/>
    <row r="15" spans="1:2" x14ac:dyDescent="0.25">
      <c r="A15" t="s">
        <v>1767</v>
      </c>
    </row>
    <row r="16" spans="1:2" x14ac:dyDescent="0.25">
      <c r="B16" t="s">
        <v>1768</v>
      </c>
    </row>
    <row r="17" spans="2:2" x14ac:dyDescent="0.25">
      <c r="B17" t="s">
        <v>1769</v>
      </c>
    </row>
    <row r="18" spans="2:2" x14ac:dyDescent="0.25">
      <c r="B18" t="s">
        <v>1770</v>
      </c>
    </row>
    <row r="19" spans="2:2" x14ac:dyDescent="0.25">
      <c r="B19" t="s">
        <v>1771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2011_selected categories</vt:lpstr>
      <vt:lpstr>Airport SCCS</vt:lpstr>
      <vt:lpstr>New OnRoad SCCs</vt:lpstr>
      <vt:lpstr>2011_cats&amp;surgagts&amp;algrthm</vt:lpstr>
      <vt:lpstr>2008_cats&amp;surgagts&amp;algrthm</vt:lpstr>
      <vt:lpstr>2008_list of all scc's &amp; tiers</vt:lpstr>
      <vt:lpstr>Diesel PM</vt:lpstr>
      <vt:lpstr>QA methods</vt:lpstr>
    </vt:vector>
  </TitlesOfParts>
  <Company>PCA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Kvale, Dorian</cp:lastModifiedBy>
  <dcterms:created xsi:type="dcterms:W3CDTF">2012-11-22T03:36:14Z</dcterms:created>
  <dcterms:modified xsi:type="dcterms:W3CDTF">2016-09-14T21:38:24Z</dcterms:modified>
</cp:coreProperties>
</file>