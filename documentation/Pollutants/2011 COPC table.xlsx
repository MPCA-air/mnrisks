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-240" windowWidth="18660" windowHeight="11775" tabRatio="628" firstSheet="7" activeTab="10"/>
  </bookViews>
  <sheets>
    <sheet name="2008 COPC Table" sheetId="1" r:id="rId1"/>
    <sheet name="PAHs check" sheetId="9" r:id="rId2"/>
    <sheet name="dichlorobenzene check" sheetId="8" r:id="rId3"/>
    <sheet name="chromium check" sheetId="4" r:id="rId4"/>
    <sheet name="cresols check" sheetId="5" r:id="rId5"/>
    <sheet name="xylenes check" sheetId="6" r:id="rId6"/>
    <sheet name="dioxins check_speciation_sums" sheetId="7" r:id="rId7"/>
    <sheet name="aldehydes check" sheetId="2" r:id="rId8"/>
    <sheet name="2011 COPC Table_references" sheetId="3" r:id="rId9"/>
    <sheet name="COPC_2011_Final" sheetId="10" r:id="rId10"/>
    <sheet name="COPC_2011_Final (2)" sheetId="11" r:id="rId11"/>
  </sheets>
  <definedNames>
    <definedName name="_xlnm._FilterDatabase" localSheetId="8" hidden="1">'2011 COPC Table_references'!$A$1:$AS$282</definedName>
  </definedNames>
  <calcPr calcId="145621"/>
</workbook>
</file>

<file path=xl/calcChain.xml><?xml version="1.0" encoding="utf-8"?>
<calcChain xmlns="http://schemas.openxmlformats.org/spreadsheetml/2006/main">
  <c r="P110" i="3" l="1"/>
  <c r="D272" i="3" l="1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B272" i="3"/>
  <c r="AE272" i="3"/>
  <c r="AI272" i="3"/>
  <c r="AN272" i="3"/>
  <c r="AO272" i="3"/>
  <c r="AP272" i="3"/>
  <c r="C272" i="3"/>
  <c r="P186" i="3" l="1"/>
  <c r="P65" i="3" l="1"/>
  <c r="P28" i="3"/>
  <c r="P26" i="3"/>
  <c r="N50" i="3" l="1"/>
  <c r="M50" i="3"/>
  <c r="E31" i="3" l="1"/>
  <c r="F31" i="3"/>
  <c r="G31" i="3"/>
  <c r="H31" i="3"/>
  <c r="I31" i="3"/>
  <c r="J31" i="3"/>
  <c r="K31" i="3"/>
  <c r="U31" i="3"/>
  <c r="V31" i="3"/>
  <c r="W31" i="3"/>
  <c r="X31" i="3"/>
  <c r="AB31" i="3"/>
  <c r="P217" i="3"/>
  <c r="P82" i="3"/>
  <c r="P75" i="3"/>
  <c r="P72" i="3"/>
  <c r="P34" i="3"/>
  <c r="P31" i="3" s="1"/>
  <c r="P198" i="3" l="1"/>
  <c r="P214" i="3"/>
  <c r="P190" i="3"/>
  <c r="P152" i="3"/>
  <c r="P151" i="3"/>
  <c r="N277" i="3"/>
  <c r="M277" i="3"/>
  <c r="N275" i="3"/>
  <c r="M275" i="3"/>
  <c r="N273" i="3"/>
  <c r="M273" i="3"/>
  <c r="N269" i="3"/>
  <c r="M269" i="3"/>
  <c r="N267" i="3"/>
  <c r="M267" i="3"/>
  <c r="N266" i="3"/>
  <c r="M266" i="3"/>
  <c r="N253" i="3"/>
  <c r="M253" i="3"/>
  <c r="N252" i="3"/>
  <c r="M252" i="3"/>
  <c r="N251" i="3"/>
  <c r="M251" i="3"/>
  <c r="N245" i="3"/>
  <c r="M245" i="3"/>
  <c r="N244" i="3"/>
  <c r="M244" i="3"/>
  <c r="N239" i="3"/>
  <c r="M239" i="3"/>
  <c r="N237" i="3"/>
  <c r="M237" i="3"/>
  <c r="N234" i="3"/>
  <c r="M234" i="3"/>
  <c r="N233" i="3"/>
  <c r="M233" i="3"/>
  <c r="N232" i="3"/>
  <c r="M232" i="3"/>
  <c r="N220" i="3"/>
  <c r="M220" i="3"/>
  <c r="N219" i="3"/>
  <c r="M219" i="3"/>
  <c r="N218" i="3"/>
  <c r="M218" i="3"/>
  <c r="N217" i="3"/>
  <c r="M217" i="3"/>
  <c r="N214" i="3"/>
  <c r="M214" i="3"/>
  <c r="N213" i="3"/>
  <c r="M213" i="3"/>
  <c r="N212" i="3"/>
  <c r="M212" i="3"/>
  <c r="N201" i="3"/>
  <c r="M201" i="3"/>
  <c r="N200" i="3"/>
  <c r="M200" i="3"/>
  <c r="N198" i="3"/>
  <c r="M198" i="3"/>
  <c r="N190" i="3"/>
  <c r="M190" i="3"/>
  <c r="N184" i="3"/>
  <c r="M184" i="3"/>
  <c r="N174" i="3"/>
  <c r="M174" i="3"/>
  <c r="N164" i="3"/>
  <c r="M164" i="3"/>
  <c r="N162" i="3"/>
  <c r="M162" i="3"/>
  <c r="N159" i="3"/>
  <c r="M159" i="3"/>
  <c r="N152" i="3"/>
  <c r="M152" i="3"/>
  <c r="N151" i="3"/>
  <c r="M151" i="3"/>
  <c r="N150" i="3"/>
  <c r="M150" i="3"/>
  <c r="N148" i="3"/>
  <c r="M148" i="3"/>
  <c r="N125" i="3"/>
  <c r="M125" i="3"/>
  <c r="N123" i="3"/>
  <c r="M123" i="3"/>
  <c r="N106" i="3"/>
  <c r="M106" i="3"/>
  <c r="N105" i="3"/>
  <c r="M105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82" i="3"/>
  <c r="M82" i="3"/>
  <c r="N80" i="3"/>
  <c r="M80" i="3"/>
  <c r="N75" i="3"/>
  <c r="M75" i="3"/>
  <c r="N72" i="3"/>
  <c r="M72" i="3"/>
  <c r="N71" i="3"/>
  <c r="M71" i="3"/>
  <c r="N67" i="3"/>
  <c r="M67" i="3"/>
  <c r="N66" i="3"/>
  <c r="M66" i="3"/>
  <c r="N55" i="3"/>
  <c r="M55" i="3"/>
  <c r="N52" i="3"/>
  <c r="M52" i="3"/>
  <c r="N49" i="3"/>
  <c r="M49" i="3"/>
  <c r="N47" i="3"/>
  <c r="M47" i="3"/>
  <c r="N43" i="3"/>
  <c r="M43" i="3"/>
  <c r="N34" i="3"/>
  <c r="N31" i="3" s="1"/>
  <c r="M34" i="3"/>
  <c r="M31" i="3" s="1"/>
  <c r="N32" i="3" l="1"/>
  <c r="M32" i="3"/>
  <c r="N30" i="3"/>
  <c r="M30" i="3"/>
  <c r="N24" i="3"/>
  <c r="M24" i="3"/>
  <c r="N18" i="3"/>
  <c r="M18" i="3"/>
  <c r="N15" i="3"/>
  <c r="M15" i="3"/>
  <c r="N14" i="3"/>
  <c r="M14" i="3"/>
  <c r="N3" i="3"/>
  <c r="M3" i="3"/>
</calcChain>
</file>

<file path=xl/sharedStrings.xml><?xml version="1.0" encoding="utf-8"?>
<sst xmlns="http://schemas.openxmlformats.org/spreadsheetml/2006/main" count="11373" uniqueCount="790">
  <si>
    <t xml:space="preserve">COPC Name                                              </t>
  </si>
  <si>
    <t xml:space="preserve">CAS #      </t>
  </si>
  <si>
    <t>MW [g/mole]</t>
  </si>
  <si>
    <t xml:space="preserve">Tm [K] </t>
  </si>
  <si>
    <t xml:space="preserve">Vp [atm]    </t>
  </si>
  <si>
    <t xml:space="preserve">S [mg/L] </t>
  </si>
  <si>
    <t>H [atm*m^3/mol]</t>
  </si>
  <si>
    <t>Da [cm^2/s]</t>
  </si>
  <si>
    <t>Dw [cm^2/s]</t>
  </si>
  <si>
    <t xml:space="preserve">Kow         </t>
  </si>
  <si>
    <t xml:space="preserve">Koc [mL/g] </t>
  </si>
  <si>
    <t>Kds [cm^3/g]</t>
  </si>
  <si>
    <t>Kdsw [L/kg]</t>
  </si>
  <si>
    <t>Kdbs [cm^3/g]</t>
  </si>
  <si>
    <t>Ksg [1/year]</t>
  </si>
  <si>
    <t xml:space="preserve">Fv         </t>
  </si>
  <si>
    <t xml:space="preserve">RCF         </t>
  </si>
  <si>
    <t xml:space="preserve">Br root veg </t>
  </si>
  <si>
    <t xml:space="preserve">Br leafy veg   </t>
  </si>
  <si>
    <t xml:space="preserve">Br forage      </t>
  </si>
  <si>
    <t>Bv leafy veg</t>
  </si>
  <si>
    <t xml:space="preserve">Bv forage   </t>
  </si>
  <si>
    <t>Ba milk [day/kg FW]</t>
  </si>
  <si>
    <t>Ba beef [day/kg FW]</t>
  </si>
  <si>
    <t>Ba pork [day/kg FW]</t>
  </si>
  <si>
    <t xml:space="preserve">BCF egg    </t>
  </si>
  <si>
    <t>BCF chicken</t>
  </si>
  <si>
    <t>BCF Fish [L/kg FW tissue]</t>
  </si>
  <si>
    <t>BAF fish [L/kg FW]</t>
  </si>
  <si>
    <t>BSAF fish</t>
  </si>
  <si>
    <t>RfD [mg/kg/day]</t>
  </si>
  <si>
    <t>Oral CSF [mg/kg/day]</t>
  </si>
  <si>
    <t>RFC [mg/m^3]</t>
  </si>
  <si>
    <t>Inhalation URF [1/(µg/m^3)]</t>
  </si>
  <si>
    <t>Inhalation CSF [1/(mg/kg/day/)]</t>
  </si>
  <si>
    <t>Chemical type</t>
  </si>
  <si>
    <t>Chemical Subtype</t>
  </si>
  <si>
    <t xml:space="preserve">Br Grain   </t>
  </si>
  <si>
    <t xml:space="preserve">Ba egg     </t>
  </si>
  <si>
    <t xml:space="preserve">Ba chicken </t>
  </si>
  <si>
    <t>Inhalation RFD</t>
  </si>
  <si>
    <t>TEF</t>
  </si>
  <si>
    <t>FACTIVE</t>
  </si>
  <si>
    <t xml:space="preserve">95-63-6    </t>
  </si>
  <si>
    <t xml:space="preserve">           </t>
  </si>
  <si>
    <t xml:space="preserve">                  </t>
  </si>
  <si>
    <t xml:space="preserve">         </t>
  </si>
  <si>
    <t xml:space="preserve">                    </t>
  </si>
  <si>
    <t xml:space="preserve">                           </t>
  </si>
  <si>
    <t xml:space="preserve">                               </t>
  </si>
  <si>
    <t xml:space="preserve">O            </t>
  </si>
  <si>
    <t xml:space="preserve">                </t>
  </si>
  <si>
    <t xml:space="preserve">              </t>
  </si>
  <si>
    <t xml:space="preserve">   </t>
  </si>
  <si>
    <t xml:space="preserve">T      </t>
  </si>
  <si>
    <t xml:space="preserve">106-88-7   </t>
  </si>
  <si>
    <t xml:space="preserve">               </t>
  </si>
  <si>
    <t xml:space="preserve">            </t>
  </si>
  <si>
    <t xml:space="preserve">106-99-0   </t>
  </si>
  <si>
    <t xml:space="preserve">112-34-5   </t>
  </si>
  <si>
    <t xml:space="preserve">       </t>
  </si>
  <si>
    <t xml:space="preserve">             </t>
  </si>
  <si>
    <t xml:space="preserve">                   </t>
  </si>
  <si>
    <t xml:space="preserve">                         </t>
  </si>
  <si>
    <t xml:space="preserve">7012-37-5  </t>
  </si>
  <si>
    <t xml:space="preserve">PCB             </t>
  </si>
  <si>
    <t xml:space="preserve">94-75-7    </t>
  </si>
  <si>
    <t xml:space="preserve">Ionizing        </t>
  </si>
  <si>
    <t xml:space="preserve">112-07-2   </t>
  </si>
  <si>
    <t xml:space="preserve">532-27-4   </t>
  </si>
  <si>
    <t xml:space="preserve">2METHYLNAPHTHALENE                                     </t>
  </si>
  <si>
    <t xml:space="preserve">91-57-6    </t>
  </si>
  <si>
    <t xml:space="preserve">PAH             </t>
  </si>
  <si>
    <t xml:space="preserve">2051-60-7  </t>
  </si>
  <si>
    <t xml:space="preserve">79-46-9    </t>
  </si>
  <si>
    <t xml:space="preserve">3METHYLCHOLANTHRENE                                    </t>
  </si>
  <si>
    <t xml:space="preserve">56-49-5    </t>
  </si>
  <si>
    <t xml:space="preserve">101-77-9   </t>
  </si>
  <si>
    <t xml:space="preserve">101-68-8   </t>
  </si>
  <si>
    <t xml:space="preserve">5METHYL CHRYSENE                                       </t>
  </si>
  <si>
    <t xml:space="preserve">3697-24-3  </t>
  </si>
  <si>
    <t xml:space="preserve">Acenaphthene                                           </t>
  </si>
  <si>
    <t xml:space="preserve">83-32-9    </t>
  </si>
  <si>
    <t xml:space="preserve">ACENAPHTHYLENE                                         </t>
  </si>
  <si>
    <t xml:space="preserve">208-96-8   </t>
  </si>
  <si>
    <t xml:space="preserve">Acetaldehyde                                           </t>
  </si>
  <si>
    <t xml:space="preserve">75-07-0    </t>
  </si>
  <si>
    <t xml:space="preserve">60-35-5    </t>
  </si>
  <si>
    <t xml:space="preserve">Acetone                                                </t>
  </si>
  <si>
    <t xml:space="preserve">67-64-1    </t>
  </si>
  <si>
    <t xml:space="preserve">Acetonitrile                                           </t>
  </si>
  <si>
    <t xml:space="preserve">75-05-8    </t>
  </si>
  <si>
    <t xml:space="preserve">Acetophenone                                           </t>
  </si>
  <si>
    <t xml:space="preserve">98-86-2    </t>
  </si>
  <si>
    <t xml:space="preserve">Acrolein                                               </t>
  </si>
  <si>
    <t xml:space="preserve">107-02-8   </t>
  </si>
  <si>
    <t xml:space="preserve">79-06-1    </t>
  </si>
  <si>
    <t xml:space="preserve">79-10-7    </t>
  </si>
  <si>
    <t xml:space="preserve">Acrylonitrile                                          </t>
  </si>
  <si>
    <t xml:space="preserve">107-13-1   </t>
  </si>
  <si>
    <t xml:space="preserve">ALDEHYDES                                              </t>
  </si>
  <si>
    <t xml:space="preserve">E761379    </t>
  </si>
  <si>
    <t xml:space="preserve">107-05-1   </t>
  </si>
  <si>
    <t xml:space="preserve">7664-41-7  </t>
  </si>
  <si>
    <t xml:space="preserve">Aniline                                                </t>
  </si>
  <si>
    <t xml:space="preserve">62-53-3    </t>
  </si>
  <si>
    <t xml:space="preserve">Anthracene                                             </t>
  </si>
  <si>
    <t xml:space="preserve">120-12-7   </t>
  </si>
  <si>
    <t xml:space="preserve">Antimony                                               </t>
  </si>
  <si>
    <t xml:space="preserve">7440-36-0  </t>
  </si>
  <si>
    <t xml:space="preserve">I            </t>
  </si>
  <si>
    <t xml:space="preserve">Metal           </t>
  </si>
  <si>
    <t xml:space="preserve">Arsenic                                                </t>
  </si>
  <si>
    <t xml:space="preserve">7440-38-2  </t>
  </si>
  <si>
    <t xml:space="preserve">Atrazine                                               </t>
  </si>
  <si>
    <t xml:space="preserve">1912-24-9  </t>
  </si>
  <si>
    <t xml:space="preserve">BENZ(BK)FL                                             </t>
  </si>
  <si>
    <t xml:space="preserve">E17133943  </t>
  </si>
  <si>
    <t xml:space="preserve">Benzaldehyde                                           </t>
  </si>
  <si>
    <t xml:space="preserve">100-52-7   </t>
  </si>
  <si>
    <t xml:space="preserve">Benzene                                                </t>
  </si>
  <si>
    <t xml:space="preserve">71-43-2    </t>
  </si>
  <si>
    <t xml:space="preserve">Benzo(a)anthracene                                     </t>
  </si>
  <si>
    <t xml:space="preserve">56-55-3    </t>
  </si>
  <si>
    <t xml:space="preserve">Benzo(a)pyrene                                         </t>
  </si>
  <si>
    <t xml:space="preserve">50-32-8    </t>
  </si>
  <si>
    <t xml:space="preserve">Benzo(b)fluoranthene                                   </t>
  </si>
  <si>
    <t xml:space="preserve">205-99-2   </t>
  </si>
  <si>
    <t xml:space="preserve">BENZO(E)PYRENE                                         </t>
  </si>
  <si>
    <t xml:space="preserve">192-97-2   </t>
  </si>
  <si>
    <t xml:space="preserve">BENZO(G,H,I)FLUORANTHENE                               </t>
  </si>
  <si>
    <t xml:space="preserve">203-12-3   </t>
  </si>
  <si>
    <t xml:space="preserve">BENZO(G,H,I)PERYLENE                                   </t>
  </si>
  <si>
    <t xml:space="preserve">191-24-2   </t>
  </si>
  <si>
    <t xml:space="preserve">BENZO(J)FLUO                                           </t>
  </si>
  <si>
    <t xml:space="preserve">205-82-3   </t>
  </si>
  <si>
    <t xml:space="preserve">Benzo(k)fluoranthene                                   </t>
  </si>
  <si>
    <t xml:space="preserve">207-08-9   </t>
  </si>
  <si>
    <t xml:space="preserve">BENZOFLUORANTHENES                                     </t>
  </si>
  <si>
    <t xml:space="preserve">56832-73-6 </t>
  </si>
  <si>
    <t xml:space="preserve">Benzyl chloride                                        </t>
  </si>
  <si>
    <t xml:space="preserve">100-44-7   </t>
  </si>
  <si>
    <t xml:space="preserve">Beryllium                                              </t>
  </si>
  <si>
    <t xml:space="preserve">7440-41-7  </t>
  </si>
  <si>
    <t xml:space="preserve">92-52-4    </t>
  </si>
  <si>
    <t xml:space="preserve">Bis(2-chlorethyl)ether                                 </t>
  </si>
  <si>
    <t xml:space="preserve">111-44-4   </t>
  </si>
  <si>
    <t xml:space="preserve">Bromoform (Tribromomethane)                            </t>
  </si>
  <si>
    <t xml:space="preserve">75-25-2    </t>
  </si>
  <si>
    <t xml:space="preserve">124-17-4   </t>
  </si>
  <si>
    <t xml:space="preserve">Butylbenzylphthalate                                   </t>
  </si>
  <si>
    <t xml:space="preserve">85-68-7    </t>
  </si>
  <si>
    <t xml:space="preserve">PH              </t>
  </si>
  <si>
    <t xml:space="preserve">BUTYRALDEHYDE                                          </t>
  </si>
  <si>
    <t xml:space="preserve">123-72-8   </t>
  </si>
  <si>
    <t xml:space="preserve">Cadmium                                                </t>
  </si>
  <si>
    <t xml:space="preserve">7440-43-9  </t>
  </si>
  <si>
    <t xml:space="preserve">CARBITOL                                               </t>
  </si>
  <si>
    <t xml:space="preserve">111-90-0   </t>
  </si>
  <si>
    <t xml:space="preserve">112-15-2   </t>
  </si>
  <si>
    <t xml:space="preserve">CARBON DIOXIDE                                         </t>
  </si>
  <si>
    <t xml:space="preserve">124-38-9   </t>
  </si>
  <si>
    <t xml:space="preserve">75-15-0    </t>
  </si>
  <si>
    <t xml:space="preserve">630-08-0   </t>
  </si>
  <si>
    <t xml:space="preserve">56-23-5    </t>
  </si>
  <si>
    <t xml:space="preserve">463-58-1   </t>
  </si>
  <si>
    <t xml:space="preserve">120-80-9   </t>
  </si>
  <si>
    <t xml:space="preserve">110-80-5   </t>
  </si>
  <si>
    <t xml:space="preserve">111-15-9   </t>
  </si>
  <si>
    <t xml:space="preserve">Chlorine                                               </t>
  </si>
  <si>
    <t xml:space="preserve">7782-50-5  </t>
  </si>
  <si>
    <t xml:space="preserve">CHLOROACETIC ACID                                      </t>
  </si>
  <si>
    <t xml:space="preserve">79-11-8    </t>
  </si>
  <si>
    <t xml:space="preserve">Chlorobenzene                                          </t>
  </si>
  <si>
    <t xml:space="preserve">108-90-7   </t>
  </si>
  <si>
    <t xml:space="preserve">Chloroethane                                           </t>
  </si>
  <si>
    <t xml:space="preserve">75-00-3    </t>
  </si>
  <si>
    <t xml:space="preserve">Chloroform (Trichloromethane)                          </t>
  </si>
  <si>
    <t xml:space="preserve">67-66-3    </t>
  </si>
  <si>
    <t xml:space="preserve">Chloronaphthalene,2-                                   </t>
  </si>
  <si>
    <t xml:space="preserve">91-58-7    </t>
  </si>
  <si>
    <t xml:space="preserve">126-99-8   </t>
  </si>
  <si>
    <t xml:space="preserve">CHROM6 CMP                                             </t>
  </si>
  <si>
    <t xml:space="preserve">E5242631   </t>
  </si>
  <si>
    <t xml:space="preserve">Chromium                                               </t>
  </si>
  <si>
    <t xml:space="preserve">7440-47-3  </t>
  </si>
  <si>
    <t xml:space="preserve">CHROMIUM (III)                                         </t>
  </si>
  <si>
    <t xml:space="preserve">16065-83-1 </t>
  </si>
  <si>
    <t xml:space="preserve">Chromium, hexavalent                                   </t>
  </si>
  <si>
    <t xml:space="preserve">18540-29-9 </t>
  </si>
  <si>
    <t xml:space="preserve">Chrysene                                               </t>
  </si>
  <si>
    <t xml:space="preserve">218-01-9   </t>
  </si>
  <si>
    <t xml:space="preserve">7440-48-4  </t>
  </si>
  <si>
    <t xml:space="preserve">7440-50-8  </t>
  </si>
  <si>
    <t xml:space="preserve">CRESOL MIXED ISOMERS                                   </t>
  </si>
  <si>
    <t xml:space="preserve">1319-77-3  </t>
  </si>
  <si>
    <t xml:space="preserve">Cresol, m-                                             </t>
  </si>
  <si>
    <t xml:space="preserve">108-39-4   </t>
  </si>
  <si>
    <t xml:space="preserve">Cresol, o-                                             </t>
  </si>
  <si>
    <t xml:space="preserve">95-48-7    </t>
  </si>
  <si>
    <t xml:space="preserve">Cresol, p-                                             </t>
  </si>
  <si>
    <t xml:space="preserve">106-44-5   </t>
  </si>
  <si>
    <t xml:space="preserve">CROTONALDEHYDE                                         </t>
  </si>
  <si>
    <t xml:space="preserve">123-73-9   </t>
  </si>
  <si>
    <t xml:space="preserve">Cumene (Isopropylbenzene)                              </t>
  </si>
  <si>
    <t xml:space="preserve">98-82-8    </t>
  </si>
  <si>
    <t xml:space="preserve">57-12-5    </t>
  </si>
  <si>
    <t xml:space="preserve">53-70-3    </t>
  </si>
  <si>
    <t xml:space="preserve">DIBENZ(AE)PY                                           </t>
  </si>
  <si>
    <t xml:space="preserve">192-65-4   </t>
  </si>
  <si>
    <t xml:space="preserve">DIBENZ(AH)PY                                           </t>
  </si>
  <si>
    <t xml:space="preserve">189-64-0   </t>
  </si>
  <si>
    <t xml:space="preserve">DIBENZ(AI)PY                                           </t>
  </si>
  <si>
    <t xml:space="preserve">189-55-9   </t>
  </si>
  <si>
    <t xml:space="preserve">DIBENZ(AJ)AC                                           </t>
  </si>
  <si>
    <t xml:space="preserve">224-42-0   </t>
  </si>
  <si>
    <t xml:space="preserve">DIBENZ(AL)PY                                           </t>
  </si>
  <si>
    <t xml:space="preserve">191-30-0   </t>
  </si>
  <si>
    <t xml:space="preserve">132-64-9   </t>
  </si>
  <si>
    <t xml:space="preserve">F               </t>
  </si>
  <si>
    <t xml:space="preserve">Dibromo-3-chloropropane, 1,2-                          </t>
  </si>
  <si>
    <t xml:space="preserve">96-12-8    </t>
  </si>
  <si>
    <t xml:space="preserve">Dichlorobenzene, 1,2-                                  </t>
  </si>
  <si>
    <t xml:space="preserve">95-50-1    </t>
  </si>
  <si>
    <t xml:space="preserve">Dichlorobenzene, 1,3-                                  </t>
  </si>
  <si>
    <t xml:space="preserve">541-73-1   </t>
  </si>
  <si>
    <t xml:space="preserve">Dichlorobenzene,1,4-                                   </t>
  </si>
  <si>
    <t xml:space="preserve">106-46-7   </t>
  </si>
  <si>
    <t xml:space="preserve">25321-22-6 </t>
  </si>
  <si>
    <t xml:space="preserve">Dichloroethane 1,1-                                    </t>
  </si>
  <si>
    <t xml:space="preserve">75-34-3    </t>
  </si>
  <si>
    <t xml:space="preserve">Dichloroethane, 1,2- (Ethylene Dichloride)             </t>
  </si>
  <si>
    <t xml:space="preserve">107-06-2   </t>
  </si>
  <si>
    <t xml:space="preserve">Dichloroethylene 1,1-                                  </t>
  </si>
  <si>
    <t xml:space="preserve">75-35-4    </t>
  </si>
  <si>
    <t xml:space="preserve">Dichloroethylene, cis-1,2-                             </t>
  </si>
  <si>
    <t xml:space="preserve">156-59-2   </t>
  </si>
  <si>
    <t xml:space="preserve">Dichloropropane, 1,2-                                  </t>
  </si>
  <si>
    <t xml:space="preserve">78-87-5    </t>
  </si>
  <si>
    <t xml:space="preserve">Dichloropropene, 1,3- (cis)                            </t>
  </si>
  <si>
    <t xml:space="preserve">542-75-6   </t>
  </si>
  <si>
    <t xml:space="preserve">Dichlorvos                                             </t>
  </si>
  <si>
    <t xml:space="preserve">62-73-7    </t>
  </si>
  <si>
    <t xml:space="preserve">10061-01-5 </t>
  </si>
  <si>
    <t xml:space="preserve">111-42-2   </t>
  </si>
  <si>
    <t xml:space="preserve">64-67-5    </t>
  </si>
  <si>
    <t xml:space="preserve">131-11-3   </t>
  </si>
  <si>
    <t xml:space="preserve">77-78-1    </t>
  </si>
  <si>
    <t xml:space="preserve">121-69-7   </t>
  </si>
  <si>
    <t xml:space="preserve">DIMETHYLBENZ(A)ANTHRACENE                              </t>
  </si>
  <si>
    <t xml:space="preserve">57-97-6    </t>
  </si>
  <si>
    <t xml:space="preserve">68-12-2    </t>
  </si>
  <si>
    <t xml:space="preserve">Dinitrophenol, 2,4-                                    </t>
  </si>
  <si>
    <t xml:space="preserve">51-28-5    </t>
  </si>
  <si>
    <t xml:space="preserve">Dinitrotoluene, 2,4-                                   </t>
  </si>
  <si>
    <t xml:space="preserve">121-14-2   </t>
  </si>
  <si>
    <t xml:space="preserve">Di-n-octylphthalate                                    </t>
  </si>
  <si>
    <t xml:space="preserve">117-84-0   </t>
  </si>
  <si>
    <t xml:space="preserve">Dioxane, 1,4-                                          </t>
  </si>
  <si>
    <t xml:space="preserve">123-91-1   </t>
  </si>
  <si>
    <t xml:space="preserve">DIOXN 2378EQ                                           </t>
  </si>
  <si>
    <t xml:space="preserve">E17000407  </t>
  </si>
  <si>
    <t xml:space="preserve">D               </t>
  </si>
  <si>
    <t xml:space="preserve">Epichlorohydrin (1-Chloro-2,3- epoxypropane)           </t>
  </si>
  <si>
    <t xml:space="preserve">106-89-8   </t>
  </si>
  <si>
    <t xml:space="preserve">140-88-5   </t>
  </si>
  <si>
    <t xml:space="preserve">Ethylbenzene                                           </t>
  </si>
  <si>
    <t xml:space="preserve">100-41-4   </t>
  </si>
  <si>
    <t xml:space="preserve">Ethylene Dibromide                                     </t>
  </si>
  <si>
    <t xml:space="preserve">106-93-4   </t>
  </si>
  <si>
    <t xml:space="preserve">107-21-1   </t>
  </si>
  <si>
    <t xml:space="preserve">75-21-8    </t>
  </si>
  <si>
    <t xml:space="preserve">117-81-7   </t>
  </si>
  <si>
    <t xml:space="preserve">FINE MNRLFIB                                           </t>
  </si>
  <si>
    <t xml:space="preserve">E649533    </t>
  </si>
  <si>
    <t xml:space="preserve">Fluoranthene                                           </t>
  </si>
  <si>
    <t xml:space="preserve">206-44-0   </t>
  </si>
  <si>
    <t xml:space="preserve">Fluorene                                               </t>
  </si>
  <si>
    <t xml:space="preserve">86-73-7    </t>
  </si>
  <si>
    <t xml:space="preserve">Formaldehyde                                           </t>
  </si>
  <si>
    <t xml:space="preserve">50-00-0    </t>
  </si>
  <si>
    <t xml:space="preserve">E651141    </t>
  </si>
  <si>
    <t xml:space="preserve">HeptaCDD, 1,2,3,4,6,7,8-                               </t>
  </si>
  <si>
    <t xml:space="preserve">35822-46-9 </t>
  </si>
  <si>
    <t xml:space="preserve">HeptaCDF, 1,2,3,4,6,7,8-                               </t>
  </si>
  <si>
    <t xml:space="preserve">67562-39-4 </t>
  </si>
  <si>
    <t xml:space="preserve">HeptaCDF, 1,2,3,4,7,8,9-                               </t>
  </si>
  <si>
    <t xml:space="preserve">55673-89-7 </t>
  </si>
  <si>
    <t xml:space="preserve">28655-71-2 </t>
  </si>
  <si>
    <t xml:space="preserve">HexaCDD, 1,2,3,4,7,8-                                  </t>
  </si>
  <si>
    <t xml:space="preserve">39227-28-6 </t>
  </si>
  <si>
    <t xml:space="preserve">HexaCDD, 1,2,3,6,7,8-                                  </t>
  </si>
  <si>
    <t xml:space="preserve">57653-85-7 </t>
  </si>
  <si>
    <t xml:space="preserve">HexaCDD, 1,2,3,7,8,9-                                  </t>
  </si>
  <si>
    <t xml:space="preserve">19408-74-3 </t>
  </si>
  <si>
    <t xml:space="preserve">HexaCDF, 1,2,3,4,7,8-                                  </t>
  </si>
  <si>
    <t xml:space="preserve">70648-26-9 </t>
  </si>
  <si>
    <t xml:space="preserve">HexaCDF, 1,2,3,6,7,8-                                  </t>
  </si>
  <si>
    <t xml:space="preserve">57117-44-9 </t>
  </si>
  <si>
    <t xml:space="preserve">HexaCDF, 1,2,3,7,8,9-                                  </t>
  </si>
  <si>
    <t xml:space="preserve">72918-21-9 </t>
  </si>
  <si>
    <t xml:space="preserve">HexaCDF, 2,3,4,6,7,8-                                  </t>
  </si>
  <si>
    <t xml:space="preserve">60851-34-5 </t>
  </si>
  <si>
    <t xml:space="preserve">Hexachloro-1,3-butadiene (Perchlorobutadiene)          </t>
  </si>
  <si>
    <t xml:space="preserve">87-68-3    </t>
  </si>
  <si>
    <t xml:space="preserve">Hexachlorobenzene                                      </t>
  </si>
  <si>
    <t xml:space="preserve">118-74-1   </t>
  </si>
  <si>
    <t xml:space="preserve">Hexachlorobiphenyls, Total                             </t>
  </si>
  <si>
    <t xml:space="preserve">26601-64-9 </t>
  </si>
  <si>
    <t xml:space="preserve">Hexachlorocyclopentadiene                              </t>
  </si>
  <si>
    <t xml:space="preserve">77-47-4    </t>
  </si>
  <si>
    <t xml:space="preserve">Hexachloroethane (Perchloroethane)                     </t>
  </si>
  <si>
    <t xml:space="preserve">67-72-1    </t>
  </si>
  <si>
    <t xml:space="preserve">822-06-0   </t>
  </si>
  <si>
    <t xml:space="preserve">112-25-4   </t>
  </si>
  <si>
    <t xml:space="preserve">HYDRAZINE                                              </t>
  </si>
  <si>
    <t xml:space="preserve">302-01-2   </t>
  </si>
  <si>
    <t xml:space="preserve">7647-01-0  </t>
  </si>
  <si>
    <t xml:space="preserve">7664-39-3  </t>
  </si>
  <si>
    <t xml:space="preserve">123-31-9   </t>
  </si>
  <si>
    <t xml:space="preserve">Indeno(1,2,3-cd) pyrene                                </t>
  </si>
  <si>
    <t xml:space="preserve">193-39-5   </t>
  </si>
  <si>
    <t xml:space="preserve">Isophorone                                             </t>
  </si>
  <si>
    <t xml:space="preserve">78-59-1    </t>
  </si>
  <si>
    <t xml:space="preserve">Lead                                                   </t>
  </si>
  <si>
    <t xml:space="preserve">7439-92-1  </t>
  </si>
  <si>
    <t xml:space="preserve">108-31-6   </t>
  </si>
  <si>
    <t xml:space="preserve">7439-96-5  </t>
  </si>
  <si>
    <t xml:space="preserve">7487-94-7  </t>
  </si>
  <si>
    <t xml:space="preserve">Divalent        </t>
  </si>
  <si>
    <t xml:space="preserve">Mercury                                                </t>
  </si>
  <si>
    <t xml:space="preserve">7439-97-6  </t>
  </si>
  <si>
    <t xml:space="preserve">74-82-8    </t>
  </si>
  <si>
    <t xml:space="preserve">Methanol                                               </t>
  </si>
  <si>
    <t xml:space="preserve">67-56-1    </t>
  </si>
  <si>
    <t xml:space="preserve">74-83-9    </t>
  </si>
  <si>
    <t xml:space="preserve">METHYL CARBITOL                                        </t>
  </si>
  <si>
    <t xml:space="preserve">111-77-3   </t>
  </si>
  <si>
    <t xml:space="preserve">Methyl Cellosolve Acetate                              </t>
  </si>
  <si>
    <t xml:space="preserve">110-49-6   </t>
  </si>
  <si>
    <t xml:space="preserve">74-87-3    </t>
  </si>
  <si>
    <t xml:space="preserve">78-93-3    </t>
  </si>
  <si>
    <t xml:space="preserve">METHYL HYDRAZINE                                       </t>
  </si>
  <si>
    <t xml:space="preserve">60-34-4    </t>
  </si>
  <si>
    <t xml:space="preserve">METHYL IODIDE                                          </t>
  </si>
  <si>
    <t xml:space="preserve">74-88-4    </t>
  </si>
  <si>
    <t xml:space="preserve">108-10-1   </t>
  </si>
  <si>
    <t xml:space="preserve">22967-92-6 </t>
  </si>
  <si>
    <t xml:space="preserve">80-62-6    </t>
  </si>
  <si>
    <t xml:space="preserve">1634-04-4  </t>
  </si>
  <si>
    <t xml:space="preserve">METHYLANTHRACENES                                      </t>
  </si>
  <si>
    <t xml:space="preserve">26914-18-1 </t>
  </si>
  <si>
    <t xml:space="preserve">75-09-2    </t>
  </si>
  <si>
    <t xml:space="preserve">METHYLNAPHT1                                           </t>
  </si>
  <si>
    <t xml:space="preserve">90-12-0    </t>
  </si>
  <si>
    <t xml:space="preserve">Naphthalene                                            </t>
  </si>
  <si>
    <t xml:space="preserve">91-20-3    </t>
  </si>
  <si>
    <t xml:space="preserve">110-54-3   </t>
  </si>
  <si>
    <t xml:space="preserve">112-59-4   </t>
  </si>
  <si>
    <t xml:space="preserve">Nickel                                                 </t>
  </si>
  <si>
    <t xml:space="preserve">7440-02-0  </t>
  </si>
  <si>
    <t xml:space="preserve">Nitrobenzene                                           </t>
  </si>
  <si>
    <t xml:space="preserve">98-95-3    </t>
  </si>
  <si>
    <t xml:space="preserve">Nitrophenol, 4-                                        </t>
  </si>
  <si>
    <t xml:space="preserve">100-02-7   </t>
  </si>
  <si>
    <t xml:space="preserve">62-75-9    </t>
  </si>
  <si>
    <t xml:space="preserve">NOX                                                    </t>
  </si>
  <si>
    <t xml:space="preserve">E17134099  </t>
  </si>
  <si>
    <t xml:space="preserve">OctaCDD, 1,2,3,4,6,7,8,9-                              </t>
  </si>
  <si>
    <t xml:space="preserve">3268-87-9  </t>
  </si>
  <si>
    <t xml:space="preserve">OctaCDF, 1,2,3,4,6,7,8,9-                              </t>
  </si>
  <si>
    <t xml:space="preserve">39001-02-0 </t>
  </si>
  <si>
    <t xml:space="preserve">PentaCDD, 1,2,3,7,8-                                   </t>
  </si>
  <si>
    <t xml:space="preserve">40321-76-4 </t>
  </si>
  <si>
    <t xml:space="preserve">PentaCDF, 1,2,3,7,8-                                   </t>
  </si>
  <si>
    <t xml:space="preserve">57117-41-6 </t>
  </si>
  <si>
    <t xml:space="preserve">PentaCDF, 2,3,4,7,8-                                   </t>
  </si>
  <si>
    <t xml:space="preserve">57117-31-4 </t>
  </si>
  <si>
    <t xml:space="preserve">25429-29-2 </t>
  </si>
  <si>
    <t xml:space="preserve">Pentachloronitrobenzene (PCNB)                         </t>
  </si>
  <si>
    <t xml:space="preserve">82-68-8    </t>
  </si>
  <si>
    <t xml:space="preserve">Pentachlorophenol                                      </t>
  </si>
  <si>
    <t xml:space="preserve">87-86-5    </t>
  </si>
  <si>
    <t xml:space="preserve">PERYLENE                                               </t>
  </si>
  <si>
    <t xml:space="preserve">198-55-0   </t>
  </si>
  <si>
    <t xml:space="preserve">122-99-6   </t>
  </si>
  <si>
    <t xml:space="preserve">Phenanthrene                                           </t>
  </si>
  <si>
    <t xml:space="preserve">85-01-8    </t>
  </si>
  <si>
    <t xml:space="preserve">Phenol                                                 </t>
  </si>
  <si>
    <t xml:space="preserve">108-95-2   </t>
  </si>
  <si>
    <t xml:space="preserve">7803-51-2  </t>
  </si>
  <si>
    <t xml:space="preserve">7723-14-0  </t>
  </si>
  <si>
    <t>Phthalic anhydride (1,2-Benzene dicarboxylic anhydride)</t>
  </si>
  <si>
    <t xml:space="preserve">85-44-9    </t>
  </si>
  <si>
    <t xml:space="preserve">PM                                                     </t>
  </si>
  <si>
    <t xml:space="preserve">E1647593   </t>
  </si>
  <si>
    <t xml:space="preserve">PM10                                                   </t>
  </si>
  <si>
    <t xml:space="preserve">E1647619   </t>
  </si>
  <si>
    <t xml:space="preserve">MDPM25     </t>
  </si>
  <si>
    <t xml:space="preserve">PM2.5,PRIMRY                                           </t>
  </si>
  <si>
    <t xml:space="preserve">E1647635   </t>
  </si>
  <si>
    <t xml:space="preserve">PM2.5,SECONDARY                                        </t>
  </si>
  <si>
    <t xml:space="preserve">E1647636   </t>
  </si>
  <si>
    <t xml:space="preserve">1336-36-3  </t>
  </si>
  <si>
    <t xml:space="preserve">POM                                                    </t>
  </si>
  <si>
    <t xml:space="preserve">E649707    </t>
  </si>
  <si>
    <t xml:space="preserve">PPHENYLENEDIAMINE                                      </t>
  </si>
  <si>
    <t xml:space="preserve">106-50-3   </t>
  </si>
  <si>
    <t xml:space="preserve">PROPIONALDEHYDE                                        </t>
  </si>
  <si>
    <t xml:space="preserve">123-38-6   </t>
  </si>
  <si>
    <t xml:space="preserve">2807-30-9  </t>
  </si>
  <si>
    <t xml:space="preserve">75-56-9    </t>
  </si>
  <si>
    <t xml:space="preserve">Pyrene                                                 </t>
  </si>
  <si>
    <t xml:space="preserve">129-00-0   </t>
  </si>
  <si>
    <t xml:space="preserve">106-51-4   </t>
  </si>
  <si>
    <t xml:space="preserve">Selenium                                               </t>
  </si>
  <si>
    <t xml:space="preserve">7782-49-2  </t>
  </si>
  <si>
    <t xml:space="preserve">Styrene                                                </t>
  </si>
  <si>
    <t xml:space="preserve">100-42-5   </t>
  </si>
  <si>
    <t xml:space="preserve">TetraCDD, 2,3,7,8-                                     </t>
  </si>
  <si>
    <t xml:space="preserve">1746-01-6  </t>
  </si>
  <si>
    <t xml:space="preserve">TetraCDF, 2,3,7,8-                                     </t>
  </si>
  <si>
    <t xml:space="preserve">51207-31-9 </t>
  </si>
  <si>
    <t xml:space="preserve">Tetrachlorobiphenyls, Total                            </t>
  </si>
  <si>
    <t xml:space="preserve">26914-33-0 </t>
  </si>
  <si>
    <t xml:space="preserve">Tetrachloroethane, 1,1,2,2-                            </t>
  </si>
  <si>
    <t xml:space="preserve">79-34-5    </t>
  </si>
  <si>
    <t xml:space="preserve">Tetrachloroethylene (Perchloroethylene)                </t>
  </si>
  <si>
    <t xml:space="preserve">127-18-4   </t>
  </si>
  <si>
    <t xml:space="preserve">Toluene                                                </t>
  </si>
  <si>
    <t xml:space="preserve">108-88-3   </t>
  </si>
  <si>
    <t xml:space="preserve">584-84-9   </t>
  </si>
  <si>
    <t xml:space="preserve">Toluidine, o-                                          </t>
  </si>
  <si>
    <t xml:space="preserve">95-53-4    </t>
  </si>
  <si>
    <t xml:space="preserve">TOTAL PAH                                              </t>
  </si>
  <si>
    <t>130498-29-2</t>
  </si>
  <si>
    <t xml:space="preserve">Trichlorobenzene, 1,2,4-                               </t>
  </si>
  <si>
    <t xml:space="preserve">120-82-1   </t>
  </si>
  <si>
    <t xml:space="preserve">Trichloroethane, 1,1,1-                                </t>
  </si>
  <si>
    <t xml:space="preserve">71-55-6    </t>
  </si>
  <si>
    <t xml:space="preserve">Trichloroethane, 1,1,2-                                </t>
  </si>
  <si>
    <t xml:space="preserve">79-00-5    </t>
  </si>
  <si>
    <t xml:space="preserve">Trichloroethylene                                      </t>
  </si>
  <si>
    <t xml:space="preserve">79-01-6    </t>
  </si>
  <si>
    <t xml:space="preserve">Trichlorofluoromethane (Freon 11)                      </t>
  </si>
  <si>
    <t xml:space="preserve">75-69-4    </t>
  </si>
  <si>
    <t xml:space="preserve">Trichlorophenol, 2,4,5-                                </t>
  </si>
  <si>
    <t xml:space="preserve">95-95-4    </t>
  </si>
  <si>
    <t xml:space="preserve">Trichlorophenol, 2,4,6-                                </t>
  </si>
  <si>
    <t xml:space="preserve">88-06-2    </t>
  </si>
  <si>
    <t xml:space="preserve">TRICHLOROTRIFLUOROMETHANE (CFC113, R113)               </t>
  </si>
  <si>
    <t xml:space="preserve">76-13-1    </t>
  </si>
  <si>
    <t xml:space="preserve">121-44-8   </t>
  </si>
  <si>
    <t xml:space="preserve">1582-09-8  </t>
  </si>
  <si>
    <t xml:space="preserve">TRIMETHYLBENZENE                                       </t>
  </si>
  <si>
    <t xml:space="preserve">25551-13-7 </t>
  </si>
  <si>
    <t xml:space="preserve">Trimethylbenzene, 1,3,5-                               </t>
  </si>
  <si>
    <t xml:space="preserve">108-67-8   </t>
  </si>
  <si>
    <t xml:space="preserve">Vinyl Acetate                                          </t>
  </si>
  <si>
    <t xml:space="preserve">108-05-4   </t>
  </si>
  <si>
    <t xml:space="preserve">Vinyl Chloride                                         </t>
  </si>
  <si>
    <t xml:space="preserve">75-01-4    </t>
  </si>
  <si>
    <t xml:space="preserve">E761346    </t>
  </si>
  <si>
    <t xml:space="preserve">XYLENES (MIXED ISOMERS)                                </t>
  </si>
  <si>
    <t xml:space="preserve">1330-20-7  </t>
  </si>
  <si>
    <t>Nitrogen Dioxide</t>
  </si>
  <si>
    <t>10102-44-0</t>
  </si>
  <si>
    <t>in EI_checked</t>
  </si>
  <si>
    <t>in point source Eis</t>
  </si>
  <si>
    <t>in PAH grant analyte list (Community Air Toxics Grant)</t>
  </si>
  <si>
    <t>DIBENZ(AH)AC</t>
  </si>
  <si>
    <t>DIBENZ(CG)CA</t>
  </si>
  <si>
    <t>METHYLANTHR</t>
  </si>
  <si>
    <t>in point source Ei</t>
  </si>
  <si>
    <t>NOT in the point nor NonPoint EI</t>
  </si>
  <si>
    <t xml:space="preserve">Dibenzo(a,h)anthracene                                  </t>
  </si>
  <si>
    <t>Nitropyrene, 1-</t>
  </si>
  <si>
    <t>5522-43-0</t>
  </si>
  <si>
    <t>624-83-9</t>
  </si>
  <si>
    <t>84-74-2</t>
  </si>
  <si>
    <t>7446-09-5</t>
  </si>
  <si>
    <t>593-60-2</t>
  </si>
  <si>
    <t>92-67-1</t>
  </si>
  <si>
    <t>Anisidine,O-</t>
  </si>
  <si>
    <t>Benzidine</t>
  </si>
  <si>
    <t>92-87-5</t>
  </si>
  <si>
    <t>90-04-0</t>
  </si>
  <si>
    <t>Butyl Cellosolve</t>
  </si>
  <si>
    <t>Cyclohexane</t>
  </si>
  <si>
    <t>110-82-7</t>
  </si>
  <si>
    <t>Sulfuric Acid</t>
  </si>
  <si>
    <t>7664-93-9</t>
  </si>
  <si>
    <t>Dibutyl Phthalate</t>
  </si>
  <si>
    <t>Diethylene Glycol Dimethyl Ether</t>
  </si>
  <si>
    <t>111-96-6</t>
  </si>
  <si>
    <t>111-90-0</t>
  </si>
  <si>
    <t>Diethylene Glycol Monoethyl Ether</t>
  </si>
  <si>
    <t>Diethylene Glycol Monomethyl Ether</t>
  </si>
  <si>
    <t>111-77-3</t>
  </si>
  <si>
    <t>Dimethylaminoazobenzene</t>
  </si>
  <si>
    <t>60-11-7</t>
  </si>
  <si>
    <t>Dimethoxyethane 1,2-</t>
  </si>
  <si>
    <t>110-71-4</t>
  </si>
  <si>
    <t>151-56-4</t>
  </si>
  <si>
    <t>Pentafluoroethane 1,1,1,2,2- (HFC-125)</t>
  </si>
  <si>
    <t>354-33-6</t>
  </si>
  <si>
    <t>Tetrafluoroethane 1,1,1,2- (HFC-134a)</t>
  </si>
  <si>
    <t>Trifluoroethane 1,1,1- (HFC-143a)</t>
  </si>
  <si>
    <t>Difluoroethane 1,1- (HFC-152a)</t>
  </si>
  <si>
    <t>Difluoromethane (HFC-32)</t>
  </si>
  <si>
    <t>75-10-5</t>
  </si>
  <si>
    <t>75-37-6</t>
  </si>
  <si>
    <t>420-46-2</t>
  </si>
  <si>
    <t>811-97-2</t>
  </si>
  <si>
    <t>112-35-6</t>
  </si>
  <si>
    <t>Dimethyl Carbamoyl Chloride N,N-</t>
  </si>
  <si>
    <t>79-44-7</t>
  </si>
  <si>
    <t xml:space="preserve">Nitrosodimethylamine n-                                 </t>
  </si>
  <si>
    <t>Nitrosomorpholine N-</t>
  </si>
  <si>
    <t>59-89-2</t>
  </si>
  <si>
    <t>Nitrous Oxide</t>
  </si>
  <si>
    <t>10024-97-2</t>
  </si>
  <si>
    <t>Decachlorobiphenyl (PCB, 209)</t>
  </si>
  <si>
    <t>2051-24-3</t>
  </si>
  <si>
    <t>86508-42-1</t>
  </si>
  <si>
    <t>76-16-4</t>
  </si>
  <si>
    <t>75-73-0</t>
  </si>
  <si>
    <t>Tetrafluoromethane (PFC-14)</t>
  </si>
  <si>
    <t>Phenylenediamine N</t>
  </si>
  <si>
    <t>106-50-3</t>
  </si>
  <si>
    <t>Propylenimine 1,2-</t>
  </si>
  <si>
    <t>75-55-8</t>
  </si>
  <si>
    <t>Propane Sultone 1,3-</t>
  </si>
  <si>
    <t>Propoxyethylacetate, 2-</t>
  </si>
  <si>
    <t>Propylene Oxide</t>
  </si>
  <si>
    <t>Sulfur Hexafluoride</t>
  </si>
  <si>
    <t>2551-62-4</t>
  </si>
  <si>
    <t>1120-71-4</t>
  </si>
  <si>
    <t>20706-25-6</t>
  </si>
  <si>
    <t>Titanium Tetrachloride</t>
  </si>
  <si>
    <t>7550-45-0</t>
  </si>
  <si>
    <t>112-49-2</t>
  </si>
  <si>
    <t>Triethylene Glycol Dimethyl Ether</t>
  </si>
  <si>
    <t>Trifluralin</t>
  </si>
  <si>
    <t>Triethylamine</t>
  </si>
  <si>
    <t>Triglycol Monobutyl Ether</t>
  </si>
  <si>
    <t>143-22-6</t>
  </si>
  <si>
    <t>Trimethylpentane 2,2,4-</t>
  </si>
  <si>
    <t>540-84-1</t>
  </si>
  <si>
    <t>Vanadium</t>
  </si>
  <si>
    <t>7440-62-2</t>
  </si>
  <si>
    <t>Zinc</t>
  </si>
  <si>
    <t>226-36-8</t>
  </si>
  <si>
    <t>194-59-2</t>
  </si>
  <si>
    <t xml:space="preserve">Trimethylbenzene 1,2,4-                      </t>
  </si>
  <si>
    <t xml:space="preserve">Epoxybutane 1,2-                                  </t>
  </si>
  <si>
    <t xml:space="preserve">Butadiene 1,3-             </t>
  </si>
  <si>
    <t xml:space="preserve">Trichlorobiphenyl 2,4,4'-                          </t>
  </si>
  <si>
    <t>Chloroacetophenone 2-</t>
  </si>
  <si>
    <t xml:space="preserve">Methylnaphthalene 2-                                    </t>
  </si>
  <si>
    <t xml:space="preserve">Monochlorobiphenyl 2-                          </t>
  </si>
  <si>
    <t>Aminobiphenyl 4-</t>
  </si>
  <si>
    <t xml:space="preserve">Methylcholanthrene 3-                         </t>
  </si>
  <si>
    <t xml:space="preserve">Nitropropane 2-        </t>
  </si>
  <si>
    <t xml:space="preserve">Methylene Dianiline 4,4-                         </t>
  </si>
  <si>
    <t xml:space="preserve">Methylenediphenyl Diisocyanate 4,4-                   </t>
  </si>
  <si>
    <t xml:space="preserve">Methyl Chrysene 5-                                 </t>
  </si>
  <si>
    <t>Dichlorophenoxyacetic acid 2,4- (2,4-D)</t>
  </si>
  <si>
    <t>Allyl Chloride</t>
  </si>
  <si>
    <t xml:space="preserve">Ammonia   </t>
  </si>
  <si>
    <t>Acrylamide</t>
  </si>
  <si>
    <t>Acrylic Acid</t>
  </si>
  <si>
    <t>Acenaphthylene</t>
  </si>
  <si>
    <t>Dimethyl Sulfate</t>
  </si>
  <si>
    <t xml:space="preserve">Dimethylanil </t>
  </si>
  <si>
    <t xml:space="preserve">Dichloropropene,13C                                           </t>
  </si>
  <si>
    <t>Diethanolamine</t>
  </si>
  <si>
    <t xml:space="preserve">Diethyl Sulfate   </t>
  </si>
  <si>
    <t xml:space="preserve">Ethyl Acrylate                                      </t>
  </si>
  <si>
    <t xml:space="preserve">Ethylene Glycol                                  </t>
  </si>
  <si>
    <t>Ethylene Glycol Monomethyl Ether Acetate</t>
  </si>
  <si>
    <t>Ethylene Imine</t>
  </si>
  <si>
    <t xml:space="preserve">Dimethylformamide N,N                                 </t>
  </si>
  <si>
    <t>Dibenzofuran</t>
  </si>
  <si>
    <t>Dichlorobenzenes</t>
  </si>
  <si>
    <t>Acetamide</t>
  </si>
  <si>
    <t xml:space="preserve">Benzo(E)Pyrene                                        </t>
  </si>
  <si>
    <t>Benzo(G,H,I)Fluoranthene</t>
  </si>
  <si>
    <t>Benzo(G,H,I)Perylene</t>
  </si>
  <si>
    <t>Benzo(J)Fluoranthene</t>
  </si>
  <si>
    <t xml:space="preserve">Butyl Carbitol Acetate                            </t>
  </si>
  <si>
    <t xml:space="preserve">Carbitol Acetate                                   </t>
  </si>
  <si>
    <t xml:space="preserve">Carbon Monoxide                                 </t>
  </si>
  <si>
    <t xml:space="preserve">Carbonyl Sulfide                                   </t>
  </si>
  <si>
    <t>Catechol</t>
  </si>
  <si>
    <t>Cellosolve</t>
  </si>
  <si>
    <t>Chloroprene</t>
  </si>
  <si>
    <t xml:space="preserve">Chromium (III)                                         </t>
  </si>
  <si>
    <t>Cobalt</t>
  </si>
  <si>
    <t>Copper</t>
  </si>
  <si>
    <t xml:space="preserve">Cresol Mixed Isomers                               </t>
  </si>
  <si>
    <t>Cyanide</t>
  </si>
  <si>
    <t xml:space="preserve">Dibenzo(AE)Pyrene                                           </t>
  </si>
  <si>
    <t>Dibenzo(AH)Acridine</t>
  </si>
  <si>
    <t xml:space="preserve">Dibenzo(AH)Pyrene                                           </t>
  </si>
  <si>
    <t xml:space="preserve">Dibenzo(AI)Pyrene                                           </t>
  </si>
  <si>
    <t xml:space="preserve">Dibenzo(AJ)Acridine                                           </t>
  </si>
  <si>
    <t xml:space="preserve">Dibenzo(AL)Pyrene                                           </t>
  </si>
  <si>
    <t>Dibenzo(CG)Carbazole</t>
  </si>
  <si>
    <t xml:space="preserve">Dibenzo(a,h)Anthracene                                  </t>
  </si>
  <si>
    <t xml:space="preserve">Hexamethylene 1,6 Diisocyante               </t>
  </si>
  <si>
    <t xml:space="preserve">Hexyethanol 2-                                           </t>
  </si>
  <si>
    <t xml:space="preserve">Hydrogen Fluoride                              </t>
  </si>
  <si>
    <t>Hydroquinone</t>
  </si>
  <si>
    <t xml:space="preserve">Maleic Anhydride                             </t>
  </si>
  <si>
    <t>Manganese</t>
  </si>
  <si>
    <t xml:space="preserve">Methane            </t>
  </si>
  <si>
    <t xml:space="preserve">Methyl Hydrazine                              </t>
  </si>
  <si>
    <t xml:space="preserve">Methyl Methacrylate                            </t>
  </si>
  <si>
    <t xml:space="preserve">Methyl Tert Butyl Ether                          </t>
  </si>
  <si>
    <t xml:space="preserve">Methylnaphthalene 1-                                           </t>
  </si>
  <si>
    <t>NHexane</t>
  </si>
  <si>
    <t xml:space="preserve">NHexyl Carbitol                                 </t>
  </si>
  <si>
    <t xml:space="preserve">Perylene              </t>
  </si>
  <si>
    <t xml:space="preserve">Phenyl Cellosolve                                       </t>
  </si>
  <si>
    <t>Phosphine</t>
  </si>
  <si>
    <t xml:space="preserve">Phosphorus (Yellow OR White)                           </t>
  </si>
  <si>
    <t>PM2.5 Diesel</t>
  </si>
  <si>
    <t xml:space="preserve">Propyl Cellosolve                                 </t>
  </si>
  <si>
    <t xml:space="preserve">Quinone         </t>
  </si>
  <si>
    <t xml:space="preserve">Sulfur Dioxide                                     </t>
  </si>
  <si>
    <t>Biphenyl</t>
  </si>
  <si>
    <t xml:space="preserve">Carbon Disulfide                                       </t>
  </si>
  <si>
    <t xml:space="preserve">Carbon Tetrachloride                                   </t>
  </si>
  <si>
    <t xml:space="preserve">Diethylene Glycol Butyl Ether  </t>
  </si>
  <si>
    <t>Ethylene Glycol Monobutyl Ether Acetate</t>
  </si>
  <si>
    <t>Vinyl Bromide</t>
  </si>
  <si>
    <t>RfD Information Source</t>
  </si>
  <si>
    <t>CSF Information Source</t>
  </si>
  <si>
    <t>IRIS</t>
  </si>
  <si>
    <t>Cal EPA</t>
  </si>
  <si>
    <t>old EPA</t>
  </si>
  <si>
    <t>ATSDR Final</t>
  </si>
  <si>
    <t>IRIS (formaldehyde)</t>
  </si>
  <si>
    <t>PPRTV</t>
  </si>
  <si>
    <t>MDH</t>
  </si>
  <si>
    <t>HEAST, eliminate</t>
  </si>
  <si>
    <t>NJEPA</t>
  </si>
  <si>
    <t>Cal EPA( 1,4 dichlorobenzene)</t>
  </si>
  <si>
    <t>ATSDR Final (1,4 dichlorobenzene)</t>
  </si>
  <si>
    <t>Estimated for a TRI Document in 1997</t>
  </si>
  <si>
    <t xml:space="preserve">Dimethylbenz(a)Anthracene                         </t>
  </si>
  <si>
    <t>cannot find this one, eliminate</t>
  </si>
  <si>
    <t>ATSDR</t>
  </si>
  <si>
    <t>EPA recommended for mixtures in food</t>
  </si>
  <si>
    <t>Cal EPA, for inhalation, recommend removing</t>
  </si>
  <si>
    <t>EPA recommended for mixtures in food, recommend removing</t>
  </si>
  <si>
    <t>one reference says IRIS, but this value is not in IRIS. It si from Pennsylvania's remediation values. I recommend getting removing.</t>
  </si>
  <si>
    <t>MDH, based on most toxic congener</t>
  </si>
  <si>
    <t>could not find this value, recommend removing</t>
  </si>
  <si>
    <t>MDH (value for benzo(a)pyrene</t>
  </si>
  <si>
    <t>unknown, recommend removing</t>
  </si>
  <si>
    <t>Pennsylvania Remediation, recommend removal.</t>
  </si>
  <si>
    <t xml:space="preserve">Methyl Iodide                                          </t>
  </si>
  <si>
    <t>Oral CSF [mg/kg/day]-1</t>
  </si>
  <si>
    <t>IRIS, Aorclor 1016</t>
  </si>
  <si>
    <t>IRIS, Aroclor 1254</t>
  </si>
  <si>
    <t>EPA, recommend removing</t>
  </si>
  <si>
    <t>average of oral RFD for Aroclor 1254 and Aroclor 1016</t>
  </si>
  <si>
    <t>Triethylene Glycol Monomethyl Ether</t>
  </si>
  <si>
    <t>EPA, interim derived</t>
  </si>
  <si>
    <t xml:space="preserve">E1647635-2013 </t>
  </si>
  <si>
    <t>E1647619-2013</t>
  </si>
  <si>
    <t>PM10_2013_point</t>
  </si>
  <si>
    <t xml:space="preserve">PM2.5,PRIMRY_2013_point                          </t>
  </si>
  <si>
    <t xml:space="preserve">Carbon Monoxide_2013_point                   </t>
  </si>
  <si>
    <t>630-08-0-2013</t>
  </si>
  <si>
    <t xml:space="preserve">NOX_2013_point                                               </t>
  </si>
  <si>
    <t>Nitrogen Dioxide_2013_point</t>
  </si>
  <si>
    <t>10102-44-0-2013</t>
  </si>
  <si>
    <t>E17134099-2013</t>
  </si>
  <si>
    <t>7439-92-1-2013</t>
  </si>
  <si>
    <t xml:space="preserve">Lead_2013_point                                         </t>
  </si>
  <si>
    <t>7446-09-5-2013</t>
  </si>
  <si>
    <t xml:space="preserve">Sulfur Dioxide_2013_point                                </t>
  </si>
  <si>
    <t>Benzofluoranthenes, Unspeciated</t>
  </si>
  <si>
    <t xml:space="preserve">Dimethyl Phthalate                                     </t>
  </si>
  <si>
    <t>Aldehydes, Unspeciated</t>
  </si>
  <si>
    <t xml:space="preserve">DIOXN 2378EQ, Unspeciated                                  </t>
  </si>
  <si>
    <t xml:space="preserve">Ethylene Oxide                                         </t>
  </si>
  <si>
    <t xml:space="preserve">Glycol Ethers, Unspeciated                                     </t>
  </si>
  <si>
    <t xml:space="preserve">Heptachlorobiphenyls, Unspeciated                      </t>
  </si>
  <si>
    <t xml:space="preserve">Hexachlorobiphenyls, Unspeciated                       </t>
  </si>
  <si>
    <t xml:space="preserve">Hydrogen Chloride                                      </t>
  </si>
  <si>
    <t xml:space="preserve">Methyl Chloride (Chloromethane)                        </t>
  </si>
  <si>
    <t xml:space="preserve">Methyl Bromide (Bromomethane)                          </t>
  </si>
  <si>
    <t xml:space="preserve">Methyl Ethyl Ketone (2-Butanone)                       </t>
  </si>
  <si>
    <t xml:space="preserve">Mercuric Chloride                                      </t>
  </si>
  <si>
    <t xml:space="preserve">Methyl Isobutyl Ketone                                 </t>
  </si>
  <si>
    <t>Methyl Isocyanate</t>
  </si>
  <si>
    <t xml:space="preserve">Methyl Mercury                                         </t>
  </si>
  <si>
    <t xml:space="preserve">Methylanthracenes, Unspeciated     </t>
  </si>
  <si>
    <t xml:space="preserve">Methylene Chloride                                     </t>
  </si>
  <si>
    <t>Pentachlorobiphenyls, Unspeciated</t>
  </si>
  <si>
    <t>Perfluoro compounds (PFCs), Unspeciated</t>
  </si>
  <si>
    <t xml:space="preserve">Polychlorinate Biphenyls (PCBS), Unspeciated         </t>
  </si>
  <si>
    <t xml:space="preserve">Tetrachlorobiphenyls, Unspeciated                </t>
  </si>
  <si>
    <t>PAHs, Unspeciated</t>
  </si>
  <si>
    <t xml:space="preserve">VOCs, Unspeciated                                      </t>
  </si>
  <si>
    <t xml:space="preserve">Xylenes (Mixed Isomers)                           </t>
  </si>
  <si>
    <t xml:space="preserve">Chromium, Unspeciated                                         </t>
  </si>
  <si>
    <t xml:space="preserve">Chromium, Hexavalent                                   </t>
  </si>
  <si>
    <t>cannot find this value, eliminate</t>
  </si>
  <si>
    <t>HFC</t>
  </si>
  <si>
    <t>PH</t>
  </si>
  <si>
    <t>PFC</t>
  </si>
  <si>
    <t xml:space="preserve">Benzo(a)Anthracene                                     </t>
  </si>
  <si>
    <t xml:space="preserve">Benzo(a)Pyrene                                         </t>
  </si>
  <si>
    <t xml:space="preserve">Benzo(b)Fluoranthene                                   </t>
  </si>
  <si>
    <t xml:space="preserve">Benzo(k)Fluoranthene                                   </t>
  </si>
  <si>
    <t xml:space="preserve">Ethylhexyl Phthalate, Bis-2-   (DEHP)                </t>
  </si>
  <si>
    <t xml:space="preserve">Indeno(1,2,3-cd) Pyrene                                </t>
  </si>
  <si>
    <t>542-75-6</t>
  </si>
  <si>
    <t>Barium</t>
  </si>
  <si>
    <t>7440-39-3</t>
  </si>
  <si>
    <t>Benzo(B+K)Fluoranthene</t>
  </si>
  <si>
    <t xml:space="preserve">E17133943 </t>
  </si>
  <si>
    <t>Benzo(a)Fluoranthene</t>
  </si>
  <si>
    <t>203-33-8</t>
  </si>
  <si>
    <t>Benzo[c]Phenanthrene</t>
  </si>
  <si>
    <t>195-19-7</t>
  </si>
  <si>
    <t>Methylchrysenes</t>
  </si>
  <si>
    <t>41637-90-5</t>
  </si>
  <si>
    <t>Dichloropropene, 1,3-</t>
  </si>
  <si>
    <t>16672-39-2</t>
  </si>
  <si>
    <t>Di(Ethylene Glycol Monobutyl Ether) Phthalate</t>
  </si>
  <si>
    <t xml:space="preserve">Dimethylbenzidine, 3,3'-                             </t>
  </si>
  <si>
    <t xml:space="preserve">119-93-7 </t>
  </si>
  <si>
    <t xml:space="preserve">Methyl Cellosolve                  </t>
  </si>
  <si>
    <t>109-86-4</t>
  </si>
  <si>
    <t>Nitrobiphenyl 4-</t>
  </si>
  <si>
    <t>92-93-3</t>
  </si>
  <si>
    <t>Hexafluoroethane (PFC-116)</t>
  </si>
  <si>
    <t>Propylene</t>
  </si>
  <si>
    <t>115-07-1</t>
  </si>
  <si>
    <t>Methylpyrene 1-</t>
  </si>
  <si>
    <t>2381-21-7</t>
  </si>
  <si>
    <t>Methylbenzopyrene</t>
  </si>
  <si>
    <t>65357-69-9</t>
  </si>
  <si>
    <t>25551-13-7</t>
  </si>
  <si>
    <t>112-27-6</t>
  </si>
  <si>
    <t>Triethyleneglycol</t>
  </si>
  <si>
    <t>Trimethylbenzenes, Unspeciated</t>
  </si>
  <si>
    <t>MDH (surrogate from speciated trimethylbenzenes)</t>
  </si>
  <si>
    <t xml:space="preserve">Toluene 2,4 Diisocyante                           </t>
  </si>
  <si>
    <t>111-76-2</t>
  </si>
  <si>
    <t>7440-66-6</t>
  </si>
  <si>
    <t>Dichlorobiphenyl 4,4'-</t>
  </si>
  <si>
    <t>2050-68-2</t>
  </si>
  <si>
    <t>Dimethoxybenzidine, 3,3'-</t>
  </si>
  <si>
    <t>119-90-4</t>
  </si>
  <si>
    <t>surrogate (PCBs)</t>
  </si>
  <si>
    <t xml:space="preserve">MDPM25-2013 </t>
  </si>
  <si>
    <t>PM2.5 Diesel_2013_point</t>
  </si>
  <si>
    <t xml:space="preserve">VOCs, Unspeciated_2013_point                                  </t>
  </si>
  <si>
    <t xml:space="preserve">E761346-2013   </t>
  </si>
  <si>
    <t>E1647593-2013</t>
  </si>
  <si>
    <t>PM_2013_point</t>
  </si>
  <si>
    <t>MW</t>
  </si>
  <si>
    <t>TM</t>
  </si>
  <si>
    <t>Vp_atm</t>
  </si>
  <si>
    <t>S_mg_l</t>
  </si>
  <si>
    <t>H_atm_m3_mol</t>
  </si>
  <si>
    <t>Da_cm2_s</t>
  </si>
  <si>
    <t>Dw_cm2_s</t>
  </si>
  <si>
    <t>Koc_mL/g</t>
  </si>
  <si>
    <t>Kds_cm3_g</t>
  </si>
  <si>
    <t>Kdsw_L_kg</t>
  </si>
  <si>
    <t>Kdbs_cm3_g</t>
  </si>
  <si>
    <t>Ksg_1_year</t>
  </si>
  <si>
    <t>Ba milk_day_kg_FW</t>
  </si>
  <si>
    <t>Ba beef_day_kg_FW</t>
  </si>
  <si>
    <t>Ba pork_day_kg_FW</t>
  </si>
  <si>
    <t>BCF Fish-L_kg_FW_tissue</t>
  </si>
  <si>
    <t>BAF fish_L_kg_FW</t>
  </si>
  <si>
    <t>RfD_mg_kg_day</t>
  </si>
  <si>
    <t>Oral CSF_mg_kg_day-1</t>
  </si>
  <si>
    <t>RFC_mg_m3</t>
  </si>
  <si>
    <t>Inhalation_URF_µg_m3-1</t>
  </si>
  <si>
    <t>Inhalation CSF_mg_kg_day-1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</si>
</sst>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11" fontId="0" fillId="33" borderId="0" xfId="0" applyNumberFormat="1" applyFill="1"/>
    <xf numFmtId="0" fontId="0" fillId="0" borderId="0" xfId="0" applyFont="1" applyAlignment="1">
      <alignment vertical="center"/>
    </xf>
    <xf numFmtId="0" fontId="0" fillId="0" borderId="0" xfId="0" applyFont="1"/>
    <xf numFmtId="11" fontId="0" fillId="0" borderId="0" xfId="0" applyNumberFormat="1" applyFont="1"/>
    <xf numFmtId="0" fontId="0" fillId="0" borderId="0" xfId="0" applyFont="1" applyFill="1"/>
    <xf numFmtId="0" fontId="18" fillId="0" borderId="0" xfId="0" applyFont="1"/>
    <xf numFmtId="0" fontId="0" fillId="0" borderId="0" xfId="0" applyFont="1" applyFill="1" applyBorder="1"/>
    <xf numFmtId="49" fontId="0" fillId="0" borderId="0" xfId="0" applyNumberFormat="1" applyFont="1"/>
    <xf numFmtId="49" fontId="0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36"/>
  <sheetViews>
    <sheetView topLeftCell="A55" workbookViewId="0">
      <selection activeCell="A71" sqref="A71:XFD71"/>
    </sheetView>
  </sheetViews>
  <sheetFormatPr defaultRowHeight="15" x14ac:dyDescent="0.25"/>
  <cols>
    <col min="1" max="1" width="52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0" spans="7:40" x14ac:dyDescent="0.25">
      <c r="G20" s="1"/>
      <c r="I20" s="1"/>
      <c r="W20" s="1"/>
      <c r="X20" s="1"/>
      <c r="Y20" s="1"/>
      <c r="Z20" s="1"/>
      <c r="AH20" s="1"/>
      <c r="AM20" s="1"/>
      <c r="AN20" s="1"/>
    </row>
    <row r="29" spans="7:40" x14ac:dyDescent="0.25">
      <c r="G29" s="1"/>
      <c r="I29" s="1"/>
      <c r="W29" s="1"/>
      <c r="Z29" s="1"/>
      <c r="AG29" s="1"/>
      <c r="AH29" s="1"/>
      <c r="AM29" s="1"/>
      <c r="AN29" s="1"/>
    </row>
    <row r="36" spans="1:43" x14ac:dyDescent="0.25">
      <c r="A36" t="s">
        <v>114</v>
      </c>
      <c r="B36" t="s">
        <v>115</v>
      </c>
      <c r="C36">
        <v>216</v>
      </c>
      <c r="D36">
        <v>446</v>
      </c>
      <c r="E36" s="1">
        <v>3.9499999999999998E-10</v>
      </c>
      <c r="F36">
        <v>30</v>
      </c>
      <c r="G36" s="1">
        <v>2.3600000000000001E-9</v>
      </c>
      <c r="H36">
        <v>1E-3</v>
      </c>
      <c r="I36" s="1">
        <v>1.0000000000000001E-5</v>
      </c>
      <c r="J36">
        <v>398</v>
      </c>
      <c r="K36">
        <v>360</v>
      </c>
      <c r="L36">
        <v>3.6</v>
      </c>
      <c r="M36">
        <v>27</v>
      </c>
      <c r="N36">
        <v>14.4</v>
      </c>
      <c r="O36" t="s">
        <v>57</v>
      </c>
      <c r="P36">
        <v>0.95099999999999996</v>
      </c>
      <c r="Q36">
        <v>23.3</v>
      </c>
      <c r="R36">
        <v>6.49</v>
      </c>
      <c r="S36">
        <v>1.22</v>
      </c>
      <c r="T36">
        <v>1.22</v>
      </c>
      <c r="U36">
        <v>13900</v>
      </c>
      <c r="V36">
        <v>13900</v>
      </c>
      <c r="W36">
        <v>1.4300000000000001E-3</v>
      </c>
      <c r="X36">
        <v>6.7799999999999996E-3</v>
      </c>
      <c r="Y36">
        <v>8.2100000000000003E-3</v>
      </c>
      <c r="Z36">
        <v>3.2299999999999998E-3</v>
      </c>
      <c r="AA36" t="s">
        <v>44</v>
      </c>
      <c r="AB36">
        <v>9.59</v>
      </c>
      <c r="AC36" t="s">
        <v>45</v>
      </c>
      <c r="AD36" t="s">
        <v>46</v>
      </c>
      <c r="AE36">
        <v>3.5000000000000003E-2</v>
      </c>
      <c r="AF36">
        <v>0.222</v>
      </c>
      <c r="AG36" t="s">
        <v>57</v>
      </c>
      <c r="AH36" t="s">
        <v>48</v>
      </c>
      <c r="AI36" t="s">
        <v>49</v>
      </c>
      <c r="AJ36" t="s">
        <v>50</v>
      </c>
      <c r="AK36" t="s">
        <v>51</v>
      </c>
      <c r="AL36">
        <v>1.22</v>
      </c>
      <c r="AM36">
        <v>2.8600000000000001E-3</v>
      </c>
      <c r="AN36">
        <v>5.0000000000000001E-3</v>
      </c>
      <c r="AO36" t="s">
        <v>52</v>
      </c>
      <c r="AP36" t="s">
        <v>53</v>
      </c>
      <c r="AQ36" t="s">
        <v>54</v>
      </c>
    </row>
    <row r="38" spans="1:43" x14ac:dyDescent="0.25">
      <c r="G38" s="1"/>
      <c r="I38" s="1"/>
    </row>
    <row r="50" spans="1:43" x14ac:dyDescent="0.25">
      <c r="I50" s="1"/>
      <c r="W50" s="1"/>
      <c r="AG50" s="1"/>
    </row>
    <row r="58" spans="1:43" x14ac:dyDescent="0.25">
      <c r="A58" t="s">
        <v>157</v>
      </c>
      <c r="B58" t="s">
        <v>158</v>
      </c>
      <c r="C58">
        <v>134.17400000000001</v>
      </c>
      <c r="D58">
        <v>197.15</v>
      </c>
      <c r="E58">
        <v>1.65816E-4</v>
      </c>
      <c r="F58">
        <v>1000000</v>
      </c>
      <c r="G58" s="1">
        <v>2.22E-8</v>
      </c>
      <c r="H58" s="1">
        <v>7.2499999999999995E-2</v>
      </c>
      <c r="I58" s="1">
        <v>8.3899999999999993E-6</v>
      </c>
      <c r="J58">
        <v>0.28840315</v>
      </c>
      <c r="K58">
        <v>0.29475419800000002</v>
      </c>
      <c r="L58">
        <v>2.947542E-3</v>
      </c>
      <c r="M58">
        <v>2.2106565000000002E-2</v>
      </c>
      <c r="N58">
        <v>1.1790168E-2</v>
      </c>
      <c r="O58">
        <v>9.0337499999999995</v>
      </c>
      <c r="P58">
        <v>0.999996412</v>
      </c>
      <c r="Q58">
        <v>6.3968700859999998</v>
      </c>
      <c r="R58">
        <v>2170.2388380000002</v>
      </c>
      <c r="S58">
        <v>79.454774650000004</v>
      </c>
      <c r="T58">
        <v>79.454774650000004</v>
      </c>
      <c r="U58">
        <v>0.66836043999999994</v>
      </c>
      <c r="V58">
        <v>0.66836043999999994</v>
      </c>
      <c r="W58" s="1">
        <v>2.7300000000000001E-6</v>
      </c>
      <c r="X58" s="1">
        <v>1.29E-5</v>
      </c>
      <c r="Y58" s="1">
        <v>1.5699999999999999E-5</v>
      </c>
      <c r="Z58" t="s">
        <v>44</v>
      </c>
      <c r="AA58" t="s">
        <v>44</v>
      </c>
      <c r="AB58">
        <v>3.16227766</v>
      </c>
      <c r="AC58" t="s">
        <v>45</v>
      </c>
      <c r="AD58" t="s">
        <v>46</v>
      </c>
      <c r="AE58">
        <v>2</v>
      </c>
      <c r="AF58" t="s">
        <v>47</v>
      </c>
      <c r="AG58" t="s">
        <v>57</v>
      </c>
      <c r="AH58" t="s">
        <v>48</v>
      </c>
      <c r="AI58" t="s">
        <v>49</v>
      </c>
      <c r="AJ58" t="s">
        <v>50</v>
      </c>
      <c r="AK58" t="s">
        <v>51</v>
      </c>
      <c r="AL58">
        <v>79.454774650000004</v>
      </c>
      <c r="AM58" s="1">
        <v>5.4500000000000003E-6</v>
      </c>
      <c r="AN58" s="1">
        <v>9.5400000000000001E-6</v>
      </c>
      <c r="AO58" t="s">
        <v>52</v>
      </c>
      <c r="AP58" t="s">
        <v>53</v>
      </c>
      <c r="AQ58" t="s">
        <v>54</v>
      </c>
    </row>
    <row r="60" spans="1:43" x14ac:dyDescent="0.25">
      <c r="A60" t="s">
        <v>160</v>
      </c>
      <c r="B60" t="s">
        <v>161</v>
      </c>
      <c r="C60" t="s">
        <v>44</v>
      </c>
      <c r="D60" t="s">
        <v>60</v>
      </c>
      <c r="E60" t="s">
        <v>57</v>
      </c>
      <c r="F60" t="s">
        <v>46</v>
      </c>
      <c r="G60" t="s">
        <v>56</v>
      </c>
      <c r="H60" t="s">
        <v>44</v>
      </c>
      <c r="I60" t="s">
        <v>44</v>
      </c>
      <c r="J60" t="s">
        <v>57</v>
      </c>
      <c r="K60" t="s">
        <v>44</v>
      </c>
      <c r="L60" t="s">
        <v>57</v>
      </c>
      <c r="M60" t="s">
        <v>44</v>
      </c>
      <c r="N60" t="s">
        <v>61</v>
      </c>
      <c r="O60" t="s">
        <v>57</v>
      </c>
      <c r="P60" t="s">
        <v>44</v>
      </c>
      <c r="Q60" t="s">
        <v>57</v>
      </c>
      <c r="R60" t="s">
        <v>57</v>
      </c>
      <c r="S60" t="s">
        <v>56</v>
      </c>
      <c r="T60" t="s">
        <v>56</v>
      </c>
      <c r="U60" t="s">
        <v>57</v>
      </c>
      <c r="V60" t="s">
        <v>57</v>
      </c>
      <c r="W60" t="s">
        <v>62</v>
      </c>
      <c r="X60" t="s">
        <v>62</v>
      </c>
      <c r="Y60" t="s">
        <v>62</v>
      </c>
      <c r="Z60" t="s">
        <v>44</v>
      </c>
      <c r="AA60" t="s">
        <v>44</v>
      </c>
      <c r="AB60" t="s">
        <v>63</v>
      </c>
      <c r="AC60" t="s">
        <v>45</v>
      </c>
      <c r="AD60" t="s">
        <v>46</v>
      </c>
      <c r="AE60" t="s">
        <v>56</v>
      </c>
      <c r="AF60" t="s">
        <v>47</v>
      </c>
      <c r="AG60" t="s">
        <v>57</v>
      </c>
      <c r="AH60" t="s">
        <v>48</v>
      </c>
      <c r="AI60" t="s">
        <v>49</v>
      </c>
      <c r="AJ60" t="s">
        <v>50</v>
      </c>
      <c r="AK60" t="s">
        <v>51</v>
      </c>
      <c r="AL60" t="s">
        <v>44</v>
      </c>
      <c r="AM60" t="s">
        <v>44</v>
      </c>
      <c r="AN60" t="s">
        <v>44</v>
      </c>
      <c r="AO60" t="s">
        <v>52</v>
      </c>
      <c r="AP60" t="s">
        <v>53</v>
      </c>
      <c r="AQ60" t="s">
        <v>54</v>
      </c>
    </row>
    <row r="69" spans="1:45" x14ac:dyDescent="0.25">
      <c r="A69" t="s">
        <v>171</v>
      </c>
      <c r="B69" t="s">
        <v>172</v>
      </c>
      <c r="C69" t="s">
        <v>44</v>
      </c>
      <c r="D69" t="s">
        <v>60</v>
      </c>
      <c r="E69" t="s">
        <v>57</v>
      </c>
      <c r="F69" t="s">
        <v>46</v>
      </c>
      <c r="G69" t="s">
        <v>56</v>
      </c>
      <c r="H69" t="s">
        <v>44</v>
      </c>
      <c r="I69" t="s">
        <v>44</v>
      </c>
      <c r="J69" t="s">
        <v>57</v>
      </c>
      <c r="K69" t="s">
        <v>44</v>
      </c>
      <c r="L69" t="s">
        <v>57</v>
      </c>
      <c r="M69" t="s">
        <v>44</v>
      </c>
      <c r="N69" t="s">
        <v>61</v>
      </c>
      <c r="O69" t="s">
        <v>57</v>
      </c>
      <c r="P69" t="s">
        <v>44</v>
      </c>
      <c r="Q69" t="s">
        <v>57</v>
      </c>
      <c r="R69" t="s">
        <v>57</v>
      </c>
      <c r="S69" t="s">
        <v>56</v>
      </c>
      <c r="T69" t="s">
        <v>56</v>
      </c>
      <c r="U69" t="s">
        <v>57</v>
      </c>
      <c r="V69" t="s">
        <v>57</v>
      </c>
      <c r="W69" t="s">
        <v>62</v>
      </c>
      <c r="X69" t="s">
        <v>62</v>
      </c>
      <c r="Y69" t="s">
        <v>62</v>
      </c>
      <c r="Z69" t="s">
        <v>44</v>
      </c>
      <c r="AA69" t="s">
        <v>44</v>
      </c>
      <c r="AB69" t="s">
        <v>63</v>
      </c>
      <c r="AC69" t="s">
        <v>45</v>
      </c>
      <c r="AD69" t="s">
        <v>46</v>
      </c>
      <c r="AE69">
        <v>2E-3</v>
      </c>
      <c r="AF69" t="s">
        <v>47</v>
      </c>
      <c r="AG69" t="s">
        <v>57</v>
      </c>
      <c r="AH69" t="s">
        <v>48</v>
      </c>
      <c r="AI69" t="s">
        <v>49</v>
      </c>
      <c r="AJ69" t="s">
        <v>50</v>
      </c>
      <c r="AK69" t="s">
        <v>51</v>
      </c>
      <c r="AL69" t="s">
        <v>44</v>
      </c>
      <c r="AM69" t="s">
        <v>44</v>
      </c>
      <c r="AN69" t="s">
        <v>44</v>
      </c>
      <c r="AO69" t="s">
        <v>52</v>
      </c>
      <c r="AP69" t="s">
        <v>53</v>
      </c>
      <c r="AQ69" t="s">
        <v>54</v>
      </c>
    </row>
    <row r="71" spans="1:45" s="8" customFormat="1" x14ac:dyDescent="0.25">
      <c r="A71" s="8" t="s">
        <v>710</v>
      </c>
      <c r="B71" s="8" t="s">
        <v>185</v>
      </c>
      <c r="C71" s="8">
        <v>52</v>
      </c>
      <c r="D71" s="8">
        <v>2170</v>
      </c>
      <c r="E71" s="8">
        <v>0</v>
      </c>
      <c r="F71" s="8">
        <v>86700</v>
      </c>
      <c r="G71" s="8">
        <v>0</v>
      </c>
      <c r="H71" s="8">
        <v>0.127</v>
      </c>
      <c r="I71" s="9">
        <v>1.4100000000000001E-5</v>
      </c>
      <c r="J71" s="8">
        <v>1.7</v>
      </c>
      <c r="K71" s="8" t="s">
        <v>44</v>
      </c>
      <c r="L71" s="8">
        <v>19</v>
      </c>
      <c r="M71" s="8">
        <v>19</v>
      </c>
      <c r="N71" s="8">
        <v>19</v>
      </c>
      <c r="O71" s="9">
        <v>2.5299999999999999E-6</v>
      </c>
      <c r="P71" s="8">
        <v>0</v>
      </c>
      <c r="Q71" s="8" t="s">
        <v>57</v>
      </c>
      <c r="R71" s="8">
        <v>4.4999999999999997E-3</v>
      </c>
      <c r="S71" s="8">
        <v>4.8799999999999998E-3</v>
      </c>
      <c r="T71" s="8">
        <v>7.4999999999999997E-3</v>
      </c>
      <c r="U71" s="8" t="s">
        <v>57</v>
      </c>
      <c r="V71" s="8" t="s">
        <v>57</v>
      </c>
      <c r="W71" s="8">
        <v>1.5E-3</v>
      </c>
      <c r="X71" s="8">
        <v>5.4999999999999997E-3</v>
      </c>
      <c r="Y71" s="8" t="s">
        <v>62</v>
      </c>
      <c r="Z71" s="8" t="s">
        <v>44</v>
      </c>
      <c r="AA71" s="8" t="s">
        <v>44</v>
      </c>
      <c r="AB71" s="8">
        <v>19</v>
      </c>
      <c r="AC71" s="8" t="s">
        <v>45</v>
      </c>
      <c r="AD71" s="8" t="s">
        <v>46</v>
      </c>
      <c r="AE71" s="8" t="s">
        <v>56</v>
      </c>
      <c r="AG71" s="8" t="s">
        <v>47</v>
      </c>
      <c r="AI71" s="8" t="s">
        <v>57</v>
      </c>
      <c r="AJ71" s="8" t="s">
        <v>48</v>
      </c>
      <c r="AK71" s="8" t="s">
        <v>49</v>
      </c>
      <c r="AL71" s="8" t="s">
        <v>110</v>
      </c>
      <c r="AM71" s="8" t="s">
        <v>111</v>
      </c>
      <c r="AN71" s="8">
        <v>4.4999999999999997E-3</v>
      </c>
      <c r="AO71" s="8" t="s">
        <v>44</v>
      </c>
      <c r="AP71" s="8" t="s">
        <v>44</v>
      </c>
      <c r="AQ71" s="8" t="s">
        <v>52</v>
      </c>
      <c r="AR71" s="8" t="s">
        <v>53</v>
      </c>
      <c r="AS71" s="8" t="s">
        <v>54</v>
      </c>
    </row>
    <row r="86" spans="1:43" x14ac:dyDescent="0.25">
      <c r="G86" s="1"/>
      <c r="I86" s="1"/>
      <c r="W86" s="1"/>
      <c r="AM86" s="1"/>
    </row>
    <row r="96" spans="1:43" x14ac:dyDescent="0.25">
      <c r="A96" t="s">
        <v>220</v>
      </c>
      <c r="B96" t="s">
        <v>221</v>
      </c>
      <c r="C96">
        <v>236</v>
      </c>
      <c r="D96">
        <v>279.14999999999998</v>
      </c>
      <c r="E96">
        <v>7.6300000000000001E-4</v>
      </c>
      <c r="F96">
        <v>1200</v>
      </c>
      <c r="G96">
        <v>1.4999999999999999E-4</v>
      </c>
      <c r="H96">
        <v>1E-3</v>
      </c>
      <c r="I96" s="1">
        <v>1.0000000000000001E-5</v>
      </c>
      <c r="J96">
        <v>199.52623149999999</v>
      </c>
      <c r="K96">
        <v>182.47</v>
      </c>
      <c r="L96">
        <v>0.17</v>
      </c>
      <c r="M96">
        <v>13.68</v>
      </c>
      <c r="N96">
        <v>7.3</v>
      </c>
      <c r="O96">
        <v>1.41</v>
      </c>
      <c r="P96">
        <v>1</v>
      </c>
      <c r="Q96">
        <v>13.7</v>
      </c>
      <c r="R96">
        <v>80.7</v>
      </c>
      <c r="S96">
        <v>1.81</v>
      </c>
      <c r="T96">
        <v>1.81</v>
      </c>
      <c r="U96">
        <v>0.105</v>
      </c>
      <c r="V96">
        <v>0.105</v>
      </c>
      <c r="W96">
        <v>9.5356399999999995E-4</v>
      </c>
      <c r="X96">
        <v>4.5294310000000004E-3</v>
      </c>
      <c r="Y96">
        <v>5.4829950000000001E-3</v>
      </c>
      <c r="Z96">
        <v>1.737831E-3</v>
      </c>
      <c r="AA96" t="s">
        <v>44</v>
      </c>
      <c r="AB96">
        <v>11.8</v>
      </c>
      <c r="AC96" t="s">
        <v>45</v>
      </c>
      <c r="AD96" t="s">
        <v>46</v>
      </c>
      <c r="AE96">
        <v>5.6999999999999998E-4</v>
      </c>
      <c r="AF96">
        <v>7</v>
      </c>
      <c r="AG96">
        <v>2.0000000000000001E-4</v>
      </c>
      <c r="AH96">
        <v>1.9E-3</v>
      </c>
      <c r="AI96" t="s">
        <v>49</v>
      </c>
      <c r="AJ96" t="s">
        <v>50</v>
      </c>
      <c r="AK96" t="s">
        <v>51</v>
      </c>
      <c r="AL96">
        <v>1.81</v>
      </c>
      <c r="AM96">
        <v>1.907129E-3</v>
      </c>
      <c r="AN96">
        <v>3.3374749999999999E-3</v>
      </c>
      <c r="AO96" t="s">
        <v>52</v>
      </c>
      <c r="AP96" t="s">
        <v>53</v>
      </c>
      <c r="AQ96" t="s">
        <v>54</v>
      </c>
    </row>
    <row r="100" spans="1:45" s="8" customFormat="1" x14ac:dyDescent="0.25">
      <c r="A100" s="8" t="s">
        <v>226</v>
      </c>
      <c r="B100" s="8" t="s">
        <v>227</v>
      </c>
      <c r="C100" s="8">
        <v>147</v>
      </c>
      <c r="D100" s="8">
        <v>326</v>
      </c>
      <c r="E100" s="8">
        <v>1.32E-3</v>
      </c>
      <c r="F100" s="8">
        <v>79</v>
      </c>
      <c r="G100" s="8">
        <v>2.3999999999999998E-3</v>
      </c>
      <c r="H100" s="8">
        <v>6.9000000000000006E-2</v>
      </c>
      <c r="I100" s="9">
        <v>7.9000000000000006E-6</v>
      </c>
      <c r="J100" s="8">
        <v>3160</v>
      </c>
      <c r="K100" s="8">
        <v>616</v>
      </c>
      <c r="L100" s="8">
        <v>1.2</v>
      </c>
      <c r="M100" s="8">
        <v>46.2</v>
      </c>
      <c r="N100" s="8">
        <v>24.6</v>
      </c>
      <c r="O100" s="8">
        <v>1.41</v>
      </c>
      <c r="P100" s="8">
        <v>1</v>
      </c>
      <c r="Q100" s="8">
        <v>115</v>
      </c>
      <c r="R100" s="8">
        <v>95.9</v>
      </c>
      <c r="S100" s="8">
        <v>0.36699999999999999</v>
      </c>
      <c r="T100" s="8">
        <v>0.36699999999999999</v>
      </c>
      <c r="U100" s="8">
        <v>0.124</v>
      </c>
      <c r="V100" s="8">
        <v>0.124</v>
      </c>
      <c r="W100" s="8">
        <v>3.7499999999999999E-3</v>
      </c>
      <c r="X100" s="8">
        <v>1.78E-2</v>
      </c>
      <c r="Y100" s="8">
        <v>2.1600000000000001E-2</v>
      </c>
      <c r="Z100" s="8">
        <v>2.0500000000000001E-2</v>
      </c>
      <c r="AA100" s="8" t="s">
        <v>44</v>
      </c>
      <c r="AB100" s="8">
        <v>98.9</v>
      </c>
      <c r="AC100" s="8" t="s">
        <v>45</v>
      </c>
      <c r="AD100" s="8" t="s">
        <v>46</v>
      </c>
      <c r="AE100" s="8">
        <v>7.0000000000000007E-2</v>
      </c>
      <c r="AF100" s="8" t="s">
        <v>642</v>
      </c>
      <c r="AG100" s="8">
        <v>5.4000000000000003E-3</v>
      </c>
      <c r="AH100" s="8" t="s">
        <v>640</v>
      </c>
      <c r="AI100" s="8">
        <v>0.8</v>
      </c>
      <c r="AJ100" s="9">
        <v>1.1E-5</v>
      </c>
      <c r="AK100" s="8" t="s">
        <v>49</v>
      </c>
      <c r="AL100" s="8" t="s">
        <v>50</v>
      </c>
      <c r="AM100" s="8" t="s">
        <v>51</v>
      </c>
      <c r="AN100" s="8">
        <v>0.36699999999999999</v>
      </c>
      <c r="AO100" s="8">
        <v>7.5100000000000002E-3</v>
      </c>
      <c r="AP100" s="8">
        <v>1.3100000000000001E-2</v>
      </c>
      <c r="AQ100" s="8" t="s">
        <v>52</v>
      </c>
      <c r="AR100" s="8" t="s">
        <v>53</v>
      </c>
      <c r="AS100" s="8" t="s">
        <v>54</v>
      </c>
    </row>
    <row r="104" spans="1:45" x14ac:dyDescent="0.25">
      <c r="A104" t="s">
        <v>235</v>
      </c>
      <c r="B104" t="s">
        <v>236</v>
      </c>
      <c r="C104">
        <v>96.94</v>
      </c>
      <c r="D104">
        <v>193.15</v>
      </c>
      <c r="E104">
        <v>0.26300000000000001</v>
      </c>
      <c r="F104">
        <v>3500</v>
      </c>
      <c r="G104">
        <v>4.1000000000000003E-3</v>
      </c>
      <c r="H104">
        <v>1E-3</v>
      </c>
      <c r="I104" s="1">
        <v>1.0000000000000001E-5</v>
      </c>
      <c r="J104">
        <v>79.432823470000002</v>
      </c>
      <c r="K104">
        <v>38.28</v>
      </c>
      <c r="L104">
        <v>7.0999999999999994E-2</v>
      </c>
      <c r="M104">
        <v>2.87</v>
      </c>
      <c r="N104">
        <v>1.53</v>
      </c>
      <c r="O104" t="s">
        <v>57</v>
      </c>
      <c r="P104">
        <v>1</v>
      </c>
      <c r="Q104">
        <v>13.1</v>
      </c>
      <c r="R104">
        <v>184</v>
      </c>
      <c r="S104">
        <v>3.09</v>
      </c>
      <c r="T104">
        <v>3.09</v>
      </c>
      <c r="U104">
        <v>1.4400000000000001E-3</v>
      </c>
      <c r="V104">
        <v>1.4400000000000001E-3</v>
      </c>
      <c r="W104">
        <v>5.2199899999999999E-4</v>
      </c>
      <c r="X104">
        <v>2.4794970000000002E-3</v>
      </c>
      <c r="Y104">
        <v>3.0014960000000002E-3</v>
      </c>
      <c r="Z104">
        <v>7.6255500000000005E-4</v>
      </c>
      <c r="AA104" t="s">
        <v>44</v>
      </c>
      <c r="AB104">
        <v>5.79</v>
      </c>
      <c r="AC104" t="s">
        <v>45</v>
      </c>
      <c r="AD104" t="s">
        <v>46</v>
      </c>
      <c r="AE104">
        <v>1.0999999999999999E-2</v>
      </c>
      <c r="AF104" t="s">
        <v>47</v>
      </c>
      <c r="AG104" t="s">
        <v>57</v>
      </c>
      <c r="AH104" t="s">
        <v>48</v>
      </c>
      <c r="AI104" t="s">
        <v>49</v>
      </c>
      <c r="AJ104" t="s">
        <v>50</v>
      </c>
      <c r="AK104" t="s">
        <v>51</v>
      </c>
      <c r="AL104">
        <v>3.09</v>
      </c>
      <c r="AM104">
        <v>1.0439990000000001E-3</v>
      </c>
      <c r="AN104">
        <v>1.826998E-3</v>
      </c>
      <c r="AO104" t="s">
        <v>52</v>
      </c>
      <c r="AP104" t="s">
        <v>53</v>
      </c>
      <c r="AQ104" t="s">
        <v>54</v>
      </c>
    </row>
    <row r="106" spans="1:45" x14ac:dyDescent="0.25">
      <c r="A106" t="s">
        <v>239</v>
      </c>
      <c r="B106" t="s">
        <v>240</v>
      </c>
      <c r="C106">
        <v>111</v>
      </c>
      <c r="D106">
        <v>225</v>
      </c>
      <c r="E106">
        <v>4.4699999999999997E-2</v>
      </c>
      <c r="F106">
        <v>2800</v>
      </c>
      <c r="G106">
        <v>1.7999999999999999E-2</v>
      </c>
      <c r="H106">
        <v>6.2600000000000003E-2</v>
      </c>
      <c r="I106" s="1">
        <v>1.0000000000000001E-5</v>
      </c>
      <c r="J106">
        <v>39.799999999999997</v>
      </c>
      <c r="K106">
        <v>27.1</v>
      </c>
      <c r="L106">
        <v>9.0999999999999998E-2</v>
      </c>
      <c r="M106">
        <v>2.0299999999999998</v>
      </c>
      <c r="N106">
        <v>1.08</v>
      </c>
      <c r="O106">
        <v>22.4</v>
      </c>
      <c r="P106">
        <v>1</v>
      </c>
      <c r="Q106">
        <v>10.3</v>
      </c>
      <c r="R106">
        <v>113</v>
      </c>
      <c r="S106">
        <v>4.5999999999999996</v>
      </c>
      <c r="T106">
        <v>4.5999999999999996</v>
      </c>
      <c r="U106">
        <v>1.5699999999999999E-4</v>
      </c>
      <c r="V106">
        <v>1.5699999999999999E-4</v>
      </c>
      <c r="W106">
        <v>3.1700000000000001E-4</v>
      </c>
      <c r="X106">
        <v>1.5E-3</v>
      </c>
      <c r="Y106">
        <v>1.82E-3</v>
      </c>
      <c r="Z106">
        <v>4.4499999999999997E-4</v>
      </c>
      <c r="AA106" t="s">
        <v>44</v>
      </c>
      <c r="AB106">
        <v>3.4</v>
      </c>
      <c r="AC106" t="s">
        <v>45</v>
      </c>
      <c r="AD106" t="s">
        <v>46</v>
      </c>
      <c r="AE106">
        <v>0.03</v>
      </c>
      <c r="AF106">
        <v>0.1</v>
      </c>
      <c r="AG106">
        <v>0.02</v>
      </c>
      <c r="AH106" s="1">
        <v>3.9999999999999998E-6</v>
      </c>
      <c r="AI106" t="s">
        <v>49</v>
      </c>
      <c r="AJ106" t="s">
        <v>50</v>
      </c>
      <c r="AK106" t="s">
        <v>51</v>
      </c>
      <c r="AL106">
        <v>4.5999999999999996</v>
      </c>
      <c r="AM106">
        <v>6.3299999999999999E-4</v>
      </c>
      <c r="AN106">
        <v>1.1100000000000001E-3</v>
      </c>
      <c r="AO106" t="s">
        <v>52</v>
      </c>
      <c r="AP106" t="s">
        <v>53</v>
      </c>
      <c r="AQ106" t="s">
        <v>54</v>
      </c>
    </row>
    <row r="107" spans="1:45" x14ac:dyDescent="0.25">
      <c r="A107" t="s">
        <v>241</v>
      </c>
      <c r="B107" t="s">
        <v>242</v>
      </c>
      <c r="C107">
        <v>222</v>
      </c>
      <c r="D107" t="s">
        <v>60</v>
      </c>
      <c r="E107" s="1">
        <v>6.97E-5</v>
      </c>
      <c r="F107">
        <v>10000</v>
      </c>
      <c r="G107">
        <v>1.5399999999999999E-3</v>
      </c>
      <c r="H107">
        <v>1E-3</v>
      </c>
      <c r="I107" s="1">
        <v>1.0000000000000001E-5</v>
      </c>
      <c r="J107">
        <v>29.51209227</v>
      </c>
      <c r="K107">
        <v>17.48</v>
      </c>
      <c r="L107">
        <v>0.17</v>
      </c>
      <c r="M107">
        <v>1.31</v>
      </c>
      <c r="N107">
        <v>0.7</v>
      </c>
      <c r="O107" t="s">
        <v>57</v>
      </c>
      <c r="P107">
        <v>1</v>
      </c>
      <c r="Q107">
        <v>9.4600000000000009</v>
      </c>
      <c r="R107">
        <v>54.1</v>
      </c>
      <c r="S107">
        <v>5.47</v>
      </c>
      <c r="T107">
        <v>5.47</v>
      </c>
      <c r="U107">
        <v>1.33E-3</v>
      </c>
      <c r="V107">
        <v>1.33E-3</v>
      </c>
      <c r="W107">
        <v>2.5178599999999999E-4</v>
      </c>
      <c r="X107">
        <v>1.1959819999999999E-3</v>
      </c>
      <c r="Y107">
        <v>1.447767E-3</v>
      </c>
      <c r="Z107">
        <v>2.1367399999999999E-4</v>
      </c>
      <c r="AA107" t="s">
        <v>44</v>
      </c>
      <c r="AB107">
        <v>0.44900000000000001</v>
      </c>
      <c r="AC107" t="s">
        <v>45</v>
      </c>
      <c r="AD107" t="s">
        <v>46</v>
      </c>
      <c r="AE107">
        <v>5.0000000000000001E-4</v>
      </c>
      <c r="AF107">
        <v>0.28999999999999998</v>
      </c>
      <c r="AG107">
        <v>5.0000000000000001E-4</v>
      </c>
      <c r="AH107" s="1">
        <v>8.2999999999999998E-5</v>
      </c>
      <c r="AI107" t="s">
        <v>49</v>
      </c>
      <c r="AJ107" t="s">
        <v>50</v>
      </c>
      <c r="AK107" t="s">
        <v>51</v>
      </c>
      <c r="AL107">
        <v>5.47</v>
      </c>
      <c r="AM107">
        <v>5.0357099999999997E-4</v>
      </c>
      <c r="AN107">
        <v>8.8124999999999998E-4</v>
      </c>
      <c r="AO107" t="s">
        <v>52</v>
      </c>
      <c r="AP107" t="s">
        <v>53</v>
      </c>
      <c r="AQ107" t="s">
        <v>54</v>
      </c>
    </row>
    <row r="120" spans="1:43" x14ac:dyDescent="0.25">
      <c r="A120" t="s">
        <v>256</v>
      </c>
      <c r="B120" t="s">
        <v>257</v>
      </c>
      <c r="C120">
        <v>391</v>
      </c>
      <c r="D120">
        <v>298</v>
      </c>
      <c r="E120" s="1">
        <v>3.4200000000000002E-9</v>
      </c>
      <c r="F120">
        <v>0.02</v>
      </c>
      <c r="G120" s="1">
        <v>6.7000000000000002E-5</v>
      </c>
      <c r="H120">
        <v>1E-3</v>
      </c>
      <c r="I120" s="1">
        <v>1.0000000000000001E-5</v>
      </c>
      <c r="J120">
        <v>126000000</v>
      </c>
      <c r="K120">
        <v>91700000</v>
      </c>
      <c r="L120">
        <v>13000000</v>
      </c>
      <c r="M120">
        <v>6880000</v>
      </c>
      <c r="N120">
        <v>3670000</v>
      </c>
      <c r="O120">
        <v>9.0299999999999994</v>
      </c>
      <c r="P120">
        <v>0.85199999999999998</v>
      </c>
      <c r="Q120">
        <v>401000</v>
      </c>
      <c r="R120">
        <v>3.0800000000000001E-2</v>
      </c>
      <c r="S120">
        <v>8.0599999999999997E-4</v>
      </c>
      <c r="T120">
        <v>8.0599999999999997E-4</v>
      </c>
      <c r="U120">
        <v>353000</v>
      </c>
      <c r="V120">
        <v>353000</v>
      </c>
      <c r="W120">
        <v>1.64E-3</v>
      </c>
      <c r="X120">
        <v>7.77E-3</v>
      </c>
      <c r="Y120">
        <v>9.41E-3</v>
      </c>
      <c r="Z120">
        <v>17000</v>
      </c>
      <c r="AA120" t="s">
        <v>44</v>
      </c>
      <c r="AB120">
        <v>2.35</v>
      </c>
      <c r="AC120">
        <v>462</v>
      </c>
      <c r="AD120" t="s">
        <v>46</v>
      </c>
      <c r="AE120">
        <v>0.01</v>
      </c>
      <c r="AF120" t="s">
        <v>47</v>
      </c>
      <c r="AG120" t="s">
        <v>57</v>
      </c>
      <c r="AH120" t="s">
        <v>48</v>
      </c>
      <c r="AI120" t="s">
        <v>49</v>
      </c>
      <c r="AJ120" t="s">
        <v>50</v>
      </c>
      <c r="AK120" t="s">
        <v>152</v>
      </c>
      <c r="AL120">
        <v>8.0599999999999997E-4</v>
      </c>
      <c r="AM120">
        <v>3.2699999999999999E-3</v>
      </c>
      <c r="AN120">
        <v>5.7299999999999999E-3</v>
      </c>
      <c r="AO120" t="s">
        <v>52</v>
      </c>
      <c r="AP120" t="s">
        <v>53</v>
      </c>
      <c r="AQ120" t="s">
        <v>54</v>
      </c>
    </row>
    <row r="130" spans="1:43" x14ac:dyDescent="0.25">
      <c r="A130" t="s">
        <v>273</v>
      </c>
      <c r="B130" t="s">
        <v>274</v>
      </c>
      <c r="C130" t="s">
        <v>44</v>
      </c>
      <c r="D130" t="s">
        <v>60</v>
      </c>
      <c r="E130" t="s">
        <v>57</v>
      </c>
      <c r="F130" t="s">
        <v>46</v>
      </c>
      <c r="G130" t="s">
        <v>56</v>
      </c>
      <c r="H130" t="s">
        <v>44</v>
      </c>
      <c r="I130" t="s">
        <v>44</v>
      </c>
      <c r="J130" t="s">
        <v>57</v>
      </c>
      <c r="K130" t="s">
        <v>44</v>
      </c>
      <c r="L130" t="s">
        <v>57</v>
      </c>
      <c r="M130" t="s">
        <v>44</v>
      </c>
      <c r="N130" t="s">
        <v>61</v>
      </c>
      <c r="O130" t="s">
        <v>57</v>
      </c>
      <c r="P130" t="s">
        <v>44</v>
      </c>
      <c r="Q130" t="s">
        <v>57</v>
      </c>
      <c r="R130" t="s">
        <v>57</v>
      </c>
      <c r="S130" t="s">
        <v>56</v>
      </c>
      <c r="T130" t="s">
        <v>56</v>
      </c>
      <c r="U130" t="s">
        <v>57</v>
      </c>
      <c r="V130" t="s">
        <v>57</v>
      </c>
      <c r="W130" t="s">
        <v>62</v>
      </c>
      <c r="X130" t="s">
        <v>62</v>
      </c>
      <c r="Y130" t="s">
        <v>62</v>
      </c>
      <c r="Z130" t="s">
        <v>44</v>
      </c>
      <c r="AA130" t="s">
        <v>44</v>
      </c>
      <c r="AB130" t="s">
        <v>63</v>
      </c>
      <c r="AC130" t="s">
        <v>45</v>
      </c>
      <c r="AD130" t="s">
        <v>46</v>
      </c>
      <c r="AE130" t="s">
        <v>56</v>
      </c>
      <c r="AF130" t="s">
        <v>47</v>
      </c>
      <c r="AG130" t="s">
        <v>57</v>
      </c>
      <c r="AH130" t="s">
        <v>48</v>
      </c>
      <c r="AI130" t="s">
        <v>49</v>
      </c>
      <c r="AJ130" t="s">
        <v>50</v>
      </c>
      <c r="AK130" t="s">
        <v>51</v>
      </c>
      <c r="AL130" t="s">
        <v>44</v>
      </c>
      <c r="AM130" t="s">
        <v>44</v>
      </c>
      <c r="AN130" t="s">
        <v>44</v>
      </c>
      <c r="AO130" t="s">
        <v>52</v>
      </c>
      <c r="AP130" t="s">
        <v>53</v>
      </c>
      <c r="AQ130" t="s">
        <v>54</v>
      </c>
    </row>
    <row r="147" spans="1:43" x14ac:dyDescent="0.25">
      <c r="A147" t="s">
        <v>307</v>
      </c>
      <c r="B147" t="s">
        <v>308</v>
      </c>
      <c r="C147">
        <v>326</v>
      </c>
      <c r="D147">
        <v>283</v>
      </c>
      <c r="E147" s="1">
        <v>1.01E-7</v>
      </c>
      <c r="F147">
        <v>4.2999999999999997E-2</v>
      </c>
      <c r="G147">
        <v>2.8299999999999999E-4</v>
      </c>
      <c r="H147">
        <v>1E-3</v>
      </c>
      <c r="I147" s="1">
        <v>1.0000000000000001E-5</v>
      </c>
      <c r="J147">
        <v>3160000</v>
      </c>
      <c r="K147">
        <v>2450000</v>
      </c>
      <c r="L147">
        <v>24500</v>
      </c>
      <c r="M147">
        <v>184000</v>
      </c>
      <c r="N147">
        <v>98100</v>
      </c>
      <c r="O147">
        <v>0.03</v>
      </c>
      <c r="P147">
        <v>0.99199999999999999</v>
      </c>
      <c r="Q147">
        <v>23500</v>
      </c>
      <c r="R147">
        <v>0.95799999999999996</v>
      </c>
      <c r="S147">
        <v>6.7799999999999996E-3</v>
      </c>
      <c r="T147">
        <v>6.7799999999999996E-3</v>
      </c>
      <c r="U147">
        <v>1650</v>
      </c>
      <c r="V147">
        <v>1650</v>
      </c>
      <c r="W147">
        <v>6.5199999999999998E-3</v>
      </c>
      <c r="X147">
        <v>3.1E-2</v>
      </c>
      <c r="Y147">
        <v>3.7499999999999999E-2</v>
      </c>
      <c r="Z147">
        <v>12.8</v>
      </c>
      <c r="AA147" t="s">
        <v>44</v>
      </c>
      <c r="AB147">
        <v>84100</v>
      </c>
      <c r="AC147" t="s">
        <v>45</v>
      </c>
      <c r="AD147">
        <v>2</v>
      </c>
      <c r="AE147" s="1">
        <v>3.3000000000000002E-7</v>
      </c>
      <c r="AF147">
        <v>30000</v>
      </c>
      <c r="AG147" s="1">
        <v>1.3E-6</v>
      </c>
      <c r="AH147">
        <v>8.5714285710000002</v>
      </c>
      <c r="AI147" t="s">
        <v>49</v>
      </c>
      <c r="AJ147" t="s">
        <v>50</v>
      </c>
      <c r="AK147" t="s">
        <v>65</v>
      </c>
      <c r="AL147">
        <v>0.01</v>
      </c>
      <c r="AM147">
        <v>1.2999999999999999E-2</v>
      </c>
      <c r="AN147">
        <v>3.2000000000000001E-2</v>
      </c>
      <c r="AO147" t="s">
        <v>52</v>
      </c>
      <c r="AP147" t="s">
        <v>53</v>
      </c>
      <c r="AQ147" t="s">
        <v>54</v>
      </c>
    </row>
    <row r="152" spans="1:43" x14ac:dyDescent="0.25">
      <c r="A152" t="s">
        <v>315</v>
      </c>
      <c r="B152" t="s">
        <v>316</v>
      </c>
      <c r="C152" t="s">
        <v>44</v>
      </c>
      <c r="D152" t="s">
        <v>60</v>
      </c>
      <c r="E152" t="s">
        <v>57</v>
      </c>
      <c r="F152" t="s">
        <v>46</v>
      </c>
      <c r="G152" t="s">
        <v>56</v>
      </c>
      <c r="H152" t="s">
        <v>44</v>
      </c>
      <c r="I152" t="s">
        <v>44</v>
      </c>
      <c r="J152" t="s">
        <v>57</v>
      </c>
      <c r="K152" t="s">
        <v>44</v>
      </c>
      <c r="L152" t="s">
        <v>57</v>
      </c>
      <c r="M152" t="s">
        <v>44</v>
      </c>
      <c r="N152" t="s">
        <v>61</v>
      </c>
      <c r="O152" t="s">
        <v>57</v>
      </c>
      <c r="P152" t="s">
        <v>44</v>
      </c>
      <c r="Q152" t="s">
        <v>57</v>
      </c>
      <c r="R152" t="s">
        <v>57</v>
      </c>
      <c r="S152" t="s">
        <v>56</v>
      </c>
      <c r="T152" t="s">
        <v>56</v>
      </c>
      <c r="U152" t="s">
        <v>57</v>
      </c>
      <c r="V152" t="s">
        <v>57</v>
      </c>
      <c r="W152" t="s">
        <v>62</v>
      </c>
      <c r="X152" t="s">
        <v>62</v>
      </c>
      <c r="Y152" t="s">
        <v>62</v>
      </c>
      <c r="Z152" t="s">
        <v>44</v>
      </c>
      <c r="AA152" t="s">
        <v>44</v>
      </c>
      <c r="AB152" t="s">
        <v>63</v>
      </c>
      <c r="AC152" t="s">
        <v>45</v>
      </c>
      <c r="AD152" t="s">
        <v>46</v>
      </c>
      <c r="AE152" s="1">
        <v>5.7099999999999999E-5</v>
      </c>
      <c r="AF152">
        <v>3</v>
      </c>
      <c r="AG152">
        <v>2.0000000000000001E-4</v>
      </c>
      <c r="AH152">
        <v>4.8999999999999998E-3</v>
      </c>
      <c r="AI152" t="s">
        <v>49</v>
      </c>
      <c r="AJ152" t="s">
        <v>50</v>
      </c>
      <c r="AK152" t="s">
        <v>51</v>
      </c>
      <c r="AL152" t="s">
        <v>44</v>
      </c>
      <c r="AM152" t="s">
        <v>44</v>
      </c>
      <c r="AN152" t="s">
        <v>44</v>
      </c>
      <c r="AO152" t="s">
        <v>52</v>
      </c>
      <c r="AP152" t="s">
        <v>53</v>
      </c>
      <c r="AQ152" t="s">
        <v>54</v>
      </c>
    </row>
    <row r="158" spans="1:43" x14ac:dyDescent="0.25">
      <c r="A158" t="s">
        <v>324</v>
      </c>
      <c r="B158" t="s">
        <v>325</v>
      </c>
      <c r="C158">
        <v>209</v>
      </c>
      <c r="D158">
        <v>603</v>
      </c>
      <c r="E158">
        <v>0</v>
      </c>
      <c r="F158">
        <v>9580</v>
      </c>
      <c r="G158">
        <v>2.5000000000000001E-2</v>
      </c>
      <c r="H158">
        <v>7.7200000000000005E-2</v>
      </c>
      <c r="I158" s="1">
        <v>9.5699999999999999E-6</v>
      </c>
      <c r="J158">
        <v>5.37</v>
      </c>
      <c r="K158" t="s">
        <v>44</v>
      </c>
      <c r="L158">
        <v>900</v>
      </c>
      <c r="M158">
        <v>900</v>
      </c>
      <c r="N158">
        <v>900</v>
      </c>
      <c r="O158" t="s">
        <v>57</v>
      </c>
      <c r="P158">
        <v>0</v>
      </c>
      <c r="Q158" t="s">
        <v>57</v>
      </c>
      <c r="R158">
        <v>8.9999999999999993E-3</v>
      </c>
      <c r="S158">
        <v>1.3599999999999999E-2</v>
      </c>
      <c r="T158">
        <v>4.4999999999999998E-2</v>
      </c>
      <c r="U158" t="s">
        <v>57</v>
      </c>
      <c r="V158" t="s">
        <v>57</v>
      </c>
      <c r="W158">
        <v>2.5000000000000001E-4</v>
      </c>
      <c r="X158">
        <v>2.9999999999999997E-4</v>
      </c>
      <c r="Y158" t="s">
        <v>62</v>
      </c>
      <c r="Z158" t="s">
        <v>44</v>
      </c>
      <c r="AA158" t="s">
        <v>44</v>
      </c>
      <c r="AB158">
        <v>0.09</v>
      </c>
      <c r="AC158" t="s">
        <v>45</v>
      </c>
      <c r="AD158" t="s">
        <v>46</v>
      </c>
      <c r="AE158" t="s">
        <v>56</v>
      </c>
      <c r="AF158">
        <v>8.5000000000000006E-3</v>
      </c>
      <c r="AG158">
        <v>1.4999999999999999E-4</v>
      </c>
      <c r="AH158" s="1">
        <v>1.2E-5</v>
      </c>
      <c r="AI158" t="s">
        <v>49</v>
      </c>
      <c r="AJ158" t="s">
        <v>110</v>
      </c>
      <c r="AK158" t="s">
        <v>111</v>
      </c>
      <c r="AL158">
        <v>8.9999999999999993E-3</v>
      </c>
      <c r="AM158" t="s">
        <v>44</v>
      </c>
      <c r="AN158" t="s">
        <v>44</v>
      </c>
      <c r="AO158" t="s">
        <v>52</v>
      </c>
      <c r="AP158" t="s">
        <v>53</v>
      </c>
      <c r="AQ158" t="s">
        <v>54</v>
      </c>
    </row>
    <row r="166" spans="1:43" x14ac:dyDescent="0.25">
      <c r="A166" t="s">
        <v>336</v>
      </c>
      <c r="B166" t="s">
        <v>337</v>
      </c>
      <c r="C166" t="s">
        <v>44</v>
      </c>
      <c r="D166" t="s">
        <v>60</v>
      </c>
      <c r="E166" t="s">
        <v>57</v>
      </c>
      <c r="F166" t="s">
        <v>46</v>
      </c>
      <c r="G166" t="s">
        <v>56</v>
      </c>
      <c r="H166" t="s">
        <v>44</v>
      </c>
      <c r="I166" t="s">
        <v>44</v>
      </c>
      <c r="J166" t="s">
        <v>57</v>
      </c>
      <c r="K166" t="s">
        <v>44</v>
      </c>
      <c r="L166" t="s">
        <v>57</v>
      </c>
      <c r="M166" t="s">
        <v>44</v>
      </c>
      <c r="N166" t="s">
        <v>61</v>
      </c>
      <c r="O166" t="s">
        <v>57</v>
      </c>
      <c r="P166" t="s">
        <v>44</v>
      </c>
      <c r="Q166" t="s">
        <v>57</v>
      </c>
      <c r="R166" t="s">
        <v>57</v>
      </c>
      <c r="S166" t="s">
        <v>56</v>
      </c>
      <c r="T166" t="s">
        <v>56</v>
      </c>
      <c r="U166" t="s">
        <v>57</v>
      </c>
      <c r="V166" t="s">
        <v>57</v>
      </c>
      <c r="W166" t="s">
        <v>62</v>
      </c>
      <c r="X166" t="s">
        <v>62</v>
      </c>
      <c r="Y166" t="s">
        <v>62</v>
      </c>
      <c r="Z166" t="s">
        <v>44</v>
      </c>
      <c r="AA166" t="s">
        <v>44</v>
      </c>
      <c r="AB166" t="s">
        <v>63</v>
      </c>
      <c r="AC166" t="s">
        <v>45</v>
      </c>
      <c r="AD166" t="s">
        <v>46</v>
      </c>
      <c r="AE166" t="s">
        <v>56</v>
      </c>
      <c r="AF166" t="s">
        <v>47</v>
      </c>
      <c r="AG166" t="s">
        <v>57</v>
      </c>
      <c r="AH166" t="s">
        <v>48</v>
      </c>
      <c r="AI166" t="s">
        <v>49</v>
      </c>
      <c r="AJ166" t="s">
        <v>50</v>
      </c>
      <c r="AK166" t="s">
        <v>51</v>
      </c>
      <c r="AL166" t="s">
        <v>44</v>
      </c>
      <c r="AM166" t="s">
        <v>44</v>
      </c>
      <c r="AN166" t="s">
        <v>44</v>
      </c>
      <c r="AO166" t="s">
        <v>52</v>
      </c>
      <c r="AP166" t="s">
        <v>53</v>
      </c>
      <c r="AQ166" t="s">
        <v>54</v>
      </c>
    </row>
    <row r="170" spans="1:43" x14ac:dyDescent="0.25">
      <c r="A170" t="s">
        <v>342</v>
      </c>
      <c r="B170" t="s">
        <v>343</v>
      </c>
      <c r="C170">
        <v>46.1</v>
      </c>
      <c r="D170">
        <v>221</v>
      </c>
      <c r="E170">
        <v>6.5799999999999997E-2</v>
      </c>
      <c r="F170">
        <v>1000000</v>
      </c>
      <c r="G170" s="1">
        <v>3.0299999999999998E-6</v>
      </c>
      <c r="H170">
        <v>0.14799999999999999</v>
      </c>
      <c r="I170" s="1">
        <v>1.7099999999999999E-5</v>
      </c>
      <c r="J170">
        <v>8.9099999999999999E-2</v>
      </c>
      <c r="K170">
        <v>9.2899999999999996E-2</v>
      </c>
      <c r="L170">
        <v>9.2900000000000003E-4</v>
      </c>
      <c r="M170">
        <v>6.9699999999999996E-3</v>
      </c>
      <c r="N170">
        <v>3.7200000000000002E-3</v>
      </c>
      <c r="O170">
        <v>10.5</v>
      </c>
      <c r="P170">
        <v>1</v>
      </c>
      <c r="Q170">
        <v>6.39</v>
      </c>
      <c r="R170">
        <v>6880</v>
      </c>
      <c r="S170">
        <v>157</v>
      </c>
      <c r="T170">
        <v>157</v>
      </c>
      <c r="U170">
        <v>1.4E-3</v>
      </c>
      <c r="V170">
        <v>1.4E-3</v>
      </c>
      <c r="W170" s="1">
        <v>1.9099999999999999E-6</v>
      </c>
      <c r="X170" s="1">
        <v>9.0699999999999996E-6</v>
      </c>
      <c r="Y170" s="1">
        <v>1.1E-5</v>
      </c>
      <c r="Z170" t="s">
        <v>44</v>
      </c>
      <c r="AA170" t="s">
        <v>44</v>
      </c>
      <c r="AB170">
        <v>3.16</v>
      </c>
      <c r="AC170" t="s">
        <v>45</v>
      </c>
      <c r="AD170" t="s">
        <v>46</v>
      </c>
      <c r="AE170">
        <v>1E-3</v>
      </c>
      <c r="AF170">
        <v>1.1000000000000001</v>
      </c>
      <c r="AG170" t="s">
        <v>57</v>
      </c>
      <c r="AH170" t="s">
        <v>48</v>
      </c>
      <c r="AI170" t="s">
        <v>49</v>
      </c>
      <c r="AJ170" t="s">
        <v>50</v>
      </c>
      <c r="AK170" t="s">
        <v>51</v>
      </c>
      <c r="AL170">
        <v>157</v>
      </c>
      <c r="AM170" s="1">
        <v>3.8199999999999998E-6</v>
      </c>
      <c r="AN170" s="1">
        <v>6.6800000000000004E-6</v>
      </c>
      <c r="AO170" t="s">
        <v>52</v>
      </c>
      <c r="AP170" t="s">
        <v>53</v>
      </c>
      <c r="AQ170" t="s">
        <v>54</v>
      </c>
    </row>
    <row r="171" spans="1:43" x14ac:dyDescent="0.25">
      <c r="A171" t="s">
        <v>344</v>
      </c>
      <c r="B171" t="s">
        <v>345</v>
      </c>
      <c r="C171">
        <v>142</v>
      </c>
      <c r="D171">
        <v>207</v>
      </c>
      <c r="E171">
        <v>0.53300000000000003</v>
      </c>
      <c r="F171">
        <v>13800</v>
      </c>
      <c r="G171">
        <v>5.4799999999999996E-3</v>
      </c>
      <c r="H171">
        <v>6.9800000000000001E-2</v>
      </c>
      <c r="I171" s="1">
        <v>8.0900000000000005E-6</v>
      </c>
      <c r="J171">
        <v>32.4</v>
      </c>
      <c r="K171">
        <v>18.8</v>
      </c>
      <c r="L171">
        <v>0.188</v>
      </c>
      <c r="M171">
        <v>1.41</v>
      </c>
      <c r="N171">
        <v>0.752</v>
      </c>
      <c r="O171">
        <v>9.0299999999999994</v>
      </c>
      <c r="P171">
        <v>1</v>
      </c>
      <c r="Q171">
        <v>9.69</v>
      </c>
      <c r="R171">
        <v>51.5</v>
      </c>
      <c r="S171">
        <v>5.19</v>
      </c>
      <c r="T171">
        <v>5.19</v>
      </c>
      <c r="U171">
        <v>4.1399999999999998E-4</v>
      </c>
      <c r="V171">
        <v>4.1399999999999998E-4</v>
      </c>
      <c r="W171">
        <v>2.7E-4</v>
      </c>
      <c r="X171">
        <v>1.2800000000000001E-3</v>
      </c>
      <c r="Y171">
        <v>1.5499999999999999E-3</v>
      </c>
      <c r="Z171" t="s">
        <v>44</v>
      </c>
      <c r="AA171" t="s">
        <v>44</v>
      </c>
      <c r="AB171">
        <v>2.9</v>
      </c>
      <c r="AC171" t="s">
        <v>45</v>
      </c>
      <c r="AD171" t="s">
        <v>46</v>
      </c>
      <c r="AE171" t="s">
        <v>56</v>
      </c>
      <c r="AF171">
        <v>2.9</v>
      </c>
      <c r="AG171" t="s">
        <v>57</v>
      </c>
      <c r="AH171" t="s">
        <v>48</v>
      </c>
      <c r="AI171" t="s">
        <v>49</v>
      </c>
      <c r="AJ171" t="s">
        <v>50</v>
      </c>
      <c r="AK171" t="s">
        <v>51</v>
      </c>
      <c r="AL171">
        <v>5.19</v>
      </c>
      <c r="AM171">
        <v>5.4100000000000003E-4</v>
      </c>
      <c r="AN171">
        <v>9.4600000000000001E-4</v>
      </c>
      <c r="AO171" t="s">
        <v>52</v>
      </c>
      <c r="AP171" t="s">
        <v>53</v>
      </c>
      <c r="AQ171" t="s">
        <v>54</v>
      </c>
    </row>
    <row r="209" spans="1:43" x14ac:dyDescent="0.25">
      <c r="A209" t="s">
        <v>406</v>
      </c>
      <c r="B209" t="s">
        <v>407</v>
      </c>
      <c r="C209">
        <v>108.143</v>
      </c>
      <c r="D209">
        <v>419.15</v>
      </c>
      <c r="E209" s="1">
        <v>6.5799999999999997E-6</v>
      </c>
      <c r="F209">
        <v>37000</v>
      </c>
      <c r="G209" s="1">
        <v>1.92E-8</v>
      </c>
      <c r="H209">
        <v>8.3699999999999997E-2</v>
      </c>
      <c r="I209" s="1">
        <v>9.6900000000000004E-6</v>
      </c>
      <c r="J209">
        <v>0.50118723399999998</v>
      </c>
      <c r="K209">
        <v>0.50743451100000003</v>
      </c>
      <c r="L209">
        <v>5.0743450000000001E-3</v>
      </c>
      <c r="M209">
        <v>3.8057588000000003E-2</v>
      </c>
      <c r="N209">
        <v>2.029738E-2</v>
      </c>
      <c r="O209">
        <v>9.0337499999999995</v>
      </c>
      <c r="P209">
        <v>0.99990958299999999</v>
      </c>
      <c r="Q209">
        <v>6.4441684219999997</v>
      </c>
      <c r="R209">
        <v>1269.9507590000001</v>
      </c>
      <c r="S209">
        <v>57.729792940000003</v>
      </c>
      <c r="T209">
        <v>57.729792940000003</v>
      </c>
      <c r="U209">
        <v>1.3927813929999999</v>
      </c>
      <c r="V209">
        <v>1.3927813929999999</v>
      </c>
      <c r="W209" s="1">
        <v>5.1499999999999998E-6</v>
      </c>
      <c r="X209" s="1">
        <v>2.4499999999999999E-5</v>
      </c>
      <c r="Y209" s="1">
        <v>2.9600000000000001E-5</v>
      </c>
      <c r="Z209" t="s">
        <v>44</v>
      </c>
      <c r="AA209" t="s">
        <v>44</v>
      </c>
      <c r="AB209">
        <v>3.16227766</v>
      </c>
      <c r="AC209" t="s">
        <v>45</v>
      </c>
      <c r="AD209" t="s">
        <v>46</v>
      </c>
      <c r="AE209">
        <v>0.19</v>
      </c>
      <c r="AF209" t="s">
        <v>47</v>
      </c>
      <c r="AG209" t="s">
        <v>57</v>
      </c>
      <c r="AH209" t="s">
        <v>48</v>
      </c>
      <c r="AI209" t="s">
        <v>49</v>
      </c>
      <c r="AJ209" t="s">
        <v>50</v>
      </c>
      <c r="AK209" t="s">
        <v>51</v>
      </c>
      <c r="AL209">
        <v>57.729792940000003</v>
      </c>
      <c r="AM209" s="1">
        <v>1.03E-5</v>
      </c>
      <c r="AN209" s="1">
        <v>1.8E-5</v>
      </c>
      <c r="AO209" t="s">
        <v>52</v>
      </c>
      <c r="AP209" t="s">
        <v>53</v>
      </c>
      <c r="AQ209" t="s">
        <v>54</v>
      </c>
    </row>
    <row r="219" spans="1:43" x14ac:dyDescent="0.25">
      <c r="A219" t="s">
        <v>423</v>
      </c>
      <c r="B219" t="s">
        <v>424</v>
      </c>
      <c r="C219">
        <v>326</v>
      </c>
      <c r="D219">
        <v>283</v>
      </c>
      <c r="E219" s="1">
        <v>1.01E-7</v>
      </c>
      <c r="F219">
        <v>4.2999999999999997E-2</v>
      </c>
      <c r="G219">
        <v>2.8299999999999999E-4</v>
      </c>
      <c r="H219">
        <v>1E-3</v>
      </c>
      <c r="I219" s="1">
        <v>1.0000000000000001E-5</v>
      </c>
      <c r="J219">
        <v>3160000</v>
      </c>
      <c r="K219">
        <v>2450000</v>
      </c>
      <c r="L219">
        <v>24500</v>
      </c>
      <c r="M219">
        <v>184000</v>
      </c>
      <c r="N219">
        <v>98100</v>
      </c>
      <c r="O219">
        <v>0.03</v>
      </c>
      <c r="P219">
        <v>0.99199999999999999</v>
      </c>
      <c r="Q219">
        <v>23500</v>
      </c>
      <c r="R219">
        <v>0.95799999999999996</v>
      </c>
      <c r="S219">
        <v>6.7799999999999996E-3</v>
      </c>
      <c r="T219">
        <v>6.7799999999999996E-3</v>
      </c>
      <c r="U219">
        <v>1650</v>
      </c>
      <c r="V219">
        <v>1650</v>
      </c>
      <c r="W219">
        <v>6.5199999999999998E-3</v>
      </c>
      <c r="X219">
        <v>3.1E-2</v>
      </c>
      <c r="Y219">
        <v>3.7499999999999999E-2</v>
      </c>
      <c r="Z219">
        <v>12.8</v>
      </c>
      <c r="AA219" t="s">
        <v>44</v>
      </c>
      <c r="AB219">
        <v>84100</v>
      </c>
      <c r="AC219" t="s">
        <v>45</v>
      </c>
      <c r="AD219">
        <v>2</v>
      </c>
      <c r="AE219" s="1">
        <v>3.3000000000000003E-5</v>
      </c>
      <c r="AF219">
        <v>300</v>
      </c>
      <c r="AG219">
        <v>1.2999999999999999E-4</v>
      </c>
      <c r="AH219">
        <v>8.5714286000000001E-2</v>
      </c>
      <c r="AI219" t="s">
        <v>49</v>
      </c>
      <c r="AJ219" t="s">
        <v>50</v>
      </c>
      <c r="AK219" t="s">
        <v>65</v>
      </c>
      <c r="AL219">
        <v>0.01</v>
      </c>
      <c r="AM219">
        <v>1.2999999999999999E-2</v>
      </c>
      <c r="AN219">
        <v>3.2000000000000001E-2</v>
      </c>
      <c r="AO219" t="s">
        <v>52</v>
      </c>
      <c r="AP219" t="s">
        <v>53</v>
      </c>
      <c r="AQ219" t="s">
        <v>54</v>
      </c>
    </row>
    <row r="230" spans="1:43" x14ac:dyDescent="0.25">
      <c r="A230" t="s">
        <v>444</v>
      </c>
      <c r="B230" t="s">
        <v>445</v>
      </c>
      <c r="C230">
        <v>137</v>
      </c>
      <c r="D230">
        <v>163</v>
      </c>
      <c r="E230">
        <v>1.05</v>
      </c>
      <c r="F230">
        <v>1100</v>
      </c>
      <c r="G230">
        <v>9.7000000000000003E-2</v>
      </c>
      <c r="H230">
        <v>8.6999999999999994E-2</v>
      </c>
      <c r="I230" s="1">
        <v>9.7000000000000003E-6</v>
      </c>
      <c r="J230">
        <v>316</v>
      </c>
      <c r="K230">
        <v>114</v>
      </c>
      <c r="L230">
        <v>0.24</v>
      </c>
      <c r="M230">
        <v>8.57</v>
      </c>
      <c r="N230">
        <v>4.57</v>
      </c>
      <c r="O230">
        <v>0.7</v>
      </c>
      <c r="P230">
        <v>1</v>
      </c>
      <c r="Q230">
        <v>19.5</v>
      </c>
      <c r="R230">
        <v>81.400000000000006</v>
      </c>
      <c r="S230">
        <v>1.39</v>
      </c>
      <c r="T230">
        <v>1.39</v>
      </c>
      <c r="U230">
        <v>2.6499999999999999E-4</v>
      </c>
      <c r="V230">
        <v>2.6499999999999999E-4</v>
      </c>
      <c r="W230">
        <v>1.25E-3</v>
      </c>
      <c r="X230">
        <v>5.96E-3</v>
      </c>
      <c r="Y230">
        <v>7.2100000000000003E-3</v>
      </c>
      <c r="Z230">
        <v>2.7000000000000001E-3</v>
      </c>
      <c r="AA230" t="s">
        <v>44</v>
      </c>
      <c r="AB230">
        <v>16.8</v>
      </c>
      <c r="AC230" t="s">
        <v>45</v>
      </c>
      <c r="AD230" t="s">
        <v>46</v>
      </c>
      <c r="AE230">
        <v>0.3</v>
      </c>
      <c r="AF230" t="s">
        <v>47</v>
      </c>
      <c r="AG230" t="s">
        <v>57</v>
      </c>
      <c r="AH230" t="s">
        <v>48</v>
      </c>
      <c r="AI230" t="s">
        <v>49</v>
      </c>
      <c r="AJ230" t="s">
        <v>50</v>
      </c>
      <c r="AK230" t="s">
        <v>51</v>
      </c>
      <c r="AL230">
        <v>1.39</v>
      </c>
      <c r="AM230">
        <v>2.5100000000000001E-3</v>
      </c>
      <c r="AN230">
        <v>4.3899999999999998E-3</v>
      </c>
      <c r="AO230" t="s">
        <v>52</v>
      </c>
      <c r="AP230" t="s">
        <v>53</v>
      </c>
      <c r="AQ230" t="s">
        <v>54</v>
      </c>
    </row>
    <row r="233" spans="1:43" x14ac:dyDescent="0.25">
      <c r="A233" t="s">
        <v>450</v>
      </c>
      <c r="B233" t="s">
        <v>451</v>
      </c>
      <c r="C233">
        <v>187</v>
      </c>
      <c r="D233">
        <v>238</v>
      </c>
      <c r="E233">
        <v>0.47799999999999998</v>
      </c>
      <c r="F233">
        <v>170</v>
      </c>
      <c r="G233">
        <v>0.52700000000000002</v>
      </c>
      <c r="H233">
        <v>5.8000000000000003E-2</v>
      </c>
      <c r="I233" s="1">
        <v>6.72E-6</v>
      </c>
      <c r="J233">
        <v>1450</v>
      </c>
      <c r="K233">
        <v>381</v>
      </c>
      <c r="L233">
        <v>3.81</v>
      </c>
      <c r="M233">
        <v>28.6</v>
      </c>
      <c r="N233">
        <v>15.2</v>
      </c>
      <c r="O233">
        <v>0.70599999999999996</v>
      </c>
      <c r="P233">
        <v>1</v>
      </c>
      <c r="Q233">
        <v>63</v>
      </c>
      <c r="R233">
        <v>16.5</v>
      </c>
      <c r="S233">
        <v>0.57799999999999996</v>
      </c>
      <c r="T233">
        <v>0.57799999999999996</v>
      </c>
      <c r="U233">
        <v>2.4600000000000002E-4</v>
      </c>
      <c r="V233">
        <v>2.4600000000000002E-4</v>
      </c>
      <c r="W233">
        <v>2.7200000000000002E-3</v>
      </c>
      <c r="X233">
        <v>1.29E-2</v>
      </c>
      <c r="Y233">
        <v>1.5599999999999999E-2</v>
      </c>
      <c r="Z233" t="s">
        <v>44</v>
      </c>
      <c r="AA233" t="s">
        <v>44</v>
      </c>
      <c r="AB233">
        <v>54.1</v>
      </c>
      <c r="AC233" t="s">
        <v>45</v>
      </c>
      <c r="AD233" t="s">
        <v>46</v>
      </c>
      <c r="AE233">
        <v>30</v>
      </c>
      <c r="AF233" t="s">
        <v>47</v>
      </c>
      <c r="AG233" t="s">
        <v>57</v>
      </c>
      <c r="AH233" t="s">
        <v>48</v>
      </c>
      <c r="AI233" t="s">
        <v>49</v>
      </c>
      <c r="AJ233" t="s">
        <v>50</v>
      </c>
      <c r="AK233" t="s">
        <v>51</v>
      </c>
      <c r="AL233">
        <v>0.57799999999999996</v>
      </c>
      <c r="AM233">
        <v>5.4400000000000004E-3</v>
      </c>
      <c r="AN233">
        <v>9.5200000000000007E-3</v>
      </c>
      <c r="AO233" t="s">
        <v>52</v>
      </c>
      <c r="AP233" t="s">
        <v>53</v>
      </c>
      <c r="AQ233" t="s">
        <v>54</v>
      </c>
    </row>
    <row r="236" spans="1:43" x14ac:dyDescent="0.25">
      <c r="A236" t="s">
        <v>454</v>
      </c>
      <c r="B236" t="s">
        <v>455</v>
      </c>
      <c r="C236" t="s">
        <v>44</v>
      </c>
      <c r="D236" t="s">
        <v>60</v>
      </c>
      <c r="E236" t="s">
        <v>57</v>
      </c>
      <c r="F236" t="s">
        <v>46</v>
      </c>
      <c r="G236" t="s">
        <v>56</v>
      </c>
      <c r="H236" t="s">
        <v>44</v>
      </c>
      <c r="I236" t="s">
        <v>44</v>
      </c>
      <c r="J236" t="s">
        <v>57</v>
      </c>
      <c r="K236" t="s">
        <v>44</v>
      </c>
      <c r="L236" t="s">
        <v>57</v>
      </c>
      <c r="M236" t="s">
        <v>44</v>
      </c>
      <c r="N236" t="s">
        <v>61</v>
      </c>
      <c r="O236" t="s">
        <v>57</v>
      </c>
      <c r="P236" t="s">
        <v>44</v>
      </c>
      <c r="Q236" t="s">
        <v>57</v>
      </c>
      <c r="R236" t="s">
        <v>57</v>
      </c>
      <c r="S236" t="s">
        <v>56</v>
      </c>
      <c r="T236" t="s">
        <v>56</v>
      </c>
      <c r="U236" t="s">
        <v>57</v>
      </c>
      <c r="V236" t="s">
        <v>57</v>
      </c>
      <c r="W236" t="s">
        <v>62</v>
      </c>
      <c r="X236" t="s">
        <v>62</v>
      </c>
      <c r="Y236" t="s">
        <v>62</v>
      </c>
      <c r="Z236" t="s">
        <v>44</v>
      </c>
      <c r="AA236" t="s">
        <v>44</v>
      </c>
      <c r="AB236" t="s">
        <v>63</v>
      </c>
      <c r="AC236" t="s">
        <v>45</v>
      </c>
      <c r="AD236" t="s">
        <v>46</v>
      </c>
      <c r="AE236" t="s">
        <v>56</v>
      </c>
      <c r="AF236" t="s">
        <v>47</v>
      </c>
      <c r="AG236" t="s">
        <v>57</v>
      </c>
      <c r="AH236" t="s">
        <v>48</v>
      </c>
      <c r="AI236" t="s">
        <v>49</v>
      </c>
      <c r="AJ236" t="s">
        <v>50</v>
      </c>
      <c r="AK236" t="s">
        <v>51</v>
      </c>
      <c r="AL236" t="s">
        <v>44</v>
      </c>
      <c r="AM236" t="s">
        <v>44</v>
      </c>
      <c r="AN236" t="s">
        <v>44</v>
      </c>
      <c r="AO236" t="s">
        <v>52</v>
      </c>
      <c r="AP236" t="s">
        <v>53</v>
      </c>
      <c r="AQ23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F47" sqref="AF47"/>
    </sheetView>
  </sheetViews>
  <sheetFormatPr defaultRowHeight="15" x14ac:dyDescent="0.25"/>
  <cols>
    <col min="1" max="1" width="43" bestFit="1" customWidth="1"/>
    <col min="33" max="33" width="13.5703125" bestFit="1" customWidth="1"/>
    <col min="34" max="34" width="26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70</v>
      </c>
      <c r="B2" t="s">
        <v>71</v>
      </c>
      <c r="C2">
        <v>142</v>
      </c>
      <c r="D2">
        <v>307</v>
      </c>
      <c r="E2" s="1">
        <v>7.2399999999999998E-5</v>
      </c>
      <c r="F2">
        <v>24.6</v>
      </c>
      <c r="G2">
        <v>4.1899999999999999E-4</v>
      </c>
      <c r="H2">
        <v>6.9699999999999998E-2</v>
      </c>
      <c r="I2" s="1">
        <v>8.0800000000000006E-6</v>
      </c>
      <c r="J2">
        <v>7240</v>
      </c>
      <c r="K2">
        <v>6230</v>
      </c>
      <c r="L2">
        <v>62.3</v>
      </c>
      <c r="M2">
        <v>467</v>
      </c>
      <c r="N2">
        <v>249</v>
      </c>
      <c r="O2">
        <v>8.4</v>
      </c>
      <c r="P2">
        <v>1</v>
      </c>
      <c r="Q2">
        <v>218</v>
      </c>
      <c r="R2">
        <v>3.5</v>
      </c>
      <c r="S2">
        <v>0.22800000000000001</v>
      </c>
      <c r="T2">
        <v>0.22800000000000001</v>
      </c>
      <c r="U2">
        <v>1.72</v>
      </c>
      <c r="V2">
        <v>1.72</v>
      </c>
      <c r="W2">
        <v>4.9800000000000001E-3</v>
      </c>
      <c r="X2">
        <v>2.3699999999999999E-2</v>
      </c>
      <c r="Y2">
        <v>2.86E-2</v>
      </c>
      <c r="Z2" t="s">
        <v>44</v>
      </c>
      <c r="AA2" t="s">
        <v>44</v>
      </c>
      <c r="AB2">
        <v>187</v>
      </c>
      <c r="AC2" t="s">
        <v>45</v>
      </c>
      <c r="AD2" t="s">
        <v>46</v>
      </c>
      <c r="AE2">
        <v>4.0000000000000001E-3</v>
      </c>
      <c r="AF2" t="s">
        <v>47</v>
      </c>
      <c r="AG2" t="s">
        <v>57</v>
      </c>
      <c r="AH2" t="s">
        <v>48</v>
      </c>
      <c r="AI2" t="s">
        <v>49</v>
      </c>
      <c r="AJ2" t="s">
        <v>50</v>
      </c>
      <c r="AK2" t="s">
        <v>72</v>
      </c>
      <c r="AL2">
        <v>0.22800000000000001</v>
      </c>
      <c r="AM2">
        <v>9.9600000000000001E-3</v>
      </c>
      <c r="AN2">
        <v>1.7399999999999999E-2</v>
      </c>
      <c r="AO2" t="s">
        <v>52</v>
      </c>
      <c r="AP2" t="s">
        <v>53</v>
      </c>
      <c r="AQ2" t="s">
        <v>54</v>
      </c>
    </row>
    <row r="3" spans="1:43" x14ac:dyDescent="0.25">
      <c r="A3" t="s">
        <v>75</v>
      </c>
      <c r="B3" t="s">
        <v>76</v>
      </c>
      <c r="C3">
        <v>268</v>
      </c>
      <c r="D3">
        <v>443</v>
      </c>
      <c r="E3" s="1">
        <v>1.9199999999999999E-11</v>
      </c>
      <c r="F3">
        <v>2.8999999999999998E-3</v>
      </c>
      <c r="G3" s="1">
        <v>1.7799999999999999E-6</v>
      </c>
      <c r="H3">
        <v>4.5699999999999998E-2</v>
      </c>
      <c r="I3" s="1">
        <v>5.2900000000000002E-6</v>
      </c>
      <c r="J3">
        <v>2630000</v>
      </c>
      <c r="K3">
        <v>2050000</v>
      </c>
      <c r="L3">
        <v>20500</v>
      </c>
      <c r="M3">
        <v>154000</v>
      </c>
      <c r="N3">
        <v>81900</v>
      </c>
      <c r="O3">
        <v>0.25</v>
      </c>
      <c r="P3">
        <v>3.1300000000000001E-2</v>
      </c>
      <c r="Q3">
        <v>20400</v>
      </c>
      <c r="R3">
        <v>0.996</v>
      </c>
      <c r="S3">
        <v>7.5399999999999998E-3</v>
      </c>
      <c r="T3">
        <v>7.5399999999999998E-3</v>
      </c>
      <c r="U3">
        <v>216000</v>
      </c>
      <c r="V3">
        <v>216000</v>
      </c>
      <c r="W3">
        <v>6.7799999999999996E-3</v>
      </c>
      <c r="X3">
        <v>3.2199999999999999E-2</v>
      </c>
      <c r="Y3">
        <v>3.9E-2</v>
      </c>
      <c r="Z3" t="s">
        <v>44</v>
      </c>
      <c r="AA3" t="s">
        <v>44</v>
      </c>
      <c r="AB3">
        <v>17500</v>
      </c>
      <c r="AC3">
        <v>497000</v>
      </c>
      <c r="AD3" t="s">
        <v>46</v>
      </c>
      <c r="AE3" t="s">
        <v>56</v>
      </c>
      <c r="AF3">
        <v>22</v>
      </c>
      <c r="AG3" t="s">
        <v>57</v>
      </c>
      <c r="AH3" s="1">
        <v>0.01</v>
      </c>
      <c r="AI3" t="s">
        <v>49</v>
      </c>
      <c r="AJ3" t="s">
        <v>50</v>
      </c>
      <c r="AK3" t="s">
        <v>72</v>
      </c>
      <c r="AL3">
        <v>7.5399999999999998E-3</v>
      </c>
      <c r="AM3">
        <v>1.3599999999999999E-2</v>
      </c>
      <c r="AN3">
        <v>2.3699999999999999E-2</v>
      </c>
      <c r="AO3" t="s">
        <v>52</v>
      </c>
      <c r="AP3" t="s">
        <v>53</v>
      </c>
      <c r="AQ3" t="s">
        <v>54</v>
      </c>
    </row>
    <row r="4" spans="1:43" x14ac:dyDescent="0.25">
      <c r="A4" t="s">
        <v>79</v>
      </c>
      <c r="B4" t="s">
        <v>80</v>
      </c>
      <c r="C4">
        <v>242</v>
      </c>
      <c r="D4">
        <v>423</v>
      </c>
      <c r="E4" s="1">
        <v>3.3299999999999999E-10</v>
      </c>
      <c r="F4">
        <v>6.2E-2</v>
      </c>
      <c r="G4" s="1">
        <v>1.3E-6</v>
      </c>
      <c r="H4">
        <v>4.8899999999999999E-2</v>
      </c>
      <c r="I4" s="1">
        <v>5.66E-6</v>
      </c>
      <c r="J4">
        <v>1170000</v>
      </c>
      <c r="K4">
        <v>927000</v>
      </c>
      <c r="L4">
        <v>9270</v>
      </c>
      <c r="M4">
        <v>69500</v>
      </c>
      <c r="N4">
        <v>37100</v>
      </c>
      <c r="O4">
        <v>2.11</v>
      </c>
      <c r="P4">
        <v>0.35899999999999999</v>
      </c>
      <c r="Q4">
        <v>11000</v>
      </c>
      <c r="R4">
        <v>1.18</v>
      </c>
      <c r="S4">
        <v>1.2E-2</v>
      </c>
      <c r="T4">
        <v>1.2E-2</v>
      </c>
      <c r="U4">
        <v>125000</v>
      </c>
      <c r="V4">
        <v>125000</v>
      </c>
      <c r="W4">
        <v>7.7499999999999999E-3</v>
      </c>
      <c r="X4">
        <v>3.6799999999999999E-2</v>
      </c>
      <c r="Y4">
        <v>4.4600000000000001E-2</v>
      </c>
      <c r="Z4" t="s">
        <v>44</v>
      </c>
      <c r="AA4" t="s">
        <v>44</v>
      </c>
      <c r="AB4">
        <v>9420</v>
      </c>
      <c r="AC4">
        <v>177000</v>
      </c>
      <c r="AD4" t="s">
        <v>46</v>
      </c>
      <c r="AE4" t="s">
        <v>56</v>
      </c>
      <c r="AF4">
        <v>2.8</v>
      </c>
      <c r="AG4" t="s">
        <v>57</v>
      </c>
      <c r="AH4" s="1">
        <v>1.8E-3</v>
      </c>
      <c r="AI4" t="s">
        <v>49</v>
      </c>
      <c r="AJ4" t="s">
        <v>50</v>
      </c>
      <c r="AK4" t="s">
        <v>72</v>
      </c>
      <c r="AL4">
        <v>1.2E-2</v>
      </c>
      <c r="AM4">
        <v>1.55E-2</v>
      </c>
      <c r="AN4">
        <v>2.7099999999999999E-2</v>
      </c>
      <c r="AO4" t="s">
        <v>52</v>
      </c>
      <c r="AP4" t="s">
        <v>53</v>
      </c>
      <c r="AQ4" t="s">
        <v>54</v>
      </c>
    </row>
    <row r="5" spans="1:43" x14ac:dyDescent="0.25">
      <c r="A5" t="s">
        <v>81</v>
      </c>
      <c r="B5" t="s">
        <v>82</v>
      </c>
      <c r="C5">
        <v>154</v>
      </c>
      <c r="D5">
        <v>366</v>
      </c>
      <c r="E5" s="1">
        <v>3.2899999999999998E-6</v>
      </c>
      <c r="F5">
        <v>3.6</v>
      </c>
      <c r="G5">
        <v>1.6000000000000001E-4</v>
      </c>
      <c r="H5">
        <v>1E-3</v>
      </c>
      <c r="I5" s="1">
        <v>1.0000000000000001E-5</v>
      </c>
      <c r="J5">
        <v>7940</v>
      </c>
      <c r="K5">
        <v>4900</v>
      </c>
      <c r="L5">
        <v>1100</v>
      </c>
      <c r="M5">
        <v>368</v>
      </c>
      <c r="N5">
        <v>196</v>
      </c>
      <c r="O5">
        <v>2.48</v>
      </c>
      <c r="P5">
        <v>1</v>
      </c>
      <c r="Q5">
        <v>234</v>
      </c>
      <c r="R5">
        <v>0.21299999999999999</v>
      </c>
      <c r="S5">
        <v>0.216</v>
      </c>
      <c r="T5">
        <v>0.216</v>
      </c>
      <c r="U5">
        <v>4.97</v>
      </c>
      <c r="V5">
        <v>4.97</v>
      </c>
      <c r="W5">
        <v>5.1200000000000004E-3</v>
      </c>
      <c r="X5">
        <v>2.4299999999999999E-2</v>
      </c>
      <c r="Y5">
        <v>2.9399999999999999E-2</v>
      </c>
      <c r="Z5">
        <v>7.3200000000000001E-2</v>
      </c>
      <c r="AA5" t="s">
        <v>44</v>
      </c>
      <c r="AB5">
        <v>201</v>
      </c>
      <c r="AC5" t="s">
        <v>45</v>
      </c>
      <c r="AD5" t="s">
        <v>46</v>
      </c>
      <c r="AE5">
        <v>0.06</v>
      </c>
      <c r="AF5" t="s">
        <v>47</v>
      </c>
      <c r="AG5" t="s">
        <v>57</v>
      </c>
      <c r="AH5" t="s">
        <v>48</v>
      </c>
      <c r="AI5" t="s">
        <v>49</v>
      </c>
      <c r="AJ5" t="s">
        <v>50</v>
      </c>
      <c r="AK5" t="s">
        <v>72</v>
      </c>
      <c r="AL5">
        <v>0.216</v>
      </c>
      <c r="AM5">
        <v>1.0200000000000001E-2</v>
      </c>
      <c r="AN5">
        <v>1.7899999999999999E-2</v>
      </c>
      <c r="AO5" t="s">
        <v>52</v>
      </c>
      <c r="AP5" t="s">
        <v>53</v>
      </c>
      <c r="AQ5" t="s">
        <v>54</v>
      </c>
    </row>
    <row r="6" spans="1:43" x14ac:dyDescent="0.25">
      <c r="A6" t="s">
        <v>83</v>
      </c>
      <c r="B6" t="s">
        <v>84</v>
      </c>
      <c r="C6" t="s">
        <v>44</v>
      </c>
      <c r="D6" t="s">
        <v>60</v>
      </c>
      <c r="E6" t="s">
        <v>57</v>
      </c>
      <c r="F6" t="s">
        <v>46</v>
      </c>
      <c r="G6" t="s">
        <v>56</v>
      </c>
      <c r="H6" t="s">
        <v>44</v>
      </c>
      <c r="I6" t="s">
        <v>44</v>
      </c>
      <c r="J6" t="s">
        <v>57</v>
      </c>
      <c r="K6" t="s">
        <v>44</v>
      </c>
      <c r="L6" t="s">
        <v>57</v>
      </c>
      <c r="M6" t="s">
        <v>44</v>
      </c>
      <c r="N6" t="s">
        <v>61</v>
      </c>
      <c r="O6" t="s">
        <v>57</v>
      </c>
      <c r="P6" t="s">
        <v>44</v>
      </c>
      <c r="Q6" t="s">
        <v>57</v>
      </c>
      <c r="R6" t="s">
        <v>57</v>
      </c>
      <c r="S6" t="s">
        <v>56</v>
      </c>
      <c r="T6" t="s">
        <v>56</v>
      </c>
      <c r="U6" t="s">
        <v>57</v>
      </c>
      <c r="V6" t="s">
        <v>57</v>
      </c>
      <c r="W6" t="s">
        <v>62</v>
      </c>
      <c r="X6" t="s">
        <v>62</v>
      </c>
      <c r="Y6" t="s">
        <v>62</v>
      </c>
      <c r="Z6" t="s">
        <v>44</v>
      </c>
      <c r="AA6" t="s">
        <v>44</v>
      </c>
      <c r="AB6" t="s">
        <v>63</v>
      </c>
      <c r="AC6" t="s">
        <v>45</v>
      </c>
      <c r="AD6" t="s">
        <v>46</v>
      </c>
      <c r="AE6" t="s">
        <v>56</v>
      </c>
      <c r="AF6" t="s">
        <v>47</v>
      </c>
      <c r="AG6" t="s">
        <v>57</v>
      </c>
      <c r="AH6" t="s">
        <v>48</v>
      </c>
      <c r="AI6" t="s">
        <v>49</v>
      </c>
      <c r="AJ6" t="s">
        <v>50</v>
      </c>
      <c r="AK6" t="s">
        <v>72</v>
      </c>
      <c r="AL6" t="s">
        <v>44</v>
      </c>
      <c r="AM6" t="s">
        <v>44</v>
      </c>
      <c r="AN6" t="s">
        <v>44</v>
      </c>
      <c r="AO6" t="s">
        <v>52</v>
      </c>
      <c r="AP6" t="s">
        <v>53</v>
      </c>
      <c r="AQ6" t="s">
        <v>54</v>
      </c>
    </row>
    <row r="7" spans="1:43" x14ac:dyDescent="0.25">
      <c r="A7" t="s">
        <v>106</v>
      </c>
      <c r="B7" t="s">
        <v>107</v>
      </c>
      <c r="C7">
        <v>178</v>
      </c>
      <c r="D7">
        <v>493</v>
      </c>
      <c r="E7" s="1">
        <v>3.5499999999999999E-9</v>
      </c>
      <c r="F7">
        <v>4.2999999999999997E-2</v>
      </c>
      <c r="G7" s="1">
        <v>6.4999999999999994E-5</v>
      </c>
      <c r="H7">
        <v>1E-3</v>
      </c>
      <c r="I7" s="1">
        <v>1.0000000000000001E-5</v>
      </c>
      <c r="J7">
        <v>31600</v>
      </c>
      <c r="K7">
        <v>23500</v>
      </c>
      <c r="L7">
        <v>4500</v>
      </c>
      <c r="M7">
        <v>1760</v>
      </c>
      <c r="N7">
        <v>940</v>
      </c>
      <c r="O7">
        <v>0.55000000000000004</v>
      </c>
      <c r="P7">
        <v>0.998</v>
      </c>
      <c r="Q7">
        <v>678</v>
      </c>
      <c r="R7">
        <v>0.151</v>
      </c>
      <c r="S7">
        <v>9.7100000000000006E-2</v>
      </c>
      <c r="T7">
        <v>9.7100000000000006E-2</v>
      </c>
      <c r="U7">
        <v>53.3</v>
      </c>
      <c r="V7">
        <v>53.3</v>
      </c>
      <c r="W7">
        <v>7.1199999999999996E-3</v>
      </c>
      <c r="X7">
        <v>3.3799999999999997E-2</v>
      </c>
      <c r="Y7">
        <v>4.0899999999999999E-2</v>
      </c>
      <c r="Z7">
        <v>0.23499999999999999</v>
      </c>
      <c r="AA7" t="s">
        <v>44</v>
      </c>
      <c r="AB7">
        <v>582</v>
      </c>
      <c r="AC7">
        <v>1030</v>
      </c>
      <c r="AD7" t="s">
        <v>46</v>
      </c>
      <c r="AE7">
        <v>0.3</v>
      </c>
      <c r="AF7" t="s">
        <v>47</v>
      </c>
      <c r="AG7" t="s">
        <v>57</v>
      </c>
      <c r="AH7" s="1">
        <v>7.2000000000000005E-4</v>
      </c>
      <c r="AI7" t="s">
        <v>49</v>
      </c>
      <c r="AJ7" t="s">
        <v>50</v>
      </c>
      <c r="AK7" t="s">
        <v>72</v>
      </c>
      <c r="AL7">
        <v>9.7100000000000006E-2</v>
      </c>
      <c r="AM7">
        <v>1.4200000000000001E-2</v>
      </c>
      <c r="AN7">
        <v>2.4899999999999999E-2</v>
      </c>
      <c r="AO7" t="s">
        <v>52</v>
      </c>
      <c r="AP7" t="s">
        <v>53</v>
      </c>
      <c r="AQ7" t="s">
        <v>54</v>
      </c>
    </row>
    <row r="8" spans="1:43" x14ac:dyDescent="0.25">
      <c r="A8" t="s">
        <v>122</v>
      </c>
      <c r="B8" t="s">
        <v>123</v>
      </c>
      <c r="C8">
        <v>228</v>
      </c>
      <c r="D8">
        <v>357</v>
      </c>
      <c r="E8" s="1">
        <v>1.4499999999999999E-10</v>
      </c>
      <c r="F8">
        <v>9.4000000000000004E-3</v>
      </c>
      <c r="G8" s="1">
        <v>3.4000000000000001E-6</v>
      </c>
      <c r="H8">
        <v>5.0999999999999997E-2</v>
      </c>
      <c r="I8" s="1">
        <v>9.0000000000000002E-6</v>
      </c>
      <c r="J8">
        <v>501000</v>
      </c>
      <c r="K8">
        <v>358000</v>
      </c>
      <c r="L8">
        <v>60000</v>
      </c>
      <c r="M8">
        <v>26900</v>
      </c>
      <c r="N8">
        <v>14300</v>
      </c>
      <c r="O8">
        <v>0.37</v>
      </c>
      <c r="P8">
        <v>0.48299999999999998</v>
      </c>
      <c r="Q8">
        <v>5690</v>
      </c>
      <c r="R8">
        <v>9.4799999999999995E-2</v>
      </c>
      <c r="S8">
        <v>1.9699999999999999E-2</v>
      </c>
      <c r="T8">
        <v>1.9699999999999999E-2</v>
      </c>
      <c r="U8">
        <v>19300</v>
      </c>
      <c r="V8">
        <v>19300</v>
      </c>
      <c r="W8">
        <v>8.4100000000000008E-3</v>
      </c>
      <c r="X8">
        <v>3.9899999999999998E-2</v>
      </c>
      <c r="Y8">
        <v>4.8300000000000003E-2</v>
      </c>
      <c r="Z8">
        <v>3.79</v>
      </c>
      <c r="AA8" t="s">
        <v>44</v>
      </c>
      <c r="AB8">
        <v>4890</v>
      </c>
      <c r="AC8">
        <v>49900</v>
      </c>
      <c r="AD8" t="s">
        <v>46</v>
      </c>
      <c r="AE8" t="s">
        <v>56</v>
      </c>
      <c r="AF8">
        <v>0.28000000000000003</v>
      </c>
      <c r="AG8" t="s">
        <v>57</v>
      </c>
      <c r="AH8" s="1">
        <v>3.6000000000000002E-4</v>
      </c>
      <c r="AI8" t="s">
        <v>49</v>
      </c>
      <c r="AJ8" t="s">
        <v>50</v>
      </c>
      <c r="AK8" t="s">
        <v>72</v>
      </c>
      <c r="AL8">
        <v>1.9699999999999999E-2</v>
      </c>
      <c r="AM8">
        <v>1.6799999999999999E-2</v>
      </c>
      <c r="AN8">
        <v>2.9399999999999999E-2</v>
      </c>
      <c r="AO8" t="s">
        <v>52</v>
      </c>
      <c r="AP8" t="s">
        <v>53</v>
      </c>
      <c r="AQ8" t="s">
        <v>54</v>
      </c>
    </row>
    <row r="9" spans="1:43" x14ac:dyDescent="0.25">
      <c r="A9" t="s">
        <v>124</v>
      </c>
      <c r="B9" t="s">
        <v>125</v>
      </c>
      <c r="C9">
        <v>252</v>
      </c>
      <c r="D9">
        <v>453</v>
      </c>
      <c r="E9" s="1">
        <v>7.2399999999999998E-12</v>
      </c>
      <c r="F9">
        <v>1.6000000000000001E-3</v>
      </c>
      <c r="G9" s="1">
        <v>1.1000000000000001E-6</v>
      </c>
      <c r="H9">
        <v>4.2999999999999997E-2</v>
      </c>
      <c r="I9" s="1">
        <v>9.0000000000000002E-6</v>
      </c>
      <c r="J9">
        <v>1000000</v>
      </c>
      <c r="K9">
        <v>969000</v>
      </c>
      <c r="L9">
        <v>160000</v>
      </c>
      <c r="M9">
        <v>72700</v>
      </c>
      <c r="N9">
        <v>38800</v>
      </c>
      <c r="O9">
        <v>0.48</v>
      </c>
      <c r="P9">
        <v>0.29399999999999998</v>
      </c>
      <c r="Q9">
        <v>9680</v>
      </c>
      <c r="R9">
        <v>6.0499999999999998E-2</v>
      </c>
      <c r="S9">
        <v>1.32E-2</v>
      </c>
      <c r="T9">
        <v>1.32E-2</v>
      </c>
      <c r="U9">
        <v>125000</v>
      </c>
      <c r="V9">
        <v>125000</v>
      </c>
      <c r="W9">
        <v>7.9100000000000004E-3</v>
      </c>
      <c r="X9">
        <v>3.7600000000000001E-2</v>
      </c>
      <c r="Y9">
        <v>4.5499999999999999E-2</v>
      </c>
      <c r="Z9">
        <v>10.7</v>
      </c>
      <c r="AA9" t="s">
        <v>44</v>
      </c>
      <c r="AB9">
        <v>8320</v>
      </c>
      <c r="AC9">
        <v>133000</v>
      </c>
      <c r="AD9" t="s">
        <v>46</v>
      </c>
      <c r="AE9" t="s">
        <v>56</v>
      </c>
      <c r="AF9">
        <v>2.8</v>
      </c>
      <c r="AG9" t="s">
        <v>57</v>
      </c>
      <c r="AH9" s="1">
        <v>1.8E-3</v>
      </c>
      <c r="AI9" t="s">
        <v>49</v>
      </c>
      <c r="AJ9" t="s">
        <v>50</v>
      </c>
      <c r="AK9" t="s">
        <v>72</v>
      </c>
      <c r="AL9">
        <v>1.32E-2</v>
      </c>
      <c r="AM9">
        <v>1.5800000000000002E-2</v>
      </c>
      <c r="AN9">
        <v>2.7699999999999999E-2</v>
      </c>
      <c r="AO9" t="s">
        <v>52</v>
      </c>
      <c r="AP9" t="s">
        <v>53</v>
      </c>
      <c r="AQ9" t="s">
        <v>54</v>
      </c>
    </row>
    <row r="10" spans="1:43" x14ac:dyDescent="0.25">
      <c r="A10" t="s">
        <v>126</v>
      </c>
      <c r="B10" t="s">
        <v>127</v>
      </c>
      <c r="C10">
        <v>252</v>
      </c>
      <c r="D10">
        <v>441</v>
      </c>
      <c r="E10" s="1">
        <v>6.58E-10</v>
      </c>
      <c r="F10">
        <v>1.5E-3</v>
      </c>
      <c r="G10">
        <v>1.11E-4</v>
      </c>
      <c r="H10">
        <v>1E-3</v>
      </c>
      <c r="I10" s="1">
        <v>1.0000000000000001E-5</v>
      </c>
      <c r="J10">
        <v>1330000</v>
      </c>
      <c r="K10">
        <v>1050000</v>
      </c>
      <c r="L10">
        <v>10500</v>
      </c>
      <c r="M10">
        <v>78600</v>
      </c>
      <c r="N10">
        <v>41900</v>
      </c>
      <c r="O10">
        <v>0.41</v>
      </c>
      <c r="P10">
        <v>0.96599999999999997</v>
      </c>
      <c r="Q10">
        <v>12100</v>
      </c>
      <c r="R10">
        <v>1.1499999999999999</v>
      </c>
      <c r="S10">
        <v>1.12E-2</v>
      </c>
      <c r="T10">
        <v>1.12E-2</v>
      </c>
      <c r="U10">
        <v>1680</v>
      </c>
      <c r="V10">
        <v>1680</v>
      </c>
      <c r="W10">
        <v>7.62E-3</v>
      </c>
      <c r="X10">
        <v>3.6200000000000003E-2</v>
      </c>
      <c r="Y10">
        <v>4.3799999999999999E-2</v>
      </c>
      <c r="Z10">
        <v>12.7</v>
      </c>
      <c r="AA10" t="s">
        <v>44</v>
      </c>
      <c r="AB10">
        <v>10400</v>
      </c>
      <c r="AC10">
        <v>206000</v>
      </c>
      <c r="AD10" t="s">
        <v>46</v>
      </c>
      <c r="AE10" t="s">
        <v>56</v>
      </c>
      <c r="AF10">
        <v>0.28000000000000003</v>
      </c>
      <c r="AG10" t="s">
        <v>57</v>
      </c>
      <c r="AH10" s="1">
        <v>1.4E-3</v>
      </c>
      <c r="AI10" t="s">
        <v>49</v>
      </c>
      <c r="AJ10" t="s">
        <v>50</v>
      </c>
      <c r="AK10" t="s">
        <v>72</v>
      </c>
      <c r="AL10">
        <v>1.12E-2</v>
      </c>
      <c r="AM10">
        <v>1.52E-2</v>
      </c>
      <c r="AN10">
        <v>2.6700000000000002E-2</v>
      </c>
      <c r="AO10" t="s">
        <v>52</v>
      </c>
      <c r="AP10" t="s">
        <v>53</v>
      </c>
      <c r="AQ10" t="s">
        <v>54</v>
      </c>
    </row>
    <row r="11" spans="1:43" x14ac:dyDescent="0.25">
      <c r="A11" t="s">
        <v>128</v>
      </c>
      <c r="B11" t="s">
        <v>129</v>
      </c>
      <c r="C11" t="s">
        <v>44</v>
      </c>
      <c r="D11" t="s">
        <v>60</v>
      </c>
      <c r="E11" t="s">
        <v>57</v>
      </c>
      <c r="F11" t="s">
        <v>46</v>
      </c>
      <c r="G11" t="s">
        <v>56</v>
      </c>
      <c r="H11" t="s">
        <v>44</v>
      </c>
      <c r="I11" t="s">
        <v>44</v>
      </c>
      <c r="J11" t="s">
        <v>57</v>
      </c>
      <c r="K11" t="s">
        <v>44</v>
      </c>
      <c r="L11" t="s">
        <v>57</v>
      </c>
      <c r="M11" t="s">
        <v>44</v>
      </c>
      <c r="N11" t="s">
        <v>61</v>
      </c>
      <c r="O11" t="s">
        <v>57</v>
      </c>
      <c r="P11" t="s">
        <v>44</v>
      </c>
      <c r="Q11" t="s">
        <v>57</v>
      </c>
      <c r="R11" t="s">
        <v>57</v>
      </c>
      <c r="S11" t="s">
        <v>56</v>
      </c>
      <c r="T11" t="s">
        <v>56</v>
      </c>
      <c r="U11" t="s">
        <v>57</v>
      </c>
      <c r="V11" t="s">
        <v>57</v>
      </c>
      <c r="W11" t="s">
        <v>62</v>
      </c>
      <c r="X11" t="s">
        <v>62</v>
      </c>
      <c r="Y11" t="s">
        <v>62</v>
      </c>
      <c r="Z11" t="s">
        <v>44</v>
      </c>
      <c r="AA11" t="s">
        <v>44</v>
      </c>
      <c r="AB11" t="s">
        <v>63</v>
      </c>
      <c r="AC11" t="s">
        <v>45</v>
      </c>
      <c r="AD11" t="s">
        <v>46</v>
      </c>
      <c r="AE11" t="s">
        <v>56</v>
      </c>
      <c r="AF11" t="s">
        <v>47</v>
      </c>
      <c r="AG11" t="s">
        <v>57</v>
      </c>
      <c r="AH11" t="s">
        <v>48</v>
      </c>
      <c r="AI11" t="s">
        <v>49</v>
      </c>
      <c r="AJ11" t="s">
        <v>50</v>
      </c>
      <c r="AK11" t="s">
        <v>72</v>
      </c>
      <c r="AL11" t="s">
        <v>44</v>
      </c>
      <c r="AM11" t="s">
        <v>44</v>
      </c>
      <c r="AN11" t="s">
        <v>44</v>
      </c>
      <c r="AO11" t="s">
        <v>52</v>
      </c>
      <c r="AP11" t="s">
        <v>53</v>
      </c>
      <c r="AQ11" t="s">
        <v>54</v>
      </c>
    </row>
    <row r="12" spans="1:43" x14ac:dyDescent="0.25">
      <c r="A12" t="s">
        <v>130</v>
      </c>
      <c r="B12" t="s">
        <v>131</v>
      </c>
      <c r="C12" t="s">
        <v>44</v>
      </c>
      <c r="D12" t="s">
        <v>60</v>
      </c>
      <c r="E12" t="s">
        <v>57</v>
      </c>
      <c r="F12" t="s">
        <v>46</v>
      </c>
      <c r="G12" t="s">
        <v>56</v>
      </c>
      <c r="H12" t="s">
        <v>44</v>
      </c>
      <c r="I12" t="s">
        <v>44</v>
      </c>
      <c r="J12" t="s">
        <v>57</v>
      </c>
      <c r="K12" t="s">
        <v>44</v>
      </c>
      <c r="L12" t="s">
        <v>57</v>
      </c>
      <c r="M12" t="s">
        <v>44</v>
      </c>
      <c r="N12" t="s">
        <v>61</v>
      </c>
      <c r="O12" t="s">
        <v>57</v>
      </c>
      <c r="P12" t="s">
        <v>44</v>
      </c>
      <c r="Q12" t="s">
        <v>57</v>
      </c>
      <c r="R12" t="s">
        <v>57</v>
      </c>
      <c r="S12" t="s">
        <v>56</v>
      </c>
      <c r="T12" t="s">
        <v>56</v>
      </c>
      <c r="U12" t="s">
        <v>57</v>
      </c>
      <c r="V12" t="s">
        <v>57</v>
      </c>
      <c r="W12" t="s">
        <v>62</v>
      </c>
      <c r="X12" t="s">
        <v>62</v>
      </c>
      <c r="Y12" t="s">
        <v>62</v>
      </c>
      <c r="Z12" t="s">
        <v>44</v>
      </c>
      <c r="AA12" t="s">
        <v>44</v>
      </c>
      <c r="AB12" t="s">
        <v>63</v>
      </c>
      <c r="AC12" t="s">
        <v>45</v>
      </c>
      <c r="AD12" t="s">
        <v>46</v>
      </c>
      <c r="AE12" t="s">
        <v>56</v>
      </c>
      <c r="AF12" t="s">
        <v>47</v>
      </c>
      <c r="AG12" t="s">
        <v>57</v>
      </c>
      <c r="AH12" t="s">
        <v>48</v>
      </c>
      <c r="AI12" t="s">
        <v>49</v>
      </c>
      <c r="AJ12" t="s">
        <v>50</v>
      </c>
      <c r="AK12" t="s">
        <v>72</v>
      </c>
      <c r="AL12" t="s">
        <v>44</v>
      </c>
      <c r="AM12" t="s">
        <v>44</v>
      </c>
      <c r="AN12" t="s">
        <v>44</v>
      </c>
      <c r="AO12" t="s">
        <v>52</v>
      </c>
      <c r="AP12" t="s">
        <v>53</v>
      </c>
      <c r="AQ12" t="s">
        <v>54</v>
      </c>
    </row>
    <row r="13" spans="1:43" x14ac:dyDescent="0.25">
      <c r="A13" t="s">
        <v>132</v>
      </c>
      <c r="B13" t="s">
        <v>133</v>
      </c>
      <c r="C13" t="s">
        <v>44</v>
      </c>
      <c r="D13" t="s">
        <v>60</v>
      </c>
      <c r="E13" t="s">
        <v>57</v>
      </c>
      <c r="F13" t="s">
        <v>46</v>
      </c>
      <c r="G13" t="s">
        <v>56</v>
      </c>
      <c r="H13" t="s">
        <v>44</v>
      </c>
      <c r="I13" t="s">
        <v>44</v>
      </c>
      <c r="J13" t="s">
        <v>57</v>
      </c>
      <c r="K13" t="s">
        <v>44</v>
      </c>
      <c r="L13" t="s">
        <v>57</v>
      </c>
      <c r="M13" t="s">
        <v>44</v>
      </c>
      <c r="N13" t="s">
        <v>61</v>
      </c>
      <c r="O13" t="s">
        <v>57</v>
      </c>
      <c r="P13" t="s">
        <v>44</v>
      </c>
      <c r="Q13" t="s">
        <v>57</v>
      </c>
      <c r="R13" t="s">
        <v>57</v>
      </c>
      <c r="S13" t="s">
        <v>56</v>
      </c>
      <c r="T13" t="s">
        <v>56</v>
      </c>
      <c r="U13" t="s">
        <v>57</v>
      </c>
      <c r="V13" t="s">
        <v>57</v>
      </c>
      <c r="W13" t="s">
        <v>62</v>
      </c>
      <c r="X13" t="s">
        <v>62</v>
      </c>
      <c r="Y13" t="s">
        <v>62</v>
      </c>
      <c r="Z13" t="s">
        <v>44</v>
      </c>
      <c r="AA13" t="s">
        <v>44</v>
      </c>
      <c r="AB13" t="s">
        <v>63</v>
      </c>
      <c r="AC13" t="s">
        <v>45</v>
      </c>
      <c r="AD13" t="s">
        <v>46</v>
      </c>
      <c r="AE13" t="s">
        <v>56</v>
      </c>
      <c r="AF13" t="s">
        <v>47</v>
      </c>
      <c r="AG13" t="s">
        <v>57</v>
      </c>
      <c r="AH13" s="1">
        <v>1.5999999999999999E-5</v>
      </c>
      <c r="AI13" t="s">
        <v>49</v>
      </c>
      <c r="AJ13" t="s">
        <v>50</v>
      </c>
      <c r="AK13" t="s">
        <v>72</v>
      </c>
      <c r="AL13" t="s">
        <v>44</v>
      </c>
      <c r="AM13" t="s">
        <v>44</v>
      </c>
      <c r="AN13" t="s">
        <v>44</v>
      </c>
      <c r="AO13" t="s">
        <v>52</v>
      </c>
      <c r="AP13" t="s">
        <v>53</v>
      </c>
      <c r="AQ13" t="s">
        <v>54</v>
      </c>
    </row>
    <row r="14" spans="1:43" x14ac:dyDescent="0.25">
      <c r="A14" t="s">
        <v>134</v>
      </c>
      <c r="B14" t="s">
        <v>135</v>
      </c>
      <c r="C14" t="s">
        <v>44</v>
      </c>
      <c r="D14" t="s">
        <v>60</v>
      </c>
      <c r="E14" t="s">
        <v>57</v>
      </c>
      <c r="F14" t="s">
        <v>46</v>
      </c>
      <c r="G14" t="s">
        <v>56</v>
      </c>
      <c r="H14" t="s">
        <v>44</v>
      </c>
      <c r="I14" t="s">
        <v>44</v>
      </c>
      <c r="J14" t="s">
        <v>57</v>
      </c>
      <c r="K14" t="s">
        <v>44</v>
      </c>
      <c r="L14" t="s">
        <v>57</v>
      </c>
      <c r="M14" t="s">
        <v>44</v>
      </c>
      <c r="N14" t="s">
        <v>61</v>
      </c>
      <c r="O14" t="s">
        <v>57</v>
      </c>
      <c r="P14" t="s">
        <v>44</v>
      </c>
      <c r="Q14" t="s">
        <v>57</v>
      </c>
      <c r="R14" t="s">
        <v>57</v>
      </c>
      <c r="S14" t="s">
        <v>56</v>
      </c>
      <c r="T14" t="s">
        <v>56</v>
      </c>
      <c r="U14" t="s">
        <v>57</v>
      </c>
      <c r="V14" t="s">
        <v>57</v>
      </c>
      <c r="W14" t="s">
        <v>62</v>
      </c>
      <c r="X14" t="s">
        <v>62</v>
      </c>
      <c r="Y14" t="s">
        <v>62</v>
      </c>
      <c r="Z14" t="s">
        <v>44</v>
      </c>
      <c r="AA14" t="s">
        <v>44</v>
      </c>
      <c r="AB14" t="s">
        <v>63</v>
      </c>
      <c r="AC14" t="s">
        <v>45</v>
      </c>
      <c r="AD14" t="s">
        <v>46</v>
      </c>
      <c r="AE14" t="s">
        <v>56</v>
      </c>
      <c r="AF14">
        <v>0.28000000000000003</v>
      </c>
      <c r="AG14" t="s">
        <v>57</v>
      </c>
      <c r="AH14" s="1">
        <v>5.4000000000000001E-4</v>
      </c>
      <c r="AI14" t="s">
        <v>49</v>
      </c>
      <c r="AJ14" t="s">
        <v>50</v>
      </c>
      <c r="AK14" t="s">
        <v>72</v>
      </c>
      <c r="AL14" t="s">
        <v>44</v>
      </c>
      <c r="AM14" t="s">
        <v>44</v>
      </c>
      <c r="AN14" t="s">
        <v>44</v>
      </c>
      <c r="AO14" t="s">
        <v>52</v>
      </c>
      <c r="AP14" t="s">
        <v>53</v>
      </c>
      <c r="AQ14" t="s">
        <v>54</v>
      </c>
    </row>
    <row r="15" spans="1:43" x14ac:dyDescent="0.25">
      <c r="A15" t="s">
        <v>136</v>
      </c>
      <c r="B15" t="s">
        <v>137</v>
      </c>
      <c r="C15">
        <v>252</v>
      </c>
      <c r="D15">
        <v>493</v>
      </c>
      <c r="E15" s="1">
        <v>2.6299999999999999E-12</v>
      </c>
      <c r="F15">
        <v>8.0000000000000004E-4</v>
      </c>
      <c r="G15" s="1">
        <v>8.2999999999999999E-7</v>
      </c>
      <c r="H15">
        <v>1E-3</v>
      </c>
      <c r="I15" s="1">
        <v>1.0000000000000001E-5</v>
      </c>
      <c r="J15">
        <v>1260000</v>
      </c>
      <c r="K15">
        <v>992000</v>
      </c>
      <c r="L15">
        <v>190000</v>
      </c>
      <c r="M15">
        <v>74400</v>
      </c>
      <c r="N15">
        <v>39700</v>
      </c>
      <c r="O15">
        <v>0.12</v>
      </c>
      <c r="P15">
        <v>0.27300000000000002</v>
      </c>
      <c r="Q15">
        <v>11600</v>
      </c>
      <c r="R15">
        <v>6.0900000000000003E-2</v>
      </c>
      <c r="S15">
        <v>1.15E-2</v>
      </c>
      <c r="T15">
        <v>1.15E-2</v>
      </c>
      <c r="U15">
        <v>211000</v>
      </c>
      <c r="V15">
        <v>211000</v>
      </c>
      <c r="W15">
        <v>7.6800000000000002E-3</v>
      </c>
      <c r="X15">
        <v>3.6499999999999998E-2</v>
      </c>
      <c r="Y15">
        <v>4.4200000000000003E-2</v>
      </c>
      <c r="Z15">
        <v>12.6</v>
      </c>
      <c r="AA15" t="s">
        <v>44</v>
      </c>
      <c r="AB15">
        <v>9930</v>
      </c>
      <c r="AC15">
        <v>177000</v>
      </c>
      <c r="AD15" t="s">
        <v>46</v>
      </c>
      <c r="AE15" t="s">
        <v>56</v>
      </c>
      <c r="AF15">
        <v>0.28000000000000003</v>
      </c>
      <c r="AG15" t="s">
        <v>57</v>
      </c>
      <c r="AH15" s="1">
        <v>5.3999999999999998E-5</v>
      </c>
      <c r="AI15" t="s">
        <v>49</v>
      </c>
      <c r="AJ15" t="s">
        <v>50</v>
      </c>
      <c r="AK15" t="s">
        <v>72</v>
      </c>
      <c r="AL15">
        <v>1.15E-2</v>
      </c>
      <c r="AM15">
        <v>1.54E-2</v>
      </c>
      <c r="AN15">
        <v>2.69E-2</v>
      </c>
      <c r="AO15" t="s">
        <v>52</v>
      </c>
      <c r="AP15" t="s">
        <v>53</v>
      </c>
      <c r="AQ15" t="s">
        <v>54</v>
      </c>
    </row>
    <row r="16" spans="1:43" x14ac:dyDescent="0.25">
      <c r="A16" t="s">
        <v>138</v>
      </c>
      <c r="B16" t="s">
        <v>139</v>
      </c>
      <c r="C16">
        <v>252</v>
      </c>
      <c r="D16">
        <v>441</v>
      </c>
      <c r="E16" s="1">
        <v>1.06E-10</v>
      </c>
      <c r="F16">
        <v>4.3299999999999996E-3</v>
      </c>
      <c r="G16" s="1">
        <v>6.1800000000000001E-6</v>
      </c>
      <c r="H16">
        <v>2.2800000000000001E-2</v>
      </c>
      <c r="I16" s="1">
        <v>5.49E-6</v>
      </c>
      <c r="J16">
        <v>1590000</v>
      </c>
      <c r="K16">
        <v>836000</v>
      </c>
      <c r="L16">
        <v>8360</v>
      </c>
      <c r="M16">
        <v>62700</v>
      </c>
      <c r="N16">
        <v>33400</v>
      </c>
      <c r="O16">
        <v>0.41499999999999998</v>
      </c>
      <c r="P16">
        <v>0.82199999999999995</v>
      </c>
      <c r="Q16">
        <v>13900</v>
      </c>
      <c r="R16">
        <v>1.66</v>
      </c>
      <c r="S16">
        <v>1.01E-2</v>
      </c>
      <c r="T16">
        <v>1.01E-2</v>
      </c>
      <c r="U16">
        <v>36500</v>
      </c>
      <c r="V16">
        <v>36500</v>
      </c>
      <c r="W16">
        <v>1.2699999999999999E-2</v>
      </c>
      <c r="X16">
        <v>0.04</v>
      </c>
      <c r="Y16">
        <v>4.8399999999999999E-2</v>
      </c>
      <c r="Z16">
        <v>12.7</v>
      </c>
      <c r="AA16" t="s">
        <v>44</v>
      </c>
      <c r="AB16" t="s">
        <v>63</v>
      </c>
      <c r="AC16">
        <v>9950</v>
      </c>
      <c r="AD16" t="s">
        <v>46</v>
      </c>
      <c r="AE16" t="s">
        <v>56</v>
      </c>
      <c r="AF16">
        <v>0.28000000000000003</v>
      </c>
      <c r="AG16" t="s">
        <v>57</v>
      </c>
      <c r="AH16" s="1">
        <v>5.4000000000000001E-4</v>
      </c>
      <c r="AI16" t="s">
        <v>49</v>
      </c>
      <c r="AJ16" t="s">
        <v>50</v>
      </c>
      <c r="AK16" t="s">
        <v>72</v>
      </c>
      <c r="AL16">
        <v>1.01E-2</v>
      </c>
      <c r="AM16">
        <v>12.7</v>
      </c>
      <c r="AN16">
        <v>3.1600000000000003E-2</v>
      </c>
      <c r="AO16" t="s">
        <v>52</v>
      </c>
      <c r="AP16" t="s">
        <v>53</v>
      </c>
      <c r="AQ16" t="s">
        <v>54</v>
      </c>
    </row>
    <row r="17" spans="1:43" x14ac:dyDescent="0.25">
      <c r="A17" t="s">
        <v>190</v>
      </c>
      <c r="B17" t="s">
        <v>191</v>
      </c>
      <c r="C17">
        <v>228</v>
      </c>
      <c r="D17">
        <v>533</v>
      </c>
      <c r="E17" s="1">
        <v>8.1600000000000008E-12</v>
      </c>
      <c r="F17">
        <v>6.3E-3</v>
      </c>
      <c r="G17" s="1">
        <v>9.5000000000000005E-5</v>
      </c>
      <c r="H17">
        <v>1E-3</v>
      </c>
      <c r="I17" s="1">
        <v>1.0000000000000001E-5</v>
      </c>
      <c r="J17">
        <v>501000</v>
      </c>
      <c r="K17">
        <v>401000</v>
      </c>
      <c r="L17">
        <v>60000</v>
      </c>
      <c r="M17">
        <v>30100</v>
      </c>
      <c r="N17">
        <v>16000</v>
      </c>
      <c r="O17">
        <v>0.25</v>
      </c>
      <c r="P17">
        <v>0.74399999999999999</v>
      </c>
      <c r="Q17">
        <v>5690</v>
      </c>
      <c r="R17">
        <v>9.4799999999999995E-2</v>
      </c>
      <c r="S17">
        <v>1.9699999999999999E-2</v>
      </c>
      <c r="T17">
        <v>1.9699999999999999E-2</v>
      </c>
      <c r="U17">
        <v>692</v>
      </c>
      <c r="V17">
        <v>692</v>
      </c>
      <c r="W17">
        <v>8.4100000000000008E-3</v>
      </c>
      <c r="X17">
        <v>3.9899999999999998E-2</v>
      </c>
      <c r="Y17">
        <v>4.8300000000000003E-2</v>
      </c>
      <c r="Z17">
        <v>4.3600000000000003</v>
      </c>
      <c r="AA17" t="s">
        <v>44</v>
      </c>
      <c r="AB17">
        <v>4890</v>
      </c>
      <c r="AC17">
        <v>49900</v>
      </c>
      <c r="AD17" t="s">
        <v>46</v>
      </c>
      <c r="AE17" t="s">
        <v>56</v>
      </c>
      <c r="AF17">
        <v>2.8000000000000001E-2</v>
      </c>
      <c r="AG17" t="s">
        <v>57</v>
      </c>
      <c r="AH17" s="1">
        <v>1.8000000000000001E-4</v>
      </c>
      <c r="AI17" t="s">
        <v>49</v>
      </c>
      <c r="AJ17" t="s">
        <v>50</v>
      </c>
      <c r="AK17" t="s">
        <v>72</v>
      </c>
      <c r="AL17">
        <v>1.9699999999999999E-2</v>
      </c>
      <c r="AM17">
        <v>1.6799999999999999E-2</v>
      </c>
      <c r="AN17">
        <v>2.9399999999999999E-2</v>
      </c>
      <c r="AO17" t="s">
        <v>52</v>
      </c>
      <c r="AP17" t="s">
        <v>53</v>
      </c>
      <c r="AQ17" t="s">
        <v>54</v>
      </c>
    </row>
    <row r="18" spans="1:43" x14ac:dyDescent="0.25">
      <c r="A18" t="s">
        <v>475</v>
      </c>
      <c r="B18" t="s">
        <v>207</v>
      </c>
      <c r="C18">
        <v>278</v>
      </c>
      <c r="D18">
        <v>543</v>
      </c>
      <c r="E18" s="1">
        <v>1.3199999999999999E-13</v>
      </c>
      <c r="F18">
        <v>2.5000000000000001E-3</v>
      </c>
      <c r="G18" s="1">
        <v>1.4999999999999999E-8</v>
      </c>
      <c r="H18">
        <v>1E-3</v>
      </c>
      <c r="I18" s="1">
        <v>1.0000000000000001E-5</v>
      </c>
      <c r="J18">
        <v>3160000</v>
      </c>
      <c r="K18">
        <v>1790000</v>
      </c>
      <c r="L18">
        <v>580000</v>
      </c>
      <c r="M18">
        <v>134000</v>
      </c>
      <c r="N18">
        <v>71600</v>
      </c>
      <c r="O18">
        <v>0.27</v>
      </c>
      <c r="P18">
        <v>5.5E-2</v>
      </c>
      <c r="Q18">
        <v>23500</v>
      </c>
      <c r="R18">
        <v>4.0500000000000001E-2</v>
      </c>
      <c r="S18">
        <v>6.7799999999999996E-3</v>
      </c>
      <c r="T18">
        <v>6.7799999999999996E-3</v>
      </c>
      <c r="U18">
        <v>31200000</v>
      </c>
      <c r="V18">
        <v>31200000</v>
      </c>
      <c r="W18">
        <v>6.5199999999999998E-3</v>
      </c>
      <c r="X18">
        <v>3.1E-2</v>
      </c>
      <c r="Y18">
        <v>3.7499999999999999E-2</v>
      </c>
      <c r="Z18">
        <v>28</v>
      </c>
      <c r="AA18" t="s">
        <v>44</v>
      </c>
      <c r="AB18">
        <v>20200</v>
      </c>
      <c r="AC18">
        <v>497000</v>
      </c>
      <c r="AD18" t="s">
        <v>46</v>
      </c>
      <c r="AE18" t="s">
        <v>56</v>
      </c>
      <c r="AF18">
        <v>4.0999999999999996</v>
      </c>
      <c r="AG18" t="s">
        <v>57</v>
      </c>
      <c r="AH18" s="1">
        <v>1.7999999999999999E-2</v>
      </c>
      <c r="AI18" t="s">
        <v>49</v>
      </c>
      <c r="AJ18" t="s">
        <v>50</v>
      </c>
      <c r="AK18" t="s">
        <v>72</v>
      </c>
      <c r="AL18">
        <v>6.7799999999999996E-3</v>
      </c>
      <c r="AM18">
        <v>1.2999999999999999E-2</v>
      </c>
      <c r="AN18">
        <v>2.2800000000000001E-2</v>
      </c>
      <c r="AO18" t="s">
        <v>52</v>
      </c>
      <c r="AP18" t="s">
        <v>53</v>
      </c>
      <c r="AQ18" t="s">
        <v>54</v>
      </c>
    </row>
    <row r="19" spans="1:43" x14ac:dyDescent="0.25">
      <c r="A19" t="s">
        <v>208</v>
      </c>
      <c r="B19" t="s">
        <v>209</v>
      </c>
      <c r="C19">
        <v>302.38</v>
      </c>
      <c r="D19">
        <v>489.15</v>
      </c>
      <c r="E19" s="1">
        <v>9.2999999999999995E-14</v>
      </c>
      <c r="F19">
        <v>2.4000000000000001E-4</v>
      </c>
      <c r="G19" s="1">
        <v>1.4E-8</v>
      </c>
      <c r="H19">
        <v>4.2200000000000001E-2</v>
      </c>
      <c r="I19" s="1">
        <v>4.9300000000000002E-6</v>
      </c>
      <c r="J19">
        <v>19054607.18</v>
      </c>
      <c r="K19">
        <v>4910000</v>
      </c>
      <c r="L19">
        <v>49100</v>
      </c>
      <c r="M19">
        <v>368250</v>
      </c>
      <c r="N19">
        <v>196400</v>
      </c>
      <c r="O19" t="s">
        <v>57</v>
      </c>
      <c r="P19">
        <v>1.2E-2</v>
      </c>
      <c r="Q19">
        <v>93682.106530000005</v>
      </c>
      <c r="R19">
        <v>1.9079858759999999</v>
      </c>
      <c r="S19">
        <v>2.399717E-3</v>
      </c>
      <c r="T19">
        <v>2.399717E-3</v>
      </c>
      <c r="U19">
        <v>226192136.59999999</v>
      </c>
      <c r="V19">
        <v>226192136.59999999</v>
      </c>
      <c r="W19">
        <v>3.8443100000000001E-3</v>
      </c>
      <c r="X19">
        <v>1.8260472E-2</v>
      </c>
      <c r="Y19">
        <v>2.2104782E-2</v>
      </c>
      <c r="Z19" t="s">
        <v>44</v>
      </c>
      <c r="AA19" t="s">
        <v>44</v>
      </c>
      <c r="AB19">
        <v>26693.160639999998</v>
      </c>
      <c r="AC19">
        <v>133000</v>
      </c>
      <c r="AD19" t="s">
        <v>46</v>
      </c>
      <c r="AE19" t="s">
        <v>56</v>
      </c>
      <c r="AF19">
        <v>1.1000000000000001</v>
      </c>
      <c r="AG19" t="s">
        <v>57</v>
      </c>
      <c r="AH19" s="1">
        <v>7.2000000000000005E-4</v>
      </c>
      <c r="AI19" t="s">
        <v>49</v>
      </c>
      <c r="AJ19" t="s">
        <v>61</v>
      </c>
      <c r="AK19" t="s">
        <v>51</v>
      </c>
      <c r="AL19" t="s">
        <v>44</v>
      </c>
      <c r="AM19" t="s">
        <v>44</v>
      </c>
      <c r="AN19" t="s">
        <v>44</v>
      </c>
      <c r="AO19" t="s">
        <v>52</v>
      </c>
      <c r="AP19" t="s">
        <v>53</v>
      </c>
      <c r="AQ19" t="s">
        <v>54</v>
      </c>
    </row>
    <row r="20" spans="1:43" x14ac:dyDescent="0.25">
      <c r="A20" t="s">
        <v>210</v>
      </c>
      <c r="B20" t="s">
        <v>211</v>
      </c>
      <c r="C20">
        <v>302.38</v>
      </c>
      <c r="D20">
        <v>489.15</v>
      </c>
      <c r="E20" s="1">
        <v>8.4399999999999999E-15</v>
      </c>
      <c r="F20">
        <v>5.5400000000000002E-4</v>
      </c>
      <c r="G20" s="1">
        <v>1.4100000000000001E-8</v>
      </c>
      <c r="H20">
        <v>4.2200000000000001E-2</v>
      </c>
      <c r="I20" s="1">
        <v>4.9300000000000002E-6</v>
      </c>
      <c r="J20">
        <v>19054607.18</v>
      </c>
      <c r="K20">
        <v>2080000</v>
      </c>
      <c r="L20">
        <v>20800</v>
      </c>
      <c r="M20">
        <v>156000</v>
      </c>
      <c r="N20">
        <v>83200</v>
      </c>
      <c r="O20" t="s">
        <v>57</v>
      </c>
      <c r="P20">
        <v>1.1000000000000001E-3</v>
      </c>
      <c r="Q20">
        <v>93682.106530000005</v>
      </c>
      <c r="R20">
        <v>4.5039474290000001</v>
      </c>
      <c r="S20">
        <v>2.399717E-3</v>
      </c>
      <c r="T20">
        <v>2.399717E-3</v>
      </c>
      <c r="U20">
        <v>224587937</v>
      </c>
      <c r="V20">
        <v>224587937</v>
      </c>
      <c r="W20">
        <v>3.8443100000000001E-3</v>
      </c>
      <c r="X20">
        <v>1.8260472E-2</v>
      </c>
      <c r="Y20">
        <v>2.2104782E-2</v>
      </c>
      <c r="Z20" t="s">
        <v>44</v>
      </c>
      <c r="AA20" t="s">
        <v>44</v>
      </c>
      <c r="AB20">
        <v>26693.160639999998</v>
      </c>
      <c r="AC20">
        <v>133000</v>
      </c>
      <c r="AD20" t="s">
        <v>46</v>
      </c>
      <c r="AE20" t="s">
        <v>56</v>
      </c>
      <c r="AF20">
        <v>2.5</v>
      </c>
      <c r="AG20" t="s">
        <v>57</v>
      </c>
      <c r="AH20" s="1">
        <v>1.6000000000000001E-3</v>
      </c>
      <c r="AI20" t="s">
        <v>49</v>
      </c>
      <c r="AJ20" t="s">
        <v>61</v>
      </c>
      <c r="AK20" t="s">
        <v>51</v>
      </c>
      <c r="AL20" t="s">
        <v>44</v>
      </c>
      <c r="AM20" t="s">
        <v>44</v>
      </c>
      <c r="AN20" t="s">
        <v>44</v>
      </c>
      <c r="AO20" t="s">
        <v>52</v>
      </c>
      <c r="AP20" t="s">
        <v>53</v>
      </c>
      <c r="AQ20" t="s">
        <v>54</v>
      </c>
    </row>
    <row r="21" spans="1:43" x14ac:dyDescent="0.25">
      <c r="A21" t="s">
        <v>212</v>
      </c>
      <c r="B21" t="s">
        <v>213</v>
      </c>
      <c r="C21">
        <v>302.38</v>
      </c>
      <c r="D21">
        <v>489.15</v>
      </c>
      <c r="E21" s="1">
        <v>8.3999999999999992E-15</v>
      </c>
      <c r="F21">
        <v>5.5400000000000002E-4</v>
      </c>
      <c r="G21" s="1">
        <v>1.4100000000000001E-8</v>
      </c>
      <c r="H21">
        <v>4.2200000000000001E-2</v>
      </c>
      <c r="I21" s="1">
        <v>4.9300000000000002E-6</v>
      </c>
      <c r="J21">
        <v>19054607.18</v>
      </c>
      <c r="K21">
        <v>2080000</v>
      </c>
      <c r="L21">
        <v>20800</v>
      </c>
      <c r="M21">
        <v>156000</v>
      </c>
      <c r="N21">
        <v>83200</v>
      </c>
      <c r="O21" t="s">
        <v>57</v>
      </c>
      <c r="P21">
        <v>1.1000000000000001E-3</v>
      </c>
      <c r="Q21">
        <v>93682.106530000005</v>
      </c>
      <c r="R21">
        <v>4.5039474290000001</v>
      </c>
      <c r="S21">
        <v>2.399717E-3</v>
      </c>
      <c r="T21">
        <v>2.399717E-3</v>
      </c>
      <c r="U21">
        <v>224587937</v>
      </c>
      <c r="V21">
        <v>224587937</v>
      </c>
      <c r="W21">
        <v>3.8443100000000001E-3</v>
      </c>
      <c r="X21">
        <v>1.8260472E-2</v>
      </c>
      <c r="Y21">
        <v>2.2104782E-2</v>
      </c>
      <c r="Z21" t="s">
        <v>44</v>
      </c>
      <c r="AA21" t="s">
        <v>44</v>
      </c>
      <c r="AB21">
        <v>26693.160639999998</v>
      </c>
      <c r="AC21">
        <v>133000</v>
      </c>
      <c r="AD21" t="s">
        <v>46</v>
      </c>
      <c r="AE21" t="s">
        <v>56</v>
      </c>
      <c r="AF21">
        <v>1.7</v>
      </c>
      <c r="AG21" t="s">
        <v>57</v>
      </c>
      <c r="AH21" s="1">
        <v>5.3999999999999999E-2</v>
      </c>
      <c r="AI21" t="s">
        <v>49</v>
      </c>
      <c r="AJ21" t="s">
        <v>61</v>
      </c>
      <c r="AK21" t="s">
        <v>51</v>
      </c>
      <c r="AL21" t="s">
        <v>44</v>
      </c>
      <c r="AM21" t="s">
        <v>44</v>
      </c>
      <c r="AN21" t="s">
        <v>44</v>
      </c>
      <c r="AO21" t="s">
        <v>52</v>
      </c>
      <c r="AP21" t="s">
        <v>53</v>
      </c>
      <c r="AQ21" t="s">
        <v>54</v>
      </c>
    </row>
    <row r="22" spans="1:43" x14ac:dyDescent="0.25">
      <c r="A22" t="s">
        <v>214</v>
      </c>
      <c r="B22" t="s">
        <v>215</v>
      </c>
      <c r="C22">
        <v>279.33999999999997</v>
      </c>
      <c r="D22">
        <v>468.15</v>
      </c>
      <c r="E22" s="1">
        <v>9.9999999999999998E-13</v>
      </c>
      <c r="F22">
        <v>1.6E-2</v>
      </c>
      <c r="G22" s="1">
        <v>1.9000000000000001E-9</v>
      </c>
      <c r="H22">
        <v>4.4499999999999998E-2</v>
      </c>
      <c r="I22" s="1">
        <v>5.2000000000000002E-6</v>
      </c>
      <c r="J22">
        <v>467735.14130000002</v>
      </c>
      <c r="K22">
        <v>93900</v>
      </c>
      <c r="L22">
        <v>939</v>
      </c>
      <c r="M22">
        <v>7042.5</v>
      </c>
      <c r="N22">
        <v>3756</v>
      </c>
      <c r="O22" t="s">
        <v>57</v>
      </c>
      <c r="P22">
        <v>7.4800000000000005E-2</v>
      </c>
      <c r="Q22">
        <v>5394.5676999999996</v>
      </c>
      <c r="R22">
        <v>5.7450135250000001</v>
      </c>
      <c r="S22">
        <v>2.0452199000000001E-2</v>
      </c>
      <c r="T22">
        <v>2.0452199000000001E-2</v>
      </c>
      <c r="U22">
        <v>32151551.690000001</v>
      </c>
      <c r="V22">
        <v>32151551.690000001</v>
      </c>
      <c r="W22">
        <v>8.4375990000000005E-3</v>
      </c>
      <c r="X22">
        <v>4.0078596000000001E-2</v>
      </c>
      <c r="Y22">
        <v>4.8516194999999998E-2</v>
      </c>
      <c r="Z22" t="s">
        <v>44</v>
      </c>
      <c r="AA22" t="s">
        <v>44</v>
      </c>
      <c r="AB22">
        <v>4633.4021940000002</v>
      </c>
      <c r="AC22">
        <v>133000</v>
      </c>
      <c r="AD22" t="s">
        <v>46</v>
      </c>
      <c r="AE22" t="s">
        <v>56</v>
      </c>
      <c r="AF22">
        <v>0.3</v>
      </c>
      <c r="AG22" t="s">
        <v>57</v>
      </c>
      <c r="AH22" s="1">
        <v>1.8000000000000001E-4</v>
      </c>
      <c r="AI22" t="s">
        <v>49</v>
      </c>
      <c r="AJ22" t="s">
        <v>50</v>
      </c>
      <c r="AK22" t="s">
        <v>72</v>
      </c>
      <c r="AL22" t="s">
        <v>44</v>
      </c>
      <c r="AM22" t="s">
        <v>44</v>
      </c>
      <c r="AN22" t="s">
        <v>44</v>
      </c>
      <c r="AO22" t="s">
        <v>52</v>
      </c>
      <c r="AP22" t="s">
        <v>53</v>
      </c>
      <c r="AQ22" t="s">
        <v>54</v>
      </c>
    </row>
    <row r="23" spans="1:43" x14ac:dyDescent="0.25">
      <c r="A23" t="s">
        <v>216</v>
      </c>
      <c r="B23" t="s">
        <v>217</v>
      </c>
      <c r="C23">
        <v>302.27999999999997</v>
      </c>
      <c r="D23">
        <v>498.15</v>
      </c>
      <c r="E23" s="1">
        <v>9.2999999999999995E-14</v>
      </c>
      <c r="F23">
        <v>2.4000000000000001E-4</v>
      </c>
      <c r="G23" s="1">
        <v>1.4100000000000001E-8</v>
      </c>
      <c r="H23">
        <v>4.2200000000000001E-2</v>
      </c>
      <c r="I23" s="1">
        <v>4.9300000000000002E-6</v>
      </c>
      <c r="J23">
        <v>19054607.18</v>
      </c>
      <c r="K23">
        <v>4910000</v>
      </c>
      <c r="L23">
        <v>49100</v>
      </c>
      <c r="M23">
        <v>368250</v>
      </c>
      <c r="N23">
        <v>196400</v>
      </c>
      <c r="O23" t="s">
        <v>57</v>
      </c>
      <c r="P23">
        <v>1.2E-2</v>
      </c>
      <c r="Q23">
        <v>93682.106530000005</v>
      </c>
      <c r="R23">
        <v>1.9079858759999999</v>
      </c>
      <c r="S23">
        <v>2.399717E-3</v>
      </c>
      <c r="T23">
        <v>2.399717E-3</v>
      </c>
      <c r="U23">
        <v>224587937</v>
      </c>
      <c r="V23">
        <v>224587937</v>
      </c>
      <c r="W23">
        <v>3.8443100000000001E-3</v>
      </c>
      <c r="X23">
        <v>1.8260472E-2</v>
      </c>
      <c r="Y23">
        <v>2.2104782E-2</v>
      </c>
      <c r="Z23" t="s">
        <v>44</v>
      </c>
      <c r="AA23" t="s">
        <v>44</v>
      </c>
      <c r="AB23">
        <v>26693.160639999998</v>
      </c>
      <c r="AC23">
        <v>133000</v>
      </c>
      <c r="AD23" t="s">
        <v>46</v>
      </c>
      <c r="AE23" t="s">
        <v>56</v>
      </c>
      <c r="AF23">
        <v>84</v>
      </c>
      <c r="AG23" t="s">
        <v>57</v>
      </c>
      <c r="AH23" s="1">
        <v>5.3999999999999999E-2</v>
      </c>
      <c r="AI23" t="s">
        <v>49</v>
      </c>
      <c r="AJ23" t="s">
        <v>61</v>
      </c>
      <c r="AK23" t="s">
        <v>51</v>
      </c>
      <c r="AL23" t="s">
        <v>44</v>
      </c>
      <c r="AM23" t="s">
        <v>44</v>
      </c>
      <c r="AN23" t="s">
        <v>44</v>
      </c>
      <c r="AO23" t="s">
        <v>52</v>
      </c>
      <c r="AP23" t="s">
        <v>53</v>
      </c>
      <c r="AQ23" t="s">
        <v>54</v>
      </c>
    </row>
    <row r="24" spans="1:43" x14ac:dyDescent="0.25">
      <c r="A24" t="s">
        <v>249</v>
      </c>
      <c r="B24" t="s">
        <v>250</v>
      </c>
      <c r="C24">
        <v>256</v>
      </c>
      <c r="D24">
        <v>423</v>
      </c>
      <c r="E24" s="1">
        <v>2.6300000000000002E-10</v>
      </c>
      <c r="F24">
        <v>6.0999999999999999E-2</v>
      </c>
      <c r="G24" s="1">
        <v>1.11E-6</v>
      </c>
      <c r="H24">
        <v>4.7100000000000003E-2</v>
      </c>
      <c r="I24" s="1">
        <v>5.4500000000000003E-6</v>
      </c>
      <c r="J24">
        <v>631000</v>
      </c>
      <c r="K24">
        <v>503000</v>
      </c>
      <c r="L24">
        <v>5030</v>
      </c>
      <c r="M24">
        <v>37700</v>
      </c>
      <c r="N24">
        <v>20100</v>
      </c>
      <c r="O24">
        <v>0.7</v>
      </c>
      <c r="P24">
        <v>0.307</v>
      </c>
      <c r="Q24">
        <v>6790</v>
      </c>
      <c r="R24">
        <v>1.35</v>
      </c>
      <c r="S24">
        <v>1.72E-2</v>
      </c>
      <c r="T24">
        <v>1.72E-2</v>
      </c>
      <c r="U24">
        <v>76000</v>
      </c>
      <c r="V24">
        <v>76000</v>
      </c>
      <c r="W24">
        <v>8.2699999999999996E-3</v>
      </c>
      <c r="X24">
        <v>3.9300000000000002E-2</v>
      </c>
      <c r="Y24">
        <v>4.7600000000000003E-2</v>
      </c>
      <c r="Z24" t="s">
        <v>44</v>
      </c>
      <c r="AA24" t="s">
        <v>44</v>
      </c>
      <c r="AB24">
        <v>5830</v>
      </c>
      <c r="AC24">
        <v>133000</v>
      </c>
      <c r="AD24" t="s">
        <v>46</v>
      </c>
      <c r="AE24" t="s">
        <v>56</v>
      </c>
      <c r="AF24">
        <v>250</v>
      </c>
      <c r="AG24" t="s">
        <v>57</v>
      </c>
      <c r="AI24" t="s">
        <v>49</v>
      </c>
      <c r="AJ24" t="s">
        <v>50</v>
      </c>
      <c r="AK24" t="s">
        <v>72</v>
      </c>
      <c r="AL24">
        <v>1.72E-2</v>
      </c>
      <c r="AM24">
        <v>1.6500000000000001E-2</v>
      </c>
      <c r="AN24">
        <v>2.9000000000000001E-2</v>
      </c>
      <c r="AO24" t="s">
        <v>52</v>
      </c>
      <c r="AP24" t="s">
        <v>53</v>
      </c>
      <c r="AQ24" t="s">
        <v>54</v>
      </c>
    </row>
    <row r="25" spans="1:43" x14ac:dyDescent="0.25">
      <c r="A25" t="s">
        <v>275</v>
      </c>
      <c r="B25" t="s">
        <v>276</v>
      </c>
      <c r="C25">
        <v>202</v>
      </c>
      <c r="D25">
        <v>383</v>
      </c>
      <c r="E25" s="1">
        <v>1.03E-8</v>
      </c>
      <c r="F25">
        <v>0.21</v>
      </c>
      <c r="G25" s="1">
        <v>1.5999999999999999E-5</v>
      </c>
      <c r="H25">
        <v>1E-3</v>
      </c>
      <c r="I25" s="1">
        <v>1.0000000000000001E-5</v>
      </c>
      <c r="J25">
        <v>100000</v>
      </c>
      <c r="K25">
        <v>49100</v>
      </c>
      <c r="L25">
        <v>11000</v>
      </c>
      <c r="M25">
        <v>3680</v>
      </c>
      <c r="N25">
        <v>1960</v>
      </c>
      <c r="O25">
        <v>0.56999999999999995</v>
      </c>
      <c r="P25">
        <v>0.99199999999999999</v>
      </c>
      <c r="Q25">
        <v>1640</v>
      </c>
      <c r="R25">
        <v>0.15</v>
      </c>
      <c r="S25">
        <v>4.99E-2</v>
      </c>
      <c r="T25">
        <v>4.99E-2</v>
      </c>
      <c r="U25">
        <v>738</v>
      </c>
      <c r="V25">
        <v>738</v>
      </c>
      <c r="W25">
        <v>8.26E-3</v>
      </c>
      <c r="X25">
        <v>3.9199999999999999E-2</v>
      </c>
      <c r="Y25">
        <v>4.7500000000000001E-2</v>
      </c>
      <c r="Z25">
        <v>0.96499999999999997</v>
      </c>
      <c r="AA25" t="s">
        <v>44</v>
      </c>
      <c r="AB25">
        <v>1410</v>
      </c>
      <c r="AC25">
        <v>4490</v>
      </c>
      <c r="AD25" t="s">
        <v>46</v>
      </c>
      <c r="AE25">
        <v>0.04</v>
      </c>
      <c r="AF25" t="s">
        <v>47</v>
      </c>
      <c r="AG25" t="s">
        <v>57</v>
      </c>
      <c r="AH25" s="1">
        <v>1.3999999999999999E-4</v>
      </c>
      <c r="AI25" t="s">
        <v>49</v>
      </c>
      <c r="AJ25" t="s">
        <v>50</v>
      </c>
      <c r="AK25" t="s">
        <v>72</v>
      </c>
      <c r="AL25">
        <v>4.99E-2</v>
      </c>
      <c r="AM25">
        <v>1.6500000000000001E-2</v>
      </c>
      <c r="AN25">
        <v>2.8899999999999999E-2</v>
      </c>
      <c r="AO25" t="s">
        <v>52</v>
      </c>
      <c r="AP25" t="s">
        <v>53</v>
      </c>
      <c r="AQ25" t="s">
        <v>54</v>
      </c>
    </row>
    <row r="26" spans="1:43" x14ac:dyDescent="0.25">
      <c r="A26" t="s">
        <v>277</v>
      </c>
      <c r="B26" t="s">
        <v>278</v>
      </c>
      <c r="C26">
        <v>166</v>
      </c>
      <c r="D26">
        <v>383</v>
      </c>
      <c r="E26" s="1">
        <v>8.2900000000000002E-7</v>
      </c>
      <c r="F26">
        <v>2</v>
      </c>
      <c r="G26" s="1">
        <v>6.3999999999999997E-5</v>
      </c>
      <c r="H26">
        <v>1E-3</v>
      </c>
      <c r="I26" s="1">
        <v>1.0000000000000001E-5</v>
      </c>
      <c r="J26">
        <v>15800</v>
      </c>
      <c r="K26">
        <v>7710</v>
      </c>
      <c r="L26">
        <v>2100</v>
      </c>
      <c r="M26">
        <v>578</v>
      </c>
      <c r="N26">
        <v>308</v>
      </c>
      <c r="O26">
        <v>4.22</v>
      </c>
      <c r="P26">
        <v>1</v>
      </c>
      <c r="Q26">
        <v>398</v>
      </c>
      <c r="R26">
        <v>0.19</v>
      </c>
      <c r="S26">
        <v>0.14499999999999999</v>
      </c>
      <c r="T26">
        <v>0.14499999999999999</v>
      </c>
      <c r="U26">
        <v>26</v>
      </c>
      <c r="V26">
        <v>26</v>
      </c>
      <c r="W26">
        <v>6.1599999999999997E-3</v>
      </c>
      <c r="X26">
        <v>2.93E-2</v>
      </c>
      <c r="Y26">
        <v>3.5400000000000001E-2</v>
      </c>
      <c r="Z26">
        <v>0.11700000000000001</v>
      </c>
      <c r="AA26" t="s">
        <v>44</v>
      </c>
      <c r="AB26">
        <v>342</v>
      </c>
      <c r="AC26">
        <v>472</v>
      </c>
      <c r="AD26" t="s">
        <v>46</v>
      </c>
      <c r="AE26">
        <v>0.04</v>
      </c>
      <c r="AF26" t="s">
        <v>47</v>
      </c>
      <c r="AG26" t="s">
        <v>57</v>
      </c>
      <c r="AH26" t="s">
        <v>48</v>
      </c>
      <c r="AI26" t="s">
        <v>49</v>
      </c>
      <c r="AJ26" t="s">
        <v>50</v>
      </c>
      <c r="AK26" t="s">
        <v>72</v>
      </c>
      <c r="AL26">
        <v>0.14499999999999999</v>
      </c>
      <c r="AM26">
        <v>1.23E-2</v>
      </c>
      <c r="AN26">
        <v>2.1600000000000001E-2</v>
      </c>
      <c r="AO26" t="s">
        <v>52</v>
      </c>
      <c r="AP26" t="s">
        <v>53</v>
      </c>
      <c r="AQ26" t="s">
        <v>54</v>
      </c>
    </row>
    <row r="27" spans="1:43" x14ac:dyDescent="0.25">
      <c r="A27" t="s">
        <v>320</v>
      </c>
      <c r="B27" t="s">
        <v>321</v>
      </c>
      <c r="C27">
        <v>276</v>
      </c>
      <c r="D27">
        <v>433</v>
      </c>
      <c r="E27" s="1">
        <v>1.3199999999999999E-13</v>
      </c>
      <c r="F27" s="1">
        <v>2.1999999999999999E-5</v>
      </c>
      <c r="G27" s="1">
        <v>1.5999999999999999E-6</v>
      </c>
      <c r="H27">
        <v>1E-3</v>
      </c>
      <c r="I27" s="1">
        <v>1.0000000000000001E-5</v>
      </c>
      <c r="J27">
        <v>3980000</v>
      </c>
      <c r="K27">
        <v>3080000</v>
      </c>
      <c r="L27">
        <v>530000</v>
      </c>
      <c r="M27">
        <v>231000</v>
      </c>
      <c r="N27">
        <v>123000</v>
      </c>
      <c r="O27">
        <v>0.35</v>
      </c>
      <c r="P27">
        <v>5.0000000000000001E-3</v>
      </c>
      <c r="Q27">
        <v>28100</v>
      </c>
      <c r="R27">
        <v>5.2900000000000003E-2</v>
      </c>
      <c r="S27">
        <v>5.9300000000000004E-3</v>
      </c>
      <c r="T27">
        <v>5.9300000000000004E-3</v>
      </c>
      <c r="U27">
        <v>373000</v>
      </c>
      <c r="V27">
        <v>373000</v>
      </c>
      <c r="W27">
        <v>6.1900000000000002E-3</v>
      </c>
      <c r="X27">
        <v>2.9399999999999999E-2</v>
      </c>
      <c r="Y27">
        <v>3.56E-2</v>
      </c>
      <c r="Z27">
        <v>65.3</v>
      </c>
      <c r="AA27" t="s">
        <v>44</v>
      </c>
      <c r="AB27">
        <v>24100</v>
      </c>
      <c r="AC27">
        <v>618000</v>
      </c>
      <c r="AD27" t="s">
        <v>46</v>
      </c>
      <c r="AE27" t="s">
        <v>56</v>
      </c>
      <c r="AF27">
        <v>0.28000000000000003</v>
      </c>
      <c r="AG27" t="s">
        <v>57</v>
      </c>
      <c r="AH27" s="1">
        <v>1.2999999999999999E-4</v>
      </c>
      <c r="AI27" t="s">
        <v>49</v>
      </c>
      <c r="AJ27" t="s">
        <v>50</v>
      </c>
      <c r="AK27" t="s">
        <v>72</v>
      </c>
      <c r="AL27">
        <v>5.9300000000000004E-3</v>
      </c>
      <c r="AM27">
        <v>1.24E-2</v>
      </c>
      <c r="AN27">
        <v>2.1700000000000001E-2</v>
      </c>
      <c r="AO27" t="s">
        <v>52</v>
      </c>
      <c r="AP27" t="s">
        <v>53</v>
      </c>
      <c r="AQ27" t="s">
        <v>54</v>
      </c>
    </row>
    <row r="28" spans="1:43" x14ac:dyDescent="0.25">
      <c r="A28" t="s">
        <v>350</v>
      </c>
      <c r="B28" t="s">
        <v>351</v>
      </c>
      <c r="C28" t="s">
        <v>44</v>
      </c>
      <c r="D28" t="s">
        <v>60</v>
      </c>
      <c r="E28" t="s">
        <v>57</v>
      </c>
      <c r="F28" t="s">
        <v>46</v>
      </c>
      <c r="G28" t="s">
        <v>56</v>
      </c>
      <c r="H28" t="s">
        <v>44</v>
      </c>
      <c r="I28" t="s">
        <v>44</v>
      </c>
      <c r="J28" t="s">
        <v>57</v>
      </c>
      <c r="K28" t="s">
        <v>44</v>
      </c>
      <c r="L28" t="s">
        <v>57</v>
      </c>
      <c r="M28" t="s">
        <v>44</v>
      </c>
      <c r="N28" t="s">
        <v>61</v>
      </c>
      <c r="O28" t="s">
        <v>57</v>
      </c>
      <c r="P28" t="s">
        <v>44</v>
      </c>
      <c r="Q28" t="s">
        <v>57</v>
      </c>
      <c r="R28" t="s">
        <v>57</v>
      </c>
      <c r="S28" t="s">
        <v>56</v>
      </c>
      <c r="T28" t="s">
        <v>56</v>
      </c>
      <c r="U28" t="s">
        <v>57</v>
      </c>
      <c r="V28" t="s">
        <v>57</v>
      </c>
      <c r="W28" t="s">
        <v>62</v>
      </c>
      <c r="X28" t="s">
        <v>62</v>
      </c>
      <c r="Y28" t="s">
        <v>62</v>
      </c>
      <c r="Z28" t="s">
        <v>44</v>
      </c>
      <c r="AA28" t="s">
        <v>44</v>
      </c>
      <c r="AB28" t="s">
        <v>63</v>
      </c>
      <c r="AC28" t="s">
        <v>45</v>
      </c>
      <c r="AD28" t="s">
        <v>46</v>
      </c>
      <c r="AE28" t="s">
        <v>56</v>
      </c>
      <c r="AF28" t="s">
        <v>47</v>
      </c>
      <c r="AG28" t="s">
        <v>57</v>
      </c>
      <c r="AH28" t="s">
        <v>48</v>
      </c>
      <c r="AI28" t="s">
        <v>49</v>
      </c>
      <c r="AJ28" t="s">
        <v>50</v>
      </c>
      <c r="AK28" t="s">
        <v>72</v>
      </c>
      <c r="AL28" t="s">
        <v>44</v>
      </c>
      <c r="AM28" t="s">
        <v>44</v>
      </c>
      <c r="AN28" t="s">
        <v>44</v>
      </c>
      <c r="AO28" t="s">
        <v>52</v>
      </c>
      <c r="AP28" t="s">
        <v>53</v>
      </c>
      <c r="AQ28" t="s">
        <v>54</v>
      </c>
    </row>
    <row r="29" spans="1:43" x14ac:dyDescent="0.25">
      <c r="A29" t="s">
        <v>353</v>
      </c>
      <c r="B29" t="s">
        <v>354</v>
      </c>
      <c r="C29" t="s">
        <v>44</v>
      </c>
      <c r="D29" t="s">
        <v>60</v>
      </c>
      <c r="E29" t="s">
        <v>57</v>
      </c>
      <c r="F29" t="s">
        <v>46</v>
      </c>
      <c r="G29" t="s">
        <v>56</v>
      </c>
      <c r="H29" t="s">
        <v>44</v>
      </c>
      <c r="I29" t="s">
        <v>44</v>
      </c>
      <c r="J29" t="s">
        <v>57</v>
      </c>
      <c r="K29" t="s">
        <v>44</v>
      </c>
      <c r="L29" t="s">
        <v>57</v>
      </c>
      <c r="M29" t="s">
        <v>44</v>
      </c>
      <c r="N29" t="s">
        <v>61</v>
      </c>
      <c r="O29" t="s">
        <v>57</v>
      </c>
      <c r="P29" t="s">
        <v>44</v>
      </c>
      <c r="Q29" t="s">
        <v>57</v>
      </c>
      <c r="R29" t="s">
        <v>57</v>
      </c>
      <c r="S29" t="s">
        <v>56</v>
      </c>
      <c r="T29" t="s">
        <v>56</v>
      </c>
      <c r="U29" t="s">
        <v>57</v>
      </c>
      <c r="V29" t="s">
        <v>57</v>
      </c>
      <c r="W29" t="s">
        <v>62</v>
      </c>
      <c r="X29" t="s">
        <v>62</v>
      </c>
      <c r="Y29" t="s">
        <v>62</v>
      </c>
      <c r="Z29" t="s">
        <v>44</v>
      </c>
      <c r="AA29" t="s">
        <v>44</v>
      </c>
      <c r="AB29" t="s">
        <v>63</v>
      </c>
      <c r="AC29" t="s">
        <v>45</v>
      </c>
      <c r="AD29" t="s">
        <v>46</v>
      </c>
      <c r="AE29" t="s">
        <v>56</v>
      </c>
      <c r="AF29" t="s">
        <v>47</v>
      </c>
      <c r="AG29" t="s">
        <v>57</v>
      </c>
      <c r="AH29" t="s">
        <v>48</v>
      </c>
      <c r="AI29" t="s">
        <v>49</v>
      </c>
      <c r="AJ29" t="s">
        <v>50</v>
      </c>
      <c r="AK29" t="s">
        <v>72</v>
      </c>
      <c r="AL29" t="s">
        <v>44</v>
      </c>
      <c r="AM29" t="s">
        <v>44</v>
      </c>
      <c r="AN29" t="s">
        <v>44</v>
      </c>
      <c r="AO29" t="s">
        <v>52</v>
      </c>
      <c r="AP29" t="s">
        <v>53</v>
      </c>
      <c r="AQ29" t="s">
        <v>54</v>
      </c>
    </row>
    <row r="30" spans="1:43" x14ac:dyDescent="0.25">
      <c r="A30" t="s">
        <v>355</v>
      </c>
      <c r="B30" t="s">
        <v>356</v>
      </c>
      <c r="C30">
        <v>128</v>
      </c>
      <c r="D30">
        <v>353</v>
      </c>
      <c r="E30">
        <v>1.12E-4</v>
      </c>
      <c r="F30">
        <v>31</v>
      </c>
      <c r="G30">
        <v>4.8000000000000001E-4</v>
      </c>
      <c r="H30">
        <v>5.8999999999999997E-2</v>
      </c>
      <c r="I30" s="1">
        <v>7.5000000000000002E-6</v>
      </c>
      <c r="J30">
        <v>2000</v>
      </c>
      <c r="K30">
        <v>1190</v>
      </c>
      <c r="L30">
        <v>300</v>
      </c>
      <c r="M30">
        <v>89.3</v>
      </c>
      <c r="N30">
        <v>47.6</v>
      </c>
      <c r="O30">
        <v>5.27</v>
      </c>
      <c r="P30">
        <v>1</v>
      </c>
      <c r="Q30">
        <v>80.7</v>
      </c>
      <c r="R30">
        <v>0.26900000000000002</v>
      </c>
      <c r="S30">
        <v>0.47899999999999998</v>
      </c>
      <c r="T30">
        <v>0.47899999999999998</v>
      </c>
      <c r="U30">
        <v>0.38100000000000001</v>
      </c>
      <c r="V30">
        <v>0.38100000000000001</v>
      </c>
      <c r="W30">
        <v>3.13E-3</v>
      </c>
      <c r="X30">
        <v>1.49E-2</v>
      </c>
      <c r="Y30">
        <v>1.7999999999999999E-2</v>
      </c>
      <c r="Z30">
        <v>1.8700000000000001E-2</v>
      </c>
      <c r="AA30" t="s">
        <v>44</v>
      </c>
      <c r="AB30">
        <v>69.3</v>
      </c>
      <c r="AC30" t="s">
        <v>45</v>
      </c>
      <c r="AD30" t="s">
        <v>46</v>
      </c>
      <c r="AE30">
        <v>0.02</v>
      </c>
      <c r="AF30">
        <v>0.12</v>
      </c>
      <c r="AG30">
        <v>8.9999999999999993E-3</v>
      </c>
      <c r="AH30" s="1">
        <v>3.4E-5</v>
      </c>
      <c r="AI30" t="s">
        <v>49</v>
      </c>
      <c r="AJ30" t="s">
        <v>50</v>
      </c>
      <c r="AK30" t="s">
        <v>72</v>
      </c>
      <c r="AL30">
        <v>0.47899999999999998</v>
      </c>
      <c r="AM30">
        <v>6.2500000000000003E-3</v>
      </c>
      <c r="AN30">
        <v>1.09E-2</v>
      </c>
      <c r="AO30" t="s">
        <v>52</v>
      </c>
      <c r="AP30" t="s">
        <v>53</v>
      </c>
      <c r="AQ30" t="s">
        <v>54</v>
      </c>
    </row>
    <row r="31" spans="1:43" x14ac:dyDescent="0.25">
      <c r="A31" t="s">
        <v>383</v>
      </c>
      <c r="B31" t="s">
        <v>384</v>
      </c>
      <c r="C31" t="s">
        <v>44</v>
      </c>
      <c r="D31" t="s">
        <v>60</v>
      </c>
      <c r="E31" t="s">
        <v>57</v>
      </c>
      <c r="F31" t="s">
        <v>46</v>
      </c>
      <c r="G31" t="s">
        <v>56</v>
      </c>
      <c r="H31" t="s">
        <v>44</v>
      </c>
      <c r="I31" t="s">
        <v>44</v>
      </c>
      <c r="J31" t="s">
        <v>57</v>
      </c>
      <c r="K31" t="s">
        <v>44</v>
      </c>
      <c r="L31" t="s">
        <v>57</v>
      </c>
      <c r="M31" t="s">
        <v>44</v>
      </c>
      <c r="N31" t="s">
        <v>61</v>
      </c>
      <c r="O31" t="s">
        <v>57</v>
      </c>
      <c r="P31" t="s">
        <v>44</v>
      </c>
      <c r="Q31" t="s">
        <v>57</v>
      </c>
      <c r="R31" t="s">
        <v>57</v>
      </c>
      <c r="S31" t="s">
        <v>56</v>
      </c>
      <c r="T31" t="s">
        <v>56</v>
      </c>
      <c r="U31" t="s">
        <v>57</v>
      </c>
      <c r="V31" t="s">
        <v>57</v>
      </c>
      <c r="W31" t="s">
        <v>62</v>
      </c>
      <c r="X31" t="s">
        <v>62</v>
      </c>
      <c r="Y31" t="s">
        <v>62</v>
      </c>
      <c r="Z31" t="s">
        <v>44</v>
      </c>
      <c r="AA31" t="s">
        <v>44</v>
      </c>
      <c r="AB31" t="s">
        <v>63</v>
      </c>
      <c r="AC31" t="s">
        <v>45</v>
      </c>
      <c r="AD31" t="s">
        <v>46</v>
      </c>
      <c r="AE31" t="s">
        <v>56</v>
      </c>
      <c r="AF31" t="s">
        <v>47</v>
      </c>
      <c r="AG31" t="s">
        <v>57</v>
      </c>
      <c r="AH31" t="s">
        <v>48</v>
      </c>
      <c r="AI31" t="s">
        <v>49</v>
      </c>
      <c r="AJ31" t="s">
        <v>50</v>
      </c>
      <c r="AK31" t="s">
        <v>72</v>
      </c>
      <c r="AL31" t="s">
        <v>44</v>
      </c>
      <c r="AM31" t="s">
        <v>44</v>
      </c>
      <c r="AN31" t="s">
        <v>44</v>
      </c>
      <c r="AO31" t="s">
        <v>52</v>
      </c>
      <c r="AP31" t="s">
        <v>53</v>
      </c>
      <c r="AQ31" t="s">
        <v>54</v>
      </c>
    </row>
    <row r="32" spans="1:43" x14ac:dyDescent="0.25">
      <c r="A32" t="s">
        <v>386</v>
      </c>
      <c r="B32" t="s">
        <v>387</v>
      </c>
      <c r="C32">
        <v>178</v>
      </c>
      <c r="D32">
        <v>372</v>
      </c>
      <c r="E32" s="1">
        <v>1.4499999999999999E-7</v>
      </c>
      <c r="F32">
        <v>1.1000000000000001</v>
      </c>
      <c r="G32" s="1">
        <v>2.3E-5</v>
      </c>
      <c r="H32">
        <v>1E-3</v>
      </c>
      <c r="I32" s="1">
        <v>1.0000000000000001E-5</v>
      </c>
      <c r="J32">
        <v>31600</v>
      </c>
      <c r="K32">
        <v>26500</v>
      </c>
      <c r="L32">
        <v>3700</v>
      </c>
      <c r="M32">
        <v>1990</v>
      </c>
      <c r="N32">
        <v>1060</v>
      </c>
      <c r="O32">
        <v>1.26</v>
      </c>
      <c r="P32">
        <v>0.999</v>
      </c>
      <c r="Q32">
        <v>678</v>
      </c>
      <c r="R32">
        <v>0.183</v>
      </c>
      <c r="S32">
        <v>9.7000000000000003E-2</v>
      </c>
      <c r="T32">
        <v>9.7100000000000006E-2</v>
      </c>
      <c r="U32">
        <v>151</v>
      </c>
      <c r="V32">
        <v>151</v>
      </c>
      <c r="W32">
        <v>7.1199999999999996E-3</v>
      </c>
      <c r="X32">
        <v>3.3799999999999997E-2</v>
      </c>
      <c r="Y32">
        <v>4.0899999999999999E-2</v>
      </c>
      <c r="Z32">
        <v>0.28199999999999997</v>
      </c>
      <c r="AA32" t="s">
        <v>44</v>
      </c>
      <c r="AB32">
        <v>582</v>
      </c>
      <c r="AC32">
        <v>1030</v>
      </c>
      <c r="AD32" t="s">
        <v>46</v>
      </c>
      <c r="AE32" t="s">
        <v>56</v>
      </c>
      <c r="AF32" t="s">
        <v>47</v>
      </c>
      <c r="AG32" t="s">
        <v>57</v>
      </c>
      <c r="AH32" t="s">
        <v>48</v>
      </c>
      <c r="AI32" t="s">
        <v>49</v>
      </c>
      <c r="AJ32" t="s">
        <v>50</v>
      </c>
      <c r="AK32" t="s">
        <v>72</v>
      </c>
      <c r="AL32">
        <v>9.7100000000000006E-2</v>
      </c>
      <c r="AM32">
        <v>1.4200000000000001E-2</v>
      </c>
      <c r="AN32">
        <v>2.4899999999999999E-2</v>
      </c>
      <c r="AO32" t="s">
        <v>52</v>
      </c>
      <c r="AP32" t="s">
        <v>53</v>
      </c>
      <c r="AQ32" t="s">
        <v>54</v>
      </c>
    </row>
    <row r="33" spans="1:43" x14ac:dyDescent="0.25">
      <c r="A33" t="s">
        <v>434</v>
      </c>
      <c r="B33" t="s">
        <v>435</v>
      </c>
      <c r="C33">
        <v>228</v>
      </c>
      <c r="D33">
        <v>527</v>
      </c>
      <c r="E33" s="1">
        <v>1.0299999999999999E-11</v>
      </c>
      <c r="F33">
        <v>1.9400000000000001E-3</v>
      </c>
      <c r="G33" s="1">
        <v>1.2100000000000001E-6</v>
      </c>
      <c r="H33">
        <v>2.4799999999999999E-2</v>
      </c>
      <c r="I33" s="1">
        <v>6.2099999999999998E-6</v>
      </c>
      <c r="J33">
        <v>548000</v>
      </c>
      <c r="K33">
        <v>297000</v>
      </c>
      <c r="L33">
        <v>2970</v>
      </c>
      <c r="M33">
        <v>22300</v>
      </c>
      <c r="N33">
        <v>11900</v>
      </c>
      <c r="O33">
        <v>0.253</v>
      </c>
      <c r="P33">
        <v>0.76100000000000001</v>
      </c>
      <c r="Q33">
        <v>6100</v>
      </c>
      <c r="R33">
        <v>2.06</v>
      </c>
      <c r="S33">
        <v>1.8700000000000001E-2</v>
      </c>
      <c r="T33">
        <v>1.8700000000000001E-2</v>
      </c>
      <c r="U33">
        <v>59700</v>
      </c>
      <c r="V33">
        <v>59700</v>
      </c>
      <c r="W33">
        <v>4.3600000000000002E-3</v>
      </c>
      <c r="X33">
        <v>1.38E-2</v>
      </c>
      <c r="Y33">
        <v>1.67E-2</v>
      </c>
      <c r="Z33">
        <v>4.3600000000000003</v>
      </c>
      <c r="AA33" t="s">
        <v>44</v>
      </c>
      <c r="AB33" t="s">
        <v>63</v>
      </c>
      <c r="AC33">
        <v>6030</v>
      </c>
      <c r="AD33" t="s">
        <v>46</v>
      </c>
      <c r="AE33" t="s">
        <v>56</v>
      </c>
      <c r="AF33">
        <v>0.504</v>
      </c>
      <c r="AG33" t="s">
        <v>57</v>
      </c>
      <c r="AH33" s="1">
        <v>5.5000000000000002E-5</v>
      </c>
      <c r="AI33" t="s">
        <v>49</v>
      </c>
      <c r="AJ33" t="s">
        <v>50</v>
      </c>
      <c r="AK33" t="s">
        <v>72</v>
      </c>
      <c r="AL33">
        <v>1.8700000000000001E-2</v>
      </c>
      <c r="AM33">
        <v>4.3600000000000003</v>
      </c>
      <c r="AN33">
        <v>1.09E-2</v>
      </c>
      <c r="AO33" t="s">
        <v>52</v>
      </c>
      <c r="AP33" t="s">
        <v>53</v>
      </c>
      <c r="AQ33" t="s">
        <v>54</v>
      </c>
    </row>
    <row r="34" spans="1:43" x14ac:dyDescent="0.25">
      <c r="A34" s="5" t="s">
        <v>470</v>
      </c>
      <c r="AH34" s="1">
        <v>1.8000000000000001E-4</v>
      </c>
      <c r="AJ34" t="s">
        <v>50</v>
      </c>
      <c r="AK34" t="s">
        <v>72</v>
      </c>
    </row>
    <row r="35" spans="1:43" x14ac:dyDescent="0.25">
      <c r="A35" s="5" t="s">
        <v>471</v>
      </c>
      <c r="AH35" s="1">
        <v>1.8E-3</v>
      </c>
      <c r="AJ35" t="s">
        <v>50</v>
      </c>
      <c r="AK35" t="s">
        <v>72</v>
      </c>
    </row>
    <row r="36" spans="1:43" x14ac:dyDescent="0.25">
      <c r="A36" s="5" t="s">
        <v>472</v>
      </c>
      <c r="AK36" t="s">
        <v>72</v>
      </c>
    </row>
    <row r="37" spans="1:43" x14ac:dyDescent="0.25">
      <c r="A37" t="s">
        <v>412</v>
      </c>
      <c r="B37" t="s">
        <v>413</v>
      </c>
      <c r="C37">
        <v>202</v>
      </c>
      <c r="D37">
        <v>423</v>
      </c>
      <c r="E37" s="1">
        <v>6.0500000000000004E-9</v>
      </c>
      <c r="F37">
        <v>1.4</v>
      </c>
      <c r="G37" s="1">
        <v>1.1E-5</v>
      </c>
      <c r="H37">
        <v>1E-3</v>
      </c>
      <c r="I37" s="1">
        <v>1.0000000000000001E-5</v>
      </c>
      <c r="J37">
        <v>79400</v>
      </c>
      <c r="K37">
        <v>68000</v>
      </c>
      <c r="L37">
        <v>9500</v>
      </c>
      <c r="M37">
        <v>5100</v>
      </c>
      <c r="N37">
        <v>2720</v>
      </c>
      <c r="O37">
        <v>0.13</v>
      </c>
      <c r="P37">
        <v>0.99399999999999999</v>
      </c>
      <c r="Q37">
        <v>1380</v>
      </c>
      <c r="R37">
        <v>0.14499999999999999</v>
      </c>
      <c r="S37">
        <v>5.7000000000000002E-2</v>
      </c>
      <c r="T37">
        <v>5.7000000000000002E-2</v>
      </c>
      <c r="U37">
        <v>840</v>
      </c>
      <c r="V37">
        <v>840</v>
      </c>
      <c r="W37">
        <v>8.09E-3</v>
      </c>
      <c r="X37">
        <v>3.8399999999999997E-2</v>
      </c>
      <c r="Y37">
        <v>4.65E-2</v>
      </c>
      <c r="Z37">
        <v>0.79800000000000004</v>
      </c>
      <c r="AA37" t="s">
        <v>44</v>
      </c>
      <c r="AB37">
        <v>1180</v>
      </c>
      <c r="AC37">
        <v>3290</v>
      </c>
      <c r="AD37" t="s">
        <v>46</v>
      </c>
      <c r="AE37">
        <v>0.03</v>
      </c>
      <c r="AF37" t="s">
        <v>47</v>
      </c>
      <c r="AG37" t="s">
        <v>57</v>
      </c>
      <c r="AH37" t="s">
        <v>48</v>
      </c>
      <c r="AI37" t="s">
        <v>49</v>
      </c>
      <c r="AJ37" t="s">
        <v>50</v>
      </c>
      <c r="AK37" t="s">
        <v>72</v>
      </c>
      <c r="AL37">
        <v>5.7000000000000002E-2</v>
      </c>
      <c r="AM37">
        <v>1.6199999999999999E-2</v>
      </c>
      <c r="AN37">
        <v>2.8299999999999999E-2</v>
      </c>
      <c r="AO37" t="s">
        <v>52</v>
      </c>
      <c r="AP37" t="s">
        <v>53</v>
      </c>
      <c r="AQ37" t="s">
        <v>54</v>
      </c>
    </row>
    <row r="38" spans="1:43" x14ac:dyDescent="0.25">
      <c r="A38" s="2" t="s">
        <v>116</v>
      </c>
      <c r="B38" s="2" t="s">
        <v>117</v>
      </c>
      <c r="C38" s="2">
        <v>252</v>
      </c>
      <c r="D38" s="2">
        <v>441</v>
      </c>
      <c r="E38" s="6">
        <v>6.58E-10</v>
      </c>
      <c r="F38" s="2">
        <v>1.5E-3</v>
      </c>
      <c r="G38" s="2">
        <v>1.11E-4</v>
      </c>
      <c r="H38" s="2">
        <v>1E-3</v>
      </c>
      <c r="I38" s="6">
        <v>1.0000000000000001E-5</v>
      </c>
      <c r="J38" s="2">
        <v>1330000</v>
      </c>
      <c r="K38" s="2">
        <v>1050000</v>
      </c>
      <c r="L38" s="2">
        <v>10500</v>
      </c>
      <c r="M38" s="2">
        <v>78600</v>
      </c>
      <c r="N38" s="2">
        <v>41900</v>
      </c>
      <c r="O38" s="2">
        <v>0.41</v>
      </c>
      <c r="P38" s="2">
        <v>0.96599999999999997</v>
      </c>
      <c r="Q38" s="2">
        <v>12100</v>
      </c>
      <c r="R38" s="2">
        <v>1.1499999999999999</v>
      </c>
      <c r="S38" s="2">
        <v>1.12E-2</v>
      </c>
      <c r="T38" s="2">
        <v>1.12E-2</v>
      </c>
      <c r="U38" s="2">
        <v>1680</v>
      </c>
      <c r="V38" s="2">
        <v>1680</v>
      </c>
      <c r="W38" s="2">
        <v>7.62E-3</v>
      </c>
      <c r="X38" s="2">
        <v>3.6200000000000003E-2</v>
      </c>
      <c r="Y38" s="2">
        <v>4.3799999999999999E-2</v>
      </c>
      <c r="Z38" s="2">
        <v>12.7</v>
      </c>
      <c r="AA38" s="2" t="s">
        <v>44</v>
      </c>
      <c r="AB38" s="2">
        <v>10400</v>
      </c>
      <c r="AC38" s="2">
        <v>206000</v>
      </c>
      <c r="AD38" s="2" t="s">
        <v>46</v>
      </c>
      <c r="AE38" s="2" t="s">
        <v>56</v>
      </c>
      <c r="AF38" s="2">
        <v>0.28000000000000003</v>
      </c>
      <c r="AG38" s="2" t="s">
        <v>57</v>
      </c>
      <c r="AH38" s="2">
        <v>1.1E-4</v>
      </c>
      <c r="AI38" s="2" t="s">
        <v>49</v>
      </c>
      <c r="AJ38" s="2" t="s">
        <v>50</v>
      </c>
      <c r="AK38" s="2" t="s">
        <v>72</v>
      </c>
      <c r="AL38" s="2">
        <v>1.12E-2</v>
      </c>
      <c r="AM38" s="2">
        <v>1.52E-2</v>
      </c>
      <c r="AN38" s="2">
        <v>2.6700000000000002E-2</v>
      </c>
      <c r="AO38" s="2" t="s">
        <v>52</v>
      </c>
      <c r="AP38" s="2" t="s">
        <v>53</v>
      </c>
      <c r="AQ38" s="2" t="s">
        <v>54</v>
      </c>
    </row>
    <row r="39" spans="1:43" x14ac:dyDescent="0.25">
      <c r="A39" s="2" t="s">
        <v>404</v>
      </c>
      <c r="B39" s="2" t="s">
        <v>405</v>
      </c>
      <c r="C39" s="2">
        <v>228</v>
      </c>
      <c r="D39" s="2">
        <v>533</v>
      </c>
      <c r="E39" s="6">
        <v>8.1600000000000008E-12</v>
      </c>
      <c r="F39" s="2">
        <v>6.3E-3</v>
      </c>
      <c r="G39" s="6">
        <v>9.5000000000000005E-5</v>
      </c>
      <c r="H39" s="2">
        <v>1E-3</v>
      </c>
      <c r="I39" s="6">
        <v>1.0000000000000001E-5</v>
      </c>
      <c r="J39" s="2">
        <v>501000</v>
      </c>
      <c r="K39" s="2">
        <v>401000</v>
      </c>
      <c r="L39" s="2">
        <v>60000</v>
      </c>
      <c r="M39" s="2">
        <v>30100</v>
      </c>
      <c r="N39" s="2">
        <v>16000</v>
      </c>
      <c r="O39" s="2">
        <v>0.25</v>
      </c>
      <c r="P39" s="2">
        <v>0.74399999999999999</v>
      </c>
      <c r="Q39" s="2">
        <v>5690</v>
      </c>
      <c r="R39" s="2">
        <v>9.4799999999999995E-2</v>
      </c>
      <c r="S39" s="2">
        <v>1.9699999999999999E-2</v>
      </c>
      <c r="T39" s="2">
        <v>1.9699999999999999E-2</v>
      </c>
      <c r="U39" s="2">
        <v>692</v>
      </c>
      <c r="V39" s="2">
        <v>692</v>
      </c>
      <c r="W39" s="2">
        <v>8.4100000000000008E-3</v>
      </c>
      <c r="X39" s="2">
        <v>3.9899999999999998E-2</v>
      </c>
      <c r="Y39" s="2">
        <v>4.8300000000000003E-2</v>
      </c>
      <c r="Z39" s="2">
        <v>4.3600000000000003</v>
      </c>
      <c r="AA39" s="2" t="s">
        <v>44</v>
      </c>
      <c r="AB39" s="2">
        <v>4890</v>
      </c>
      <c r="AC39" s="2">
        <v>49900</v>
      </c>
      <c r="AD39" s="2" t="s">
        <v>46</v>
      </c>
      <c r="AE39" s="2" t="s">
        <v>56</v>
      </c>
      <c r="AF39" s="2">
        <v>0.14000000000000001</v>
      </c>
      <c r="AG39" s="2" t="s">
        <v>57</v>
      </c>
      <c r="AH39" s="6">
        <v>5.5000000000000002E-5</v>
      </c>
      <c r="AI39" s="2" t="s">
        <v>49</v>
      </c>
      <c r="AJ39" s="2" t="s">
        <v>50</v>
      </c>
      <c r="AK39" s="2" t="s">
        <v>72</v>
      </c>
      <c r="AL39" s="2">
        <v>1.9699999999999999E-2</v>
      </c>
      <c r="AM39" s="2">
        <v>1.6799999999999999E-2</v>
      </c>
      <c r="AN39" s="2">
        <v>2.9399999999999999E-2</v>
      </c>
      <c r="AO39" s="2" t="s">
        <v>52</v>
      </c>
      <c r="AP39" s="2" t="s">
        <v>53</v>
      </c>
      <c r="AQ39" s="2" t="s">
        <v>54</v>
      </c>
    </row>
    <row r="40" spans="1:43" x14ac:dyDescent="0.25">
      <c r="A40" s="4" t="s">
        <v>467</v>
      </c>
    </row>
    <row r="41" spans="1:43" x14ac:dyDescent="0.25">
      <c r="A41" s="5" t="s">
        <v>473</v>
      </c>
    </row>
    <row r="42" spans="1:43" x14ac:dyDescent="0.25">
      <c r="A42" s="3" t="s">
        <v>469</v>
      </c>
      <c r="B42" s="3"/>
    </row>
    <row r="43" spans="1:43" x14ac:dyDescent="0.25">
      <c r="A43" s="2" t="s">
        <v>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Views>
    <sheetView workbookViewId="0">
      <selection activeCell="F23" sqref="F23"/>
    </sheetView>
  </sheetViews>
  <sheetFormatPr defaultRowHeight="15" x14ac:dyDescent="0.25"/>
  <cols>
    <col min="1" max="1" width="36.71093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222</v>
      </c>
      <c r="B2" t="s">
        <v>223</v>
      </c>
      <c r="C2">
        <v>147</v>
      </c>
      <c r="D2">
        <v>256</v>
      </c>
      <c r="E2">
        <v>1.7899999999999999E-3</v>
      </c>
      <c r="F2">
        <v>156</v>
      </c>
      <c r="G2">
        <v>1.9E-3</v>
      </c>
      <c r="H2">
        <v>6.9000000000000006E-2</v>
      </c>
      <c r="I2" s="1">
        <v>7.9000000000000006E-6</v>
      </c>
      <c r="J2">
        <v>2400</v>
      </c>
      <c r="K2">
        <v>379</v>
      </c>
      <c r="L2">
        <v>3.79</v>
      </c>
      <c r="M2">
        <v>28.4</v>
      </c>
      <c r="N2">
        <v>15.2</v>
      </c>
      <c r="O2">
        <v>1.41</v>
      </c>
      <c r="P2">
        <v>1</v>
      </c>
      <c r="Q2">
        <v>93</v>
      </c>
      <c r="R2">
        <v>24.5</v>
      </c>
      <c r="S2">
        <v>0.43099999999999999</v>
      </c>
      <c r="T2">
        <v>0.43099999999999999</v>
      </c>
      <c r="U2">
        <v>0.11700000000000001</v>
      </c>
      <c r="V2">
        <v>0.11700000000000001</v>
      </c>
      <c r="W2">
        <v>3.3700000000000002E-3</v>
      </c>
      <c r="X2">
        <v>1.6E-2</v>
      </c>
      <c r="Y2">
        <v>1.9400000000000001E-2</v>
      </c>
      <c r="Z2">
        <v>2.2200000000000001E-2</v>
      </c>
      <c r="AA2" t="s">
        <v>44</v>
      </c>
      <c r="AB2">
        <v>79.900000000000006</v>
      </c>
      <c r="AC2" t="s">
        <v>45</v>
      </c>
      <c r="AD2" t="s">
        <v>46</v>
      </c>
      <c r="AE2">
        <v>0.09</v>
      </c>
      <c r="AF2" t="s">
        <v>47</v>
      </c>
      <c r="AG2">
        <v>0.2</v>
      </c>
      <c r="AH2" t="s">
        <v>48</v>
      </c>
      <c r="AI2" t="s">
        <v>49</v>
      </c>
      <c r="AJ2" t="s">
        <v>50</v>
      </c>
      <c r="AK2" t="s">
        <v>51</v>
      </c>
      <c r="AL2">
        <v>0.43099999999999999</v>
      </c>
      <c r="AM2">
        <v>6.7400000000000003E-3</v>
      </c>
      <c r="AN2">
        <v>1.18E-2</v>
      </c>
      <c r="AO2" t="s">
        <v>52</v>
      </c>
      <c r="AP2" t="s">
        <v>53</v>
      </c>
      <c r="AQ2" t="s">
        <v>54</v>
      </c>
    </row>
    <row r="3" spans="1:43" x14ac:dyDescent="0.25">
      <c r="A3" t="s">
        <v>224</v>
      </c>
      <c r="B3" t="s">
        <v>225</v>
      </c>
      <c r="C3">
        <v>147</v>
      </c>
      <c r="D3">
        <v>248</v>
      </c>
      <c r="E3">
        <v>2.8300000000000001E-3</v>
      </c>
      <c r="F3">
        <v>134</v>
      </c>
      <c r="G3">
        <v>3.0999999999999999E-3</v>
      </c>
      <c r="H3">
        <v>6.9199999999999998E-2</v>
      </c>
      <c r="I3" s="1">
        <v>7.8599999999999993E-6</v>
      </c>
      <c r="J3">
        <v>3980</v>
      </c>
      <c r="K3">
        <v>850</v>
      </c>
      <c r="L3">
        <v>8.5</v>
      </c>
      <c r="M3">
        <v>63.7</v>
      </c>
      <c r="N3">
        <v>34</v>
      </c>
      <c r="O3">
        <v>1.41</v>
      </c>
      <c r="P3">
        <v>1</v>
      </c>
      <c r="Q3">
        <v>137</v>
      </c>
      <c r="R3">
        <v>16.2</v>
      </c>
      <c r="S3">
        <v>0.32200000000000001</v>
      </c>
      <c r="T3">
        <v>0.32200000000000001</v>
      </c>
      <c r="U3">
        <v>0.123</v>
      </c>
      <c r="V3">
        <v>0.123</v>
      </c>
      <c r="W3">
        <v>4.0800000000000003E-3</v>
      </c>
      <c r="X3">
        <v>1.9400000000000001E-2</v>
      </c>
      <c r="Y3">
        <v>2.35E-2</v>
      </c>
      <c r="Z3">
        <v>2.69E-2</v>
      </c>
      <c r="AA3" t="s">
        <v>44</v>
      </c>
      <c r="AB3">
        <v>118</v>
      </c>
      <c r="AC3" t="s">
        <v>45</v>
      </c>
      <c r="AD3" t="s">
        <v>46</v>
      </c>
      <c r="AE3" t="s">
        <v>56</v>
      </c>
      <c r="AF3" t="s">
        <v>47</v>
      </c>
      <c r="AG3" t="s">
        <v>57</v>
      </c>
      <c r="AH3" t="s">
        <v>48</v>
      </c>
      <c r="AI3" t="s">
        <v>49</v>
      </c>
      <c r="AJ3" t="s">
        <v>50</v>
      </c>
      <c r="AK3" t="s">
        <v>51</v>
      </c>
      <c r="AL3">
        <v>0.32200000000000001</v>
      </c>
      <c r="AM3">
        <v>8.1700000000000002E-3</v>
      </c>
      <c r="AN3">
        <v>1.43E-2</v>
      </c>
      <c r="AO3" t="s">
        <v>52</v>
      </c>
      <c r="AP3" t="s">
        <v>53</v>
      </c>
      <c r="AQ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Views>
    <sheetView workbookViewId="0">
      <pane xSplit="2" ySplit="1" topLeftCell="AD2" activePane="bottomRight" state="frozen"/>
      <selection pane="topRight" activeCell="C1" sqref="C1"/>
      <selection pane="bottomLeft" activeCell="A2" sqref="A2"/>
      <selection pane="bottomRight" activeCell="A3" sqref="A3:XFD5"/>
    </sheetView>
  </sheetViews>
  <sheetFormatPr defaultRowHeight="15" x14ac:dyDescent="0.25"/>
  <cols>
    <col min="1" max="1" width="21.28515625" customWidth="1"/>
    <col min="2" max="2" width="10.85546875" bestFit="1" customWidth="1"/>
    <col min="3" max="3" width="12.85546875" bestFit="1" customWidth="1"/>
    <col min="4" max="4" width="8" bestFit="1" customWidth="1"/>
    <col min="5" max="5" width="10.42578125" bestFit="1" customWidth="1"/>
    <col min="6" max="6" width="8.7109375" bestFit="1" customWidth="1"/>
    <col min="7" max="7" width="16.7109375" bestFit="1" customWidth="1"/>
    <col min="8" max="8" width="11.42578125" bestFit="1" customWidth="1"/>
    <col min="9" max="9" width="12" bestFit="1" customWidth="1"/>
    <col min="10" max="10" width="8.7109375" bestFit="1" customWidth="1"/>
    <col min="11" max="11" width="10.85546875" bestFit="1" customWidth="1"/>
    <col min="12" max="12" width="12.42578125" bestFit="1" customWidth="1"/>
    <col min="13" max="13" width="11.28515625" bestFit="1" customWidth="1"/>
    <col min="14" max="14" width="13.7109375" bestFit="1" customWidth="1"/>
    <col min="15" max="15" width="11.5703125" bestFit="1" customWidth="1"/>
    <col min="16" max="16" width="6.85546875" bestFit="1" customWidth="1"/>
    <col min="17" max="17" width="8.140625" bestFit="1" customWidth="1"/>
    <col min="18" max="18" width="11" bestFit="1" customWidth="1"/>
    <col min="19" max="19" width="12.5703125" bestFit="1" customWidth="1"/>
    <col min="20" max="21" width="11.5703125" bestFit="1" customWidth="1"/>
    <col min="22" max="22" width="10.5703125" bestFit="1" customWidth="1"/>
    <col min="23" max="23" width="18.85546875" bestFit="1" customWidth="1"/>
    <col min="24" max="24" width="19.140625" bestFit="1" customWidth="1"/>
    <col min="25" max="25" width="19" bestFit="1" customWidth="1"/>
    <col min="26" max="26" width="9.5703125" bestFit="1" customWidth="1"/>
    <col min="27" max="27" width="11.42578125" bestFit="1" customWidth="1"/>
    <col min="28" max="28" width="23.28515625" bestFit="1" customWidth="1"/>
    <col min="29" max="29" width="17.28515625" bestFit="1" customWidth="1"/>
    <col min="31" max="31" width="15.7109375" bestFit="1" customWidth="1"/>
    <col min="32" max="32" width="20" bestFit="1" customWidth="1"/>
    <col min="33" max="33" width="13.5703125" bestFit="1" customWidth="1"/>
    <col min="34" max="34" width="26.28515625" bestFit="1" customWidth="1"/>
    <col min="35" max="35" width="29.85546875" bestFit="1" customWidth="1"/>
    <col min="36" max="36" width="13.7109375" bestFit="1" customWidth="1"/>
    <col min="37" max="37" width="17" bestFit="1" customWidth="1"/>
    <col min="38" max="38" width="9.28515625" bestFit="1" customWidth="1"/>
    <col min="39" max="39" width="8.85546875" bestFit="1" customWidth="1"/>
    <col min="40" max="40" width="10.7109375" bestFit="1" customWidth="1"/>
    <col min="41" max="41" width="14" bestFit="1" customWidth="1"/>
    <col min="42" max="42" width="4" bestFit="1" customWidth="1"/>
    <col min="43" max="43" width="8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182</v>
      </c>
      <c r="B2" t="s">
        <v>183</v>
      </c>
      <c r="C2">
        <v>51.996000000000002</v>
      </c>
      <c r="D2">
        <v>2173.15</v>
      </c>
      <c r="E2" t="s">
        <v>57</v>
      </c>
      <c r="F2" t="s">
        <v>46</v>
      </c>
      <c r="G2" t="s">
        <v>56</v>
      </c>
      <c r="H2" t="s">
        <v>44</v>
      </c>
      <c r="I2" t="s">
        <v>44</v>
      </c>
      <c r="J2">
        <v>1</v>
      </c>
      <c r="K2" t="s">
        <v>44</v>
      </c>
      <c r="L2">
        <v>19</v>
      </c>
      <c r="M2">
        <v>19</v>
      </c>
      <c r="N2">
        <v>19</v>
      </c>
      <c r="O2" t="s">
        <v>57</v>
      </c>
      <c r="P2" t="s">
        <v>44</v>
      </c>
      <c r="Q2" t="s">
        <v>57</v>
      </c>
      <c r="R2">
        <v>4.4999999999999997E-3</v>
      </c>
      <c r="S2">
        <v>4.8799999999999998E-3</v>
      </c>
      <c r="T2">
        <v>7.4999999999999997E-3</v>
      </c>
      <c r="U2" t="s">
        <v>57</v>
      </c>
      <c r="V2" t="s">
        <v>57</v>
      </c>
      <c r="W2" s="1">
        <v>1.5E-3</v>
      </c>
      <c r="X2">
        <v>5.4999999999999997E-3</v>
      </c>
      <c r="Y2" t="s">
        <v>62</v>
      </c>
      <c r="Z2" t="s">
        <v>44</v>
      </c>
      <c r="AA2" t="s">
        <v>44</v>
      </c>
      <c r="AB2">
        <v>3.16</v>
      </c>
      <c r="AC2" t="s">
        <v>45</v>
      </c>
      <c r="AD2" t="s">
        <v>46</v>
      </c>
      <c r="AE2" t="s">
        <v>56</v>
      </c>
      <c r="AF2" t="s">
        <v>47</v>
      </c>
      <c r="AG2" t="s">
        <v>57</v>
      </c>
      <c r="AH2" t="s">
        <v>48</v>
      </c>
      <c r="AI2" t="s">
        <v>49</v>
      </c>
      <c r="AJ2" t="s">
        <v>110</v>
      </c>
      <c r="AK2" t="s">
        <v>111</v>
      </c>
      <c r="AL2">
        <v>4.4999999999999997E-3</v>
      </c>
      <c r="AM2" t="s">
        <v>44</v>
      </c>
      <c r="AN2" t="s">
        <v>44</v>
      </c>
      <c r="AO2" t="s">
        <v>52</v>
      </c>
      <c r="AP2" t="s">
        <v>53</v>
      </c>
      <c r="AQ2" t="s">
        <v>54</v>
      </c>
    </row>
    <row r="3" spans="1:43" x14ac:dyDescent="0.25">
      <c r="A3" t="s">
        <v>184</v>
      </c>
      <c r="B3" t="s">
        <v>185</v>
      </c>
      <c r="C3">
        <v>52</v>
      </c>
      <c r="D3">
        <v>2170</v>
      </c>
      <c r="E3">
        <v>0</v>
      </c>
      <c r="F3">
        <v>86700</v>
      </c>
      <c r="G3">
        <v>0</v>
      </c>
      <c r="H3">
        <v>0.127</v>
      </c>
      <c r="I3" s="1">
        <v>1.4100000000000001E-5</v>
      </c>
      <c r="J3">
        <v>1.7</v>
      </c>
      <c r="K3" t="s">
        <v>44</v>
      </c>
      <c r="L3">
        <v>19</v>
      </c>
      <c r="M3">
        <v>19</v>
      </c>
      <c r="N3">
        <v>19</v>
      </c>
      <c r="O3" s="1">
        <v>2.5299999999999999E-6</v>
      </c>
      <c r="P3">
        <v>0</v>
      </c>
      <c r="Q3" t="s">
        <v>57</v>
      </c>
      <c r="R3">
        <v>4.4999999999999997E-3</v>
      </c>
      <c r="S3">
        <v>4.8799999999999998E-3</v>
      </c>
      <c r="T3">
        <v>7.4999999999999997E-3</v>
      </c>
      <c r="U3" t="s">
        <v>57</v>
      </c>
      <c r="V3" t="s">
        <v>57</v>
      </c>
      <c r="W3">
        <v>1.5E-3</v>
      </c>
      <c r="X3">
        <v>5.4999999999999997E-3</v>
      </c>
      <c r="Y3" t="s">
        <v>62</v>
      </c>
      <c r="Z3" t="s">
        <v>44</v>
      </c>
      <c r="AA3" t="s">
        <v>44</v>
      </c>
      <c r="AB3">
        <v>19</v>
      </c>
      <c r="AC3" t="s">
        <v>45</v>
      </c>
      <c r="AD3" t="s">
        <v>46</v>
      </c>
      <c r="AE3" t="s">
        <v>56</v>
      </c>
      <c r="AF3" t="s">
        <v>47</v>
      </c>
      <c r="AG3" t="s">
        <v>57</v>
      </c>
      <c r="AH3" t="s">
        <v>48</v>
      </c>
      <c r="AI3" t="s">
        <v>49</v>
      </c>
      <c r="AJ3" t="s">
        <v>110</v>
      </c>
      <c r="AK3" t="s">
        <v>111</v>
      </c>
      <c r="AL3">
        <v>4.4999999999999997E-3</v>
      </c>
      <c r="AM3" t="s">
        <v>44</v>
      </c>
      <c r="AN3" t="s">
        <v>44</v>
      </c>
      <c r="AO3" t="s">
        <v>52</v>
      </c>
      <c r="AP3" t="s">
        <v>53</v>
      </c>
      <c r="AQ3" t="s">
        <v>54</v>
      </c>
    </row>
    <row r="4" spans="1:43" x14ac:dyDescent="0.25">
      <c r="A4" t="s">
        <v>186</v>
      </c>
      <c r="B4" t="s">
        <v>187</v>
      </c>
      <c r="C4">
        <v>52</v>
      </c>
      <c r="D4">
        <v>2170</v>
      </c>
      <c r="E4">
        <v>0</v>
      </c>
      <c r="F4" t="s">
        <v>46</v>
      </c>
      <c r="G4">
        <v>0</v>
      </c>
      <c r="H4">
        <v>0.13600000000000001</v>
      </c>
      <c r="I4" s="1">
        <v>1.5800000000000001E-5</v>
      </c>
      <c r="J4">
        <v>0</v>
      </c>
      <c r="K4" t="s">
        <v>44</v>
      </c>
      <c r="L4">
        <v>19</v>
      </c>
      <c r="M4">
        <v>19</v>
      </c>
      <c r="N4">
        <v>19</v>
      </c>
      <c r="O4" s="1">
        <v>2.5299999999999999E-6</v>
      </c>
      <c r="P4">
        <v>0</v>
      </c>
      <c r="Q4" t="s">
        <v>57</v>
      </c>
      <c r="R4">
        <v>4.4999999999999997E-3</v>
      </c>
      <c r="S4">
        <v>4.8799999999999998E-3</v>
      </c>
      <c r="T4">
        <v>7.4999999999999997E-3</v>
      </c>
      <c r="U4" t="s">
        <v>57</v>
      </c>
      <c r="V4" t="s">
        <v>57</v>
      </c>
      <c r="W4">
        <v>1.5E-3</v>
      </c>
      <c r="X4">
        <v>5.4999999999999997E-3</v>
      </c>
      <c r="Y4" t="s">
        <v>62</v>
      </c>
      <c r="Z4" t="s">
        <v>44</v>
      </c>
      <c r="AA4" t="s">
        <v>44</v>
      </c>
      <c r="AB4">
        <v>3</v>
      </c>
      <c r="AC4" t="s">
        <v>45</v>
      </c>
      <c r="AD4" t="s">
        <v>46</v>
      </c>
      <c r="AE4">
        <v>1.5</v>
      </c>
      <c r="AF4" t="s">
        <v>47</v>
      </c>
      <c r="AG4" t="s">
        <v>57</v>
      </c>
      <c r="AH4" t="s">
        <v>48</v>
      </c>
      <c r="AI4" t="s">
        <v>49</v>
      </c>
      <c r="AJ4" t="s">
        <v>110</v>
      </c>
      <c r="AK4" t="s">
        <v>111</v>
      </c>
      <c r="AL4">
        <v>7.4999999999999997E-3</v>
      </c>
      <c r="AM4" t="s">
        <v>44</v>
      </c>
      <c r="AN4" t="s">
        <v>44</v>
      </c>
      <c r="AO4" t="s">
        <v>52</v>
      </c>
      <c r="AP4" t="s">
        <v>53</v>
      </c>
      <c r="AQ4" t="s">
        <v>54</v>
      </c>
    </row>
    <row r="5" spans="1:43" x14ac:dyDescent="0.25">
      <c r="A5" t="s">
        <v>188</v>
      </c>
      <c r="B5" t="s">
        <v>189</v>
      </c>
      <c r="C5">
        <v>52</v>
      </c>
      <c r="D5">
        <v>2170</v>
      </c>
      <c r="E5">
        <v>0</v>
      </c>
      <c r="F5" t="s">
        <v>46</v>
      </c>
      <c r="G5">
        <v>0</v>
      </c>
      <c r="H5">
        <v>0.13600000000000001</v>
      </c>
      <c r="I5">
        <v>0</v>
      </c>
      <c r="J5">
        <v>1</v>
      </c>
      <c r="K5" t="s">
        <v>44</v>
      </c>
      <c r="L5">
        <v>19</v>
      </c>
      <c r="M5">
        <v>19</v>
      </c>
      <c r="N5">
        <v>19</v>
      </c>
      <c r="O5" s="1">
        <v>2.5299999999999999E-6</v>
      </c>
      <c r="P5">
        <v>0</v>
      </c>
      <c r="Q5" t="s">
        <v>57</v>
      </c>
      <c r="R5">
        <v>4.4999999999999997E-3</v>
      </c>
      <c r="S5">
        <v>4.8799999999999998E-3</v>
      </c>
      <c r="T5">
        <v>7.4999999999999997E-3</v>
      </c>
      <c r="U5" t="s">
        <v>57</v>
      </c>
      <c r="V5" t="s">
        <v>57</v>
      </c>
      <c r="W5">
        <v>1.5E-3</v>
      </c>
      <c r="X5">
        <v>5.4999999999999997E-3</v>
      </c>
      <c r="Y5" t="s">
        <v>62</v>
      </c>
      <c r="Z5" t="s">
        <v>44</v>
      </c>
      <c r="AA5" t="s">
        <v>44</v>
      </c>
      <c r="AB5">
        <v>3.16</v>
      </c>
      <c r="AC5" t="s">
        <v>45</v>
      </c>
      <c r="AD5" t="s">
        <v>46</v>
      </c>
      <c r="AE5">
        <v>3.0000000000000001E-3</v>
      </c>
      <c r="AF5">
        <v>0.5</v>
      </c>
      <c r="AG5" s="1">
        <v>7.9999999999999996E-6</v>
      </c>
      <c r="AH5">
        <v>1.2E-2</v>
      </c>
      <c r="AI5" t="s">
        <v>49</v>
      </c>
      <c r="AJ5" t="s">
        <v>110</v>
      </c>
      <c r="AK5" t="s">
        <v>111</v>
      </c>
      <c r="AL5">
        <v>4.4999999999999997E-3</v>
      </c>
      <c r="AM5" t="s">
        <v>44</v>
      </c>
      <c r="AN5" t="s">
        <v>44</v>
      </c>
      <c r="AO5" t="s">
        <v>52</v>
      </c>
      <c r="AP5" t="s">
        <v>53</v>
      </c>
      <c r="AQ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Views>
    <sheetView workbookViewId="0">
      <selection activeCell="A2" sqref="A2:XFD2"/>
    </sheetView>
  </sheetViews>
  <sheetFormatPr defaultRowHeight="15" x14ac:dyDescent="0.25"/>
  <cols>
    <col min="1" max="1" width="38" bestFit="1" customWidth="1"/>
    <col min="2" max="2" width="10.28515625" bestFit="1" customWidth="1"/>
    <col min="3" max="3" width="12.85546875" bestFit="1" customWidth="1"/>
    <col min="4" max="4" width="7.140625" bestFit="1" customWidth="1"/>
    <col min="5" max="5" width="10.42578125" bestFit="1" customWidth="1"/>
    <col min="6" max="6" width="8.7109375" bestFit="1" customWidth="1"/>
    <col min="7" max="7" width="16.7109375" bestFit="1" customWidth="1"/>
    <col min="8" max="8" width="11.42578125" bestFit="1" customWidth="1"/>
    <col min="9" max="10" width="12" bestFit="1" customWidth="1"/>
    <col min="11" max="11" width="10.85546875" bestFit="1" customWidth="1"/>
    <col min="12" max="12" width="12.42578125" bestFit="1" customWidth="1"/>
    <col min="13" max="13" width="11.28515625" bestFit="1" customWidth="1"/>
    <col min="14" max="14" width="13.7109375" bestFit="1" customWidth="1"/>
    <col min="15" max="15" width="11.5703125" bestFit="1" customWidth="1"/>
    <col min="16" max="16" width="6.85546875" bestFit="1" customWidth="1"/>
    <col min="17" max="17" width="8.140625" bestFit="1" customWidth="1"/>
    <col min="18" max="18" width="11" bestFit="1" customWidth="1"/>
    <col min="19" max="19" width="12.5703125" bestFit="1" customWidth="1"/>
    <col min="20" max="21" width="11.5703125" bestFit="1" customWidth="1"/>
    <col min="22" max="22" width="10.5703125" bestFit="1" customWidth="1"/>
    <col min="23" max="23" width="18.85546875" bestFit="1" customWidth="1"/>
    <col min="24" max="24" width="19.140625" bestFit="1" customWidth="1"/>
    <col min="25" max="25" width="19" bestFit="1" customWidth="1"/>
    <col min="26" max="26" width="12" bestFit="1" customWidth="1"/>
    <col min="27" max="27" width="11.42578125" bestFit="1" customWidth="1"/>
    <col min="28" max="28" width="23.28515625" bestFit="1" customWidth="1"/>
    <col min="29" max="29" width="17.28515625" bestFit="1" customWidth="1"/>
    <col min="31" max="31" width="15.7109375" bestFit="1" customWidth="1"/>
    <col min="32" max="32" width="20" bestFit="1" customWidth="1"/>
    <col min="33" max="33" width="13.5703125" bestFit="1" customWidth="1"/>
    <col min="34" max="34" width="26.28515625" bestFit="1" customWidth="1"/>
    <col min="35" max="35" width="29.85546875" bestFit="1" customWidth="1"/>
    <col min="36" max="36" width="13.7109375" bestFit="1" customWidth="1"/>
    <col min="37" max="37" width="17" bestFit="1" customWidth="1"/>
    <col min="38" max="38" width="9.28515625" bestFit="1" customWidth="1"/>
    <col min="39" max="40" width="12" bestFit="1" customWidth="1"/>
    <col min="41" max="41" width="14" bestFit="1" customWidth="1"/>
    <col min="42" max="42" width="4" bestFit="1" customWidth="1"/>
    <col min="43" max="43" width="8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194</v>
      </c>
      <c r="B2" t="s">
        <v>195</v>
      </c>
      <c r="C2">
        <v>109</v>
      </c>
      <c r="D2">
        <v>294</v>
      </c>
      <c r="E2">
        <v>2.24E-4</v>
      </c>
      <c r="F2">
        <v>9070</v>
      </c>
      <c r="G2" s="1">
        <v>2.6900000000000001E-6</v>
      </c>
      <c r="H2">
        <v>8.3199999999999996E-2</v>
      </c>
      <c r="I2" s="1">
        <v>9.6299999999999993E-6</v>
      </c>
      <c r="J2">
        <v>89.1</v>
      </c>
      <c r="K2">
        <v>82.6</v>
      </c>
      <c r="L2">
        <v>0.82599999999999996</v>
      </c>
      <c r="M2">
        <v>6.2</v>
      </c>
      <c r="N2">
        <v>3.31</v>
      </c>
      <c r="O2">
        <v>8.43</v>
      </c>
      <c r="P2">
        <v>1</v>
      </c>
      <c r="Q2">
        <v>13.7</v>
      </c>
      <c r="R2">
        <v>16.600000000000001</v>
      </c>
      <c r="S2">
        <v>2.89</v>
      </c>
      <c r="T2">
        <v>2.89</v>
      </c>
      <c r="U2">
        <v>2.48</v>
      </c>
      <c r="V2">
        <v>2.48</v>
      </c>
      <c r="W2">
        <v>5.6499999999999996E-4</v>
      </c>
      <c r="X2">
        <v>2.6800000000000001E-3</v>
      </c>
      <c r="Y2">
        <v>3.2499999999999999E-3</v>
      </c>
      <c r="Z2" t="s">
        <v>44</v>
      </c>
      <c r="AA2" t="s">
        <v>44</v>
      </c>
      <c r="AB2">
        <v>6.33</v>
      </c>
      <c r="AC2" t="s">
        <v>45</v>
      </c>
      <c r="AD2" t="s">
        <v>46</v>
      </c>
      <c r="AE2">
        <v>5.0000000000000001E-3</v>
      </c>
      <c r="AF2" t="s">
        <v>47</v>
      </c>
      <c r="AG2">
        <v>0.6</v>
      </c>
      <c r="AH2" t="s">
        <v>48</v>
      </c>
      <c r="AI2" t="s">
        <v>49</v>
      </c>
      <c r="AJ2" t="s">
        <v>50</v>
      </c>
      <c r="AK2" t="s">
        <v>51</v>
      </c>
      <c r="AL2">
        <v>2.89</v>
      </c>
      <c r="AM2">
        <v>1.1299999999999999E-3</v>
      </c>
      <c r="AN2">
        <v>1.98E-3</v>
      </c>
      <c r="AO2" t="s">
        <v>52</v>
      </c>
      <c r="AP2" t="s">
        <v>53</v>
      </c>
      <c r="AQ2" t="s">
        <v>54</v>
      </c>
    </row>
    <row r="3" spans="1:43" x14ac:dyDescent="0.25">
      <c r="A3" t="s">
        <v>196</v>
      </c>
      <c r="B3" t="s">
        <v>197</v>
      </c>
      <c r="C3">
        <v>108.94</v>
      </c>
      <c r="D3">
        <v>285.37</v>
      </c>
      <c r="E3">
        <v>1.8200000000000001E-4</v>
      </c>
      <c r="F3">
        <v>22700</v>
      </c>
      <c r="G3" s="1">
        <v>8.6499999999999998E-7</v>
      </c>
      <c r="H3">
        <v>7.3999999999999996E-2</v>
      </c>
      <c r="I3" s="1">
        <v>1.0000000000000001E-5</v>
      </c>
      <c r="J3">
        <v>91.201083940000004</v>
      </c>
      <c r="K3">
        <v>84.52</v>
      </c>
      <c r="L3">
        <v>0.85</v>
      </c>
      <c r="M3">
        <v>6.34</v>
      </c>
      <c r="N3">
        <v>3.38</v>
      </c>
      <c r="O3">
        <v>8.7200000000000006</v>
      </c>
      <c r="P3">
        <v>1</v>
      </c>
      <c r="Q3">
        <v>13.8</v>
      </c>
      <c r="R3">
        <v>16.3</v>
      </c>
      <c r="S3">
        <v>2.85</v>
      </c>
      <c r="T3">
        <v>2.85</v>
      </c>
      <c r="U3">
        <v>7.9</v>
      </c>
      <c r="V3">
        <v>7.9</v>
      </c>
      <c r="W3">
        <v>5.7403900000000004E-4</v>
      </c>
      <c r="X3">
        <v>2.7266859999999999E-3</v>
      </c>
      <c r="Y3">
        <v>3.3007259999999999E-3</v>
      </c>
      <c r="Z3">
        <v>7.2283899999999997E-4</v>
      </c>
      <c r="AA3" t="s">
        <v>44</v>
      </c>
      <c r="AB3">
        <v>6.44</v>
      </c>
      <c r="AC3" t="s">
        <v>45</v>
      </c>
      <c r="AD3" t="s">
        <v>46</v>
      </c>
      <c r="AE3">
        <v>0.05</v>
      </c>
      <c r="AF3" t="s">
        <v>47</v>
      </c>
      <c r="AG3">
        <v>0.6</v>
      </c>
      <c r="AH3" t="s">
        <v>48</v>
      </c>
      <c r="AI3" t="s">
        <v>49</v>
      </c>
      <c r="AJ3" t="s">
        <v>50</v>
      </c>
      <c r="AK3" t="s">
        <v>51</v>
      </c>
      <c r="AL3">
        <v>2.85</v>
      </c>
      <c r="AM3">
        <v>1.148079E-3</v>
      </c>
      <c r="AN3">
        <v>2.0091369999999998E-3</v>
      </c>
      <c r="AO3" t="s">
        <v>52</v>
      </c>
      <c r="AP3" t="s">
        <v>53</v>
      </c>
      <c r="AQ3" t="s">
        <v>54</v>
      </c>
    </row>
    <row r="4" spans="1:43" x14ac:dyDescent="0.25">
      <c r="A4" t="s">
        <v>198</v>
      </c>
      <c r="B4" t="s">
        <v>199</v>
      </c>
      <c r="C4">
        <v>109</v>
      </c>
      <c r="D4">
        <v>304</v>
      </c>
      <c r="E4">
        <v>3.9300000000000001E-4</v>
      </c>
      <c r="F4">
        <v>26000</v>
      </c>
      <c r="G4" s="1">
        <v>1.1999999999999999E-6</v>
      </c>
      <c r="H4">
        <v>7.3999999999999996E-2</v>
      </c>
      <c r="I4" s="1">
        <v>8.3000000000000002E-6</v>
      </c>
      <c r="J4">
        <v>89.1</v>
      </c>
      <c r="K4">
        <v>82.6</v>
      </c>
      <c r="L4">
        <v>0.83</v>
      </c>
      <c r="M4">
        <v>6.2</v>
      </c>
      <c r="N4">
        <v>3.31</v>
      </c>
      <c r="O4">
        <v>36.1</v>
      </c>
      <c r="P4">
        <v>1</v>
      </c>
      <c r="Q4">
        <v>13.7</v>
      </c>
      <c r="R4">
        <v>16.600000000000001</v>
      </c>
      <c r="S4">
        <v>2.89</v>
      </c>
      <c r="T4">
        <v>2.89</v>
      </c>
      <c r="U4">
        <v>5.56</v>
      </c>
      <c r="V4">
        <v>5.56</v>
      </c>
      <c r="W4">
        <v>5.6400000000000005E-4</v>
      </c>
      <c r="X4">
        <v>2.6800000000000001E-3</v>
      </c>
      <c r="Y4">
        <v>3.2399999999999998E-3</v>
      </c>
      <c r="Z4">
        <v>8.34E-4</v>
      </c>
      <c r="AA4" t="s">
        <v>44</v>
      </c>
      <c r="AB4">
        <v>6.33</v>
      </c>
      <c r="AC4" t="s">
        <v>45</v>
      </c>
      <c r="AD4" t="s">
        <v>46</v>
      </c>
      <c r="AE4">
        <v>0.05</v>
      </c>
      <c r="AF4" t="s">
        <v>47</v>
      </c>
      <c r="AG4">
        <v>0.6</v>
      </c>
      <c r="AH4" t="s">
        <v>48</v>
      </c>
      <c r="AI4" t="s">
        <v>49</v>
      </c>
      <c r="AJ4" t="s">
        <v>50</v>
      </c>
      <c r="AK4" t="s">
        <v>51</v>
      </c>
      <c r="AL4">
        <v>2.89</v>
      </c>
      <c r="AM4">
        <v>1.1299999999999999E-3</v>
      </c>
      <c r="AN4">
        <v>1.98E-3</v>
      </c>
      <c r="AO4" t="s">
        <v>52</v>
      </c>
      <c r="AP4" t="s">
        <v>53</v>
      </c>
      <c r="AQ4" t="s">
        <v>54</v>
      </c>
    </row>
    <row r="5" spans="1:43" x14ac:dyDescent="0.25">
      <c r="A5" t="s">
        <v>200</v>
      </c>
      <c r="B5" t="s">
        <v>201</v>
      </c>
      <c r="C5">
        <v>109</v>
      </c>
      <c r="D5">
        <v>309</v>
      </c>
      <c r="E5">
        <v>1.45E-4</v>
      </c>
      <c r="F5">
        <v>22000</v>
      </c>
      <c r="G5" s="1">
        <v>7.8999999999999995E-7</v>
      </c>
      <c r="H5">
        <v>7.3999999999999996E-2</v>
      </c>
      <c r="I5" s="1">
        <v>1.0000000000000001E-5</v>
      </c>
      <c r="J5">
        <v>79.400000000000006</v>
      </c>
      <c r="K5">
        <v>73.8</v>
      </c>
      <c r="L5">
        <v>12</v>
      </c>
      <c r="M5">
        <v>5.53</v>
      </c>
      <c r="N5">
        <v>2.95</v>
      </c>
      <c r="O5">
        <v>379</v>
      </c>
      <c r="P5">
        <v>1</v>
      </c>
      <c r="Q5">
        <v>13.1</v>
      </c>
      <c r="R5">
        <v>1.0900000000000001</v>
      </c>
      <c r="S5">
        <v>3.09</v>
      </c>
      <c r="T5">
        <v>3.09</v>
      </c>
      <c r="U5">
        <v>7.47</v>
      </c>
      <c r="V5">
        <v>7.47</v>
      </c>
      <c r="W5">
        <v>5.22E-4</v>
      </c>
      <c r="X5">
        <v>2.48E-3</v>
      </c>
      <c r="Y5">
        <v>3.0000000000000001E-3</v>
      </c>
      <c r="Z5">
        <v>6.9099999999999999E-4</v>
      </c>
      <c r="AA5" t="s">
        <v>44</v>
      </c>
      <c r="AB5">
        <v>5.79</v>
      </c>
      <c r="AC5" t="s">
        <v>45</v>
      </c>
      <c r="AD5" t="s">
        <v>46</v>
      </c>
      <c r="AE5">
        <v>5.0000000000000001E-3</v>
      </c>
      <c r="AF5" t="s">
        <v>47</v>
      </c>
      <c r="AG5">
        <v>0.6</v>
      </c>
      <c r="AH5" t="s">
        <v>48</v>
      </c>
      <c r="AI5" t="s">
        <v>49</v>
      </c>
      <c r="AJ5" t="s">
        <v>50</v>
      </c>
      <c r="AK5" t="s">
        <v>51</v>
      </c>
      <c r="AL5">
        <v>3.09</v>
      </c>
      <c r="AM5">
        <v>1.0399999999999999E-3</v>
      </c>
      <c r="AN5">
        <v>1.83E-3</v>
      </c>
      <c r="AO5" t="s">
        <v>52</v>
      </c>
      <c r="AP5" t="s">
        <v>53</v>
      </c>
      <c r="AQ5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>
      <selection activeCell="A2" sqref="A2:XFD2"/>
    </sheetView>
  </sheetViews>
  <sheetFormatPr defaultRowHeight="15" x14ac:dyDescent="0.25"/>
  <cols>
    <col min="1" max="1" width="39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463</v>
      </c>
      <c r="B2" t="s">
        <v>464</v>
      </c>
      <c r="C2">
        <v>107</v>
      </c>
      <c r="D2">
        <v>256</v>
      </c>
      <c r="E2">
        <v>1.0500000000000001E-2</v>
      </c>
      <c r="F2">
        <v>106</v>
      </c>
      <c r="G2">
        <v>1.06E-2</v>
      </c>
      <c r="H2">
        <v>8.4199999999999997E-2</v>
      </c>
      <c r="I2" s="1">
        <v>9.7499999999999998E-6</v>
      </c>
      <c r="J2">
        <v>1450</v>
      </c>
      <c r="K2">
        <v>381</v>
      </c>
      <c r="L2">
        <v>3.81</v>
      </c>
      <c r="M2">
        <v>28.6</v>
      </c>
      <c r="N2">
        <v>15.2</v>
      </c>
      <c r="O2">
        <v>8.43</v>
      </c>
      <c r="P2">
        <v>1</v>
      </c>
      <c r="Q2">
        <v>63</v>
      </c>
      <c r="R2">
        <v>16.5</v>
      </c>
      <c r="S2">
        <v>0.57799999999999996</v>
      </c>
      <c r="T2">
        <v>0.57799999999999996</v>
      </c>
      <c r="U2">
        <v>1.2200000000000001E-2</v>
      </c>
      <c r="V2">
        <v>1.2200000000000001E-2</v>
      </c>
      <c r="W2">
        <v>2.7200000000000002E-3</v>
      </c>
      <c r="X2">
        <v>1.29E-2</v>
      </c>
      <c r="Y2">
        <v>1.5599999999999999E-2</v>
      </c>
      <c r="Z2" t="s">
        <v>44</v>
      </c>
      <c r="AA2" t="s">
        <v>44</v>
      </c>
      <c r="AB2">
        <v>54.1</v>
      </c>
      <c r="AC2" t="s">
        <v>45</v>
      </c>
      <c r="AD2" t="s">
        <v>46</v>
      </c>
      <c r="AE2">
        <v>0.2</v>
      </c>
      <c r="AF2" t="s">
        <v>47</v>
      </c>
      <c r="AG2">
        <v>0.1</v>
      </c>
      <c r="AH2" t="s">
        <v>48</v>
      </c>
      <c r="AI2" t="s">
        <v>49</v>
      </c>
      <c r="AJ2" t="s">
        <v>50</v>
      </c>
      <c r="AK2" t="s">
        <v>51</v>
      </c>
      <c r="AL2">
        <v>0.57799999999999996</v>
      </c>
      <c r="AM2">
        <v>5.4400000000000004E-3</v>
      </c>
      <c r="AN2">
        <v>9.5200000000000007E-3</v>
      </c>
      <c r="AO2" t="s">
        <v>52</v>
      </c>
      <c r="AP2" t="s">
        <v>53</v>
      </c>
      <c r="AQ2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A22" sqref="A22"/>
    </sheetView>
  </sheetViews>
  <sheetFormatPr defaultRowHeight="15" x14ac:dyDescent="0.25"/>
  <cols>
    <col min="1" max="1" width="39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s="4" t="s">
        <v>282</v>
      </c>
      <c r="B2" t="s">
        <v>283</v>
      </c>
      <c r="C2">
        <v>425</v>
      </c>
      <c r="D2">
        <v>538</v>
      </c>
      <c r="E2" s="1">
        <v>7.3699999999999995E-15</v>
      </c>
      <c r="F2" s="1">
        <v>2.3999999999999999E-6</v>
      </c>
      <c r="G2" s="1">
        <v>1.2E-5</v>
      </c>
      <c r="H2">
        <v>9.0499999999999997E-2</v>
      </c>
      <c r="I2" s="1">
        <v>7.9999999999999996E-6</v>
      </c>
      <c r="J2">
        <v>100000000</v>
      </c>
      <c r="K2">
        <v>61700000</v>
      </c>
      <c r="L2">
        <v>617000</v>
      </c>
      <c r="M2">
        <v>4620000</v>
      </c>
      <c r="N2">
        <v>2470000</v>
      </c>
      <c r="O2">
        <v>0.03</v>
      </c>
      <c r="P2">
        <v>3.0000000000000001E-3</v>
      </c>
      <c r="Q2">
        <v>336000</v>
      </c>
      <c r="R2">
        <v>0.54500000000000004</v>
      </c>
      <c r="S2">
        <v>9.2000000000000003E-4</v>
      </c>
      <c r="T2">
        <v>9.2000000000000003E-4</v>
      </c>
      <c r="U2">
        <v>910000</v>
      </c>
      <c r="V2">
        <v>910000</v>
      </c>
      <c r="W2">
        <v>1.8500000000000001E-3</v>
      </c>
      <c r="X2">
        <v>8.77E-3</v>
      </c>
      <c r="Y2">
        <v>1.06E-2</v>
      </c>
      <c r="Z2">
        <v>2.5499999999999998E-2</v>
      </c>
      <c r="AA2">
        <v>0.39</v>
      </c>
      <c r="AB2">
        <v>2750</v>
      </c>
      <c r="AC2" t="s">
        <v>45</v>
      </c>
      <c r="AD2">
        <v>5.0000000000000001E-3</v>
      </c>
      <c r="AE2" s="1">
        <v>7.0000000000000005E-8</v>
      </c>
      <c r="AF2">
        <v>14000</v>
      </c>
      <c r="AG2" s="1">
        <v>3.9999999999999998E-6</v>
      </c>
      <c r="AH2">
        <v>4</v>
      </c>
      <c r="AI2" t="s">
        <v>49</v>
      </c>
      <c r="AJ2" t="s">
        <v>50</v>
      </c>
      <c r="AK2" t="s">
        <v>262</v>
      </c>
      <c r="AL2">
        <v>9.2000000000000003E-4</v>
      </c>
      <c r="AM2">
        <v>3.6900000000000001E-3</v>
      </c>
      <c r="AN2">
        <v>6.4599999999999996E-3</v>
      </c>
      <c r="AO2">
        <v>0.01</v>
      </c>
      <c r="AP2" t="s">
        <v>53</v>
      </c>
      <c r="AQ2" t="s">
        <v>54</v>
      </c>
    </row>
    <row r="3" spans="1:43" x14ac:dyDescent="0.25">
      <c r="A3" s="4" t="s">
        <v>284</v>
      </c>
      <c r="B3" t="s">
        <v>285</v>
      </c>
      <c r="C3">
        <v>409</v>
      </c>
      <c r="D3">
        <v>510</v>
      </c>
      <c r="E3" s="1">
        <v>4.61E-14</v>
      </c>
      <c r="F3" s="1">
        <v>1.35E-6</v>
      </c>
      <c r="G3" s="1">
        <v>1.4100000000000001E-5</v>
      </c>
      <c r="H3">
        <v>2.0299999999999999E-2</v>
      </c>
      <c r="I3" s="1">
        <v>7.9999999999999996E-6</v>
      </c>
      <c r="J3">
        <v>25100000</v>
      </c>
      <c r="K3">
        <v>15500000</v>
      </c>
      <c r="L3">
        <v>155000</v>
      </c>
      <c r="M3">
        <v>1160000</v>
      </c>
      <c r="N3">
        <v>620000</v>
      </c>
      <c r="O3">
        <v>0.03</v>
      </c>
      <c r="P3">
        <v>0.01</v>
      </c>
      <c r="Q3">
        <v>116000</v>
      </c>
      <c r="R3">
        <v>0.748</v>
      </c>
      <c r="S3">
        <v>2.0500000000000002E-3</v>
      </c>
      <c r="T3">
        <v>2.0500000000000002E-3</v>
      </c>
      <c r="U3">
        <v>830000</v>
      </c>
      <c r="V3">
        <v>830000</v>
      </c>
      <c r="W3">
        <v>3.46E-3</v>
      </c>
      <c r="X3">
        <v>1.6400000000000001E-2</v>
      </c>
      <c r="Y3">
        <v>1.9900000000000001E-2</v>
      </c>
      <c r="Z3">
        <v>2.0899999999999998E-2</v>
      </c>
      <c r="AA3">
        <v>0.32</v>
      </c>
      <c r="AB3">
        <v>18300</v>
      </c>
      <c r="AC3" t="s">
        <v>45</v>
      </c>
      <c r="AD3">
        <v>5.0000000000000001E-3</v>
      </c>
      <c r="AE3" s="1">
        <v>7.0000000000000005E-8</v>
      </c>
      <c r="AF3">
        <v>14000</v>
      </c>
      <c r="AG3" s="1">
        <v>3.9999999999999998E-6</v>
      </c>
      <c r="AH3">
        <v>4</v>
      </c>
      <c r="AI3" t="s">
        <v>49</v>
      </c>
      <c r="AJ3" t="s">
        <v>50</v>
      </c>
      <c r="AK3" t="s">
        <v>219</v>
      </c>
      <c r="AL3">
        <v>2.0500000000000002E-3</v>
      </c>
      <c r="AM3">
        <v>6.9199999999999999E-3</v>
      </c>
      <c r="AN3">
        <v>1.21E-2</v>
      </c>
      <c r="AO3">
        <v>0.01</v>
      </c>
      <c r="AP3" t="s">
        <v>53</v>
      </c>
      <c r="AQ3" t="s">
        <v>54</v>
      </c>
    </row>
    <row r="4" spans="1:43" x14ac:dyDescent="0.25">
      <c r="A4" s="4" t="s">
        <v>286</v>
      </c>
      <c r="B4" t="s">
        <v>287</v>
      </c>
      <c r="C4">
        <v>409</v>
      </c>
      <c r="D4">
        <v>495</v>
      </c>
      <c r="E4" s="1">
        <v>4.04E-13</v>
      </c>
      <c r="F4" s="1">
        <v>1.3999999999999999E-6</v>
      </c>
      <c r="G4" s="1">
        <v>1.4E-5</v>
      </c>
      <c r="H4">
        <v>2.0299999999999999E-2</v>
      </c>
      <c r="I4" s="1">
        <v>7.9999999999999996E-6</v>
      </c>
      <c r="J4">
        <v>25100000</v>
      </c>
      <c r="K4">
        <v>15500000</v>
      </c>
      <c r="L4">
        <v>155000</v>
      </c>
      <c r="M4">
        <v>1160000</v>
      </c>
      <c r="N4">
        <v>620000</v>
      </c>
      <c r="O4">
        <v>0.03</v>
      </c>
      <c r="P4">
        <v>5.7000000000000002E-2</v>
      </c>
      <c r="Q4">
        <v>116000</v>
      </c>
      <c r="R4">
        <v>0.748</v>
      </c>
      <c r="S4">
        <v>2.0500000000000002E-3</v>
      </c>
      <c r="T4">
        <v>2.0500000000000002E-3</v>
      </c>
      <c r="U4">
        <v>830000</v>
      </c>
      <c r="V4">
        <v>830000</v>
      </c>
      <c r="W4">
        <v>3.46E-3</v>
      </c>
      <c r="X4">
        <v>1.6400000000000001E-2</v>
      </c>
      <c r="Y4">
        <v>1.9900000000000001E-2</v>
      </c>
      <c r="Z4">
        <v>2.4199999999999999E-2</v>
      </c>
      <c r="AA4">
        <v>0.48</v>
      </c>
      <c r="AB4">
        <v>18300</v>
      </c>
      <c r="AC4" t="s">
        <v>45</v>
      </c>
      <c r="AD4">
        <v>5.0000000000000001E-3</v>
      </c>
      <c r="AE4" s="1">
        <v>7.0000000000000005E-8</v>
      </c>
      <c r="AF4">
        <v>14000</v>
      </c>
      <c r="AG4" s="1">
        <v>3.9999999999999998E-6</v>
      </c>
      <c r="AH4">
        <v>4</v>
      </c>
      <c r="AI4" t="s">
        <v>49</v>
      </c>
      <c r="AJ4" t="s">
        <v>50</v>
      </c>
      <c r="AK4" t="s">
        <v>219</v>
      </c>
      <c r="AL4">
        <v>2.0500000000000002E-3</v>
      </c>
      <c r="AM4">
        <v>6.9199999999999999E-3</v>
      </c>
      <c r="AN4">
        <v>1.21E-2</v>
      </c>
      <c r="AO4">
        <v>0.01</v>
      </c>
      <c r="AP4" t="s">
        <v>53</v>
      </c>
      <c r="AQ4" t="s">
        <v>54</v>
      </c>
    </row>
    <row r="5" spans="1:43" x14ac:dyDescent="0.25">
      <c r="A5" s="4" t="s">
        <v>289</v>
      </c>
      <c r="B5" t="s">
        <v>290</v>
      </c>
      <c r="C5">
        <v>391</v>
      </c>
      <c r="D5">
        <v>547</v>
      </c>
      <c r="E5" s="1">
        <v>5.0000000000000002E-14</v>
      </c>
      <c r="F5" s="1">
        <v>4.42E-6</v>
      </c>
      <c r="G5" s="1">
        <v>1.0699999999999999E-5</v>
      </c>
      <c r="H5">
        <v>9.4399999999999998E-2</v>
      </c>
      <c r="I5" s="1">
        <v>7.9999999999999996E-6</v>
      </c>
      <c r="J5">
        <v>63100000</v>
      </c>
      <c r="K5">
        <v>38900000</v>
      </c>
      <c r="L5">
        <v>389000</v>
      </c>
      <c r="M5">
        <v>2920000</v>
      </c>
      <c r="N5">
        <v>1560000</v>
      </c>
      <c r="O5">
        <v>0.03</v>
      </c>
      <c r="P5">
        <v>2.4E-2</v>
      </c>
      <c r="Q5">
        <v>236000</v>
      </c>
      <c r="R5">
        <v>0.60499999999999998</v>
      </c>
      <c r="S5">
        <v>1.1999999999999999E-3</v>
      </c>
      <c r="T5">
        <v>1.1999999999999999E-3</v>
      </c>
      <c r="U5">
        <v>520000</v>
      </c>
      <c r="V5">
        <v>520000</v>
      </c>
      <c r="W5">
        <v>2.32E-3</v>
      </c>
      <c r="X5">
        <v>1.0999999999999999E-2</v>
      </c>
      <c r="Y5">
        <v>1.3299999999999999E-2</v>
      </c>
      <c r="Z5">
        <v>4.53E-2</v>
      </c>
      <c r="AA5">
        <v>1.83</v>
      </c>
      <c r="AB5">
        <v>5180</v>
      </c>
      <c r="AC5" t="s">
        <v>45</v>
      </c>
      <c r="AD5">
        <v>0.04</v>
      </c>
      <c r="AE5" s="1">
        <v>6.9999999999999998E-9</v>
      </c>
      <c r="AF5">
        <v>140000</v>
      </c>
      <c r="AG5" s="1">
        <v>3.9999999999999998E-7</v>
      </c>
      <c r="AH5">
        <v>40</v>
      </c>
      <c r="AI5" t="s">
        <v>49</v>
      </c>
      <c r="AJ5" t="s">
        <v>50</v>
      </c>
      <c r="AK5" t="s">
        <v>262</v>
      </c>
      <c r="AL5">
        <v>1.1999999999999999E-3</v>
      </c>
      <c r="AM5">
        <v>4.6299999999999996E-3</v>
      </c>
      <c r="AN5">
        <v>8.1099999999999992E-3</v>
      </c>
      <c r="AO5">
        <v>0.1</v>
      </c>
      <c r="AP5" t="s">
        <v>53</v>
      </c>
      <c r="AQ5" t="s">
        <v>54</v>
      </c>
    </row>
    <row r="6" spans="1:43" x14ac:dyDescent="0.25">
      <c r="A6" s="4" t="s">
        <v>291</v>
      </c>
      <c r="B6" t="s">
        <v>292</v>
      </c>
      <c r="C6">
        <v>391</v>
      </c>
      <c r="D6">
        <v>559</v>
      </c>
      <c r="E6" s="1">
        <v>4.7299999999999998E-14</v>
      </c>
      <c r="F6" s="1">
        <v>4.4000000000000002E-6</v>
      </c>
      <c r="G6" s="1">
        <v>1.1E-5</v>
      </c>
      <c r="H6">
        <v>9.4399999999999998E-2</v>
      </c>
      <c r="I6" s="1">
        <v>7.9999999999999996E-6</v>
      </c>
      <c r="J6">
        <v>20000000</v>
      </c>
      <c r="K6">
        <v>12300000</v>
      </c>
      <c r="L6">
        <v>123000</v>
      </c>
      <c r="M6">
        <v>923000</v>
      </c>
      <c r="N6">
        <v>492000</v>
      </c>
      <c r="O6">
        <v>0.03</v>
      </c>
      <c r="P6">
        <v>2.9000000000000001E-2</v>
      </c>
      <c r="Q6">
        <v>97100</v>
      </c>
      <c r="R6">
        <v>0.78900000000000003</v>
      </c>
      <c r="S6">
        <v>2.3400000000000001E-3</v>
      </c>
      <c r="T6">
        <v>2.33E-3</v>
      </c>
      <c r="U6">
        <v>520000</v>
      </c>
      <c r="V6">
        <v>520000</v>
      </c>
      <c r="W6">
        <v>3.7799999999999999E-3</v>
      </c>
      <c r="X6">
        <v>1.7999999999999999E-2</v>
      </c>
      <c r="Y6">
        <v>2.1700000000000001E-2</v>
      </c>
      <c r="Z6">
        <v>3.6999999999999998E-2</v>
      </c>
      <c r="AA6">
        <v>1.17</v>
      </c>
      <c r="AB6">
        <v>25100</v>
      </c>
      <c r="AC6" t="s">
        <v>45</v>
      </c>
      <c r="AD6">
        <v>0.04</v>
      </c>
      <c r="AE6" s="1">
        <v>6.9999999999999998E-9</v>
      </c>
      <c r="AF6">
        <v>6200</v>
      </c>
      <c r="AG6" s="1">
        <v>3.9999999999999998E-7</v>
      </c>
      <c r="AH6">
        <v>40</v>
      </c>
      <c r="AI6" t="s">
        <v>49</v>
      </c>
      <c r="AJ6" t="s">
        <v>50</v>
      </c>
      <c r="AK6" t="s">
        <v>262</v>
      </c>
      <c r="AL6">
        <v>2.3400000000000001E-3</v>
      </c>
      <c r="AM6">
        <v>7.5599999999999999E-3</v>
      </c>
      <c r="AN6">
        <v>1.32E-2</v>
      </c>
      <c r="AO6">
        <v>0.1</v>
      </c>
      <c r="AP6" t="s">
        <v>53</v>
      </c>
      <c r="AQ6" t="s">
        <v>54</v>
      </c>
    </row>
    <row r="7" spans="1:43" x14ac:dyDescent="0.25">
      <c r="A7" s="4" t="s">
        <v>293</v>
      </c>
      <c r="B7" t="s">
        <v>294</v>
      </c>
      <c r="C7">
        <v>391</v>
      </c>
      <c r="D7">
        <v>517</v>
      </c>
      <c r="E7" s="1">
        <v>6.4500000000000003E-14</v>
      </c>
      <c r="F7" s="1">
        <v>4.4000000000000002E-6</v>
      </c>
      <c r="G7" s="1">
        <v>1.1E-5</v>
      </c>
      <c r="H7">
        <v>9.4399999999999998E-2</v>
      </c>
      <c r="I7" s="1">
        <v>7.9999999999999996E-6</v>
      </c>
      <c r="J7">
        <v>20000000</v>
      </c>
      <c r="K7">
        <v>12300000</v>
      </c>
      <c r="L7">
        <v>123000</v>
      </c>
      <c r="M7">
        <v>923000</v>
      </c>
      <c r="N7">
        <v>492000</v>
      </c>
      <c r="O7">
        <v>0.03</v>
      </c>
      <c r="P7">
        <v>1.6E-2</v>
      </c>
      <c r="Q7">
        <v>97100</v>
      </c>
      <c r="R7">
        <v>0.78900000000000003</v>
      </c>
      <c r="S7">
        <v>2.3400000000000001E-3</v>
      </c>
      <c r="T7">
        <v>2.3400000000000001E-3</v>
      </c>
      <c r="U7">
        <v>520000</v>
      </c>
      <c r="V7">
        <v>520000</v>
      </c>
      <c r="W7">
        <v>3.7799999999999999E-3</v>
      </c>
      <c r="X7">
        <v>1.7999999999999999E-2</v>
      </c>
      <c r="Y7">
        <v>2.1700000000000001E-2</v>
      </c>
      <c r="Z7">
        <v>2.3300000000000001E-2</v>
      </c>
      <c r="AA7">
        <v>0.63</v>
      </c>
      <c r="AB7">
        <v>25100</v>
      </c>
      <c r="AC7" t="s">
        <v>45</v>
      </c>
      <c r="AD7">
        <v>0.04</v>
      </c>
      <c r="AE7" s="1">
        <v>6.9999999999999998E-9</v>
      </c>
      <c r="AF7">
        <v>140000</v>
      </c>
      <c r="AG7" s="1">
        <v>3.9999999999999998E-7</v>
      </c>
      <c r="AH7">
        <v>40</v>
      </c>
      <c r="AI7" t="s">
        <v>49</v>
      </c>
      <c r="AJ7" t="s">
        <v>50</v>
      </c>
      <c r="AK7" t="s">
        <v>262</v>
      </c>
      <c r="AL7">
        <v>2.3400000000000001E-3</v>
      </c>
      <c r="AM7">
        <v>7.5599999999999999E-3</v>
      </c>
      <c r="AN7">
        <v>1.32E-2</v>
      </c>
      <c r="AO7">
        <v>0.1</v>
      </c>
      <c r="AP7" t="s">
        <v>53</v>
      </c>
      <c r="AQ7" t="s">
        <v>54</v>
      </c>
    </row>
    <row r="8" spans="1:43" x14ac:dyDescent="0.25">
      <c r="A8" s="4" t="s">
        <v>295</v>
      </c>
      <c r="B8" t="s">
        <v>296</v>
      </c>
      <c r="C8">
        <v>375</v>
      </c>
      <c r="D8">
        <v>499</v>
      </c>
      <c r="E8" s="1">
        <v>3.1600000000000002E-13</v>
      </c>
      <c r="F8" s="1">
        <v>8.2500000000000006E-6</v>
      </c>
      <c r="G8" s="1">
        <v>1.43E-5</v>
      </c>
      <c r="H8">
        <v>2.12E-2</v>
      </c>
      <c r="I8" s="1">
        <v>7.9999999999999996E-6</v>
      </c>
      <c r="J8">
        <v>10000000</v>
      </c>
      <c r="K8">
        <v>6170000</v>
      </c>
      <c r="L8">
        <v>61700</v>
      </c>
      <c r="M8">
        <v>462000</v>
      </c>
      <c r="N8">
        <v>247000</v>
      </c>
      <c r="O8">
        <v>0.03</v>
      </c>
      <c r="P8">
        <v>4.9000000000000002E-2</v>
      </c>
      <c r="Q8">
        <v>57000</v>
      </c>
      <c r="R8">
        <v>0.92500000000000004</v>
      </c>
      <c r="S8">
        <v>3.48E-3</v>
      </c>
      <c r="T8">
        <v>3.48E-3</v>
      </c>
      <c r="U8">
        <v>162000</v>
      </c>
      <c r="V8">
        <v>162000</v>
      </c>
      <c r="W8">
        <v>4.7999999999999996E-3</v>
      </c>
      <c r="X8">
        <v>2.2800000000000001E-2</v>
      </c>
      <c r="Y8">
        <v>2.76E-2</v>
      </c>
      <c r="Z8">
        <v>4.5100000000000001E-2</v>
      </c>
      <c r="AA8">
        <v>1.58</v>
      </c>
      <c r="AB8">
        <v>49000</v>
      </c>
      <c r="AC8" t="s">
        <v>45</v>
      </c>
      <c r="AD8">
        <v>0.04</v>
      </c>
      <c r="AE8" s="1">
        <v>6.9999999999999998E-9</v>
      </c>
      <c r="AF8">
        <v>140000</v>
      </c>
      <c r="AG8" s="1">
        <v>3.9999999999999998E-7</v>
      </c>
      <c r="AH8">
        <v>40</v>
      </c>
      <c r="AI8" t="s">
        <v>49</v>
      </c>
      <c r="AJ8" t="s">
        <v>50</v>
      </c>
      <c r="AK8" t="s">
        <v>219</v>
      </c>
      <c r="AL8">
        <v>3.48E-3</v>
      </c>
      <c r="AM8">
        <v>9.5999999999999992E-3</v>
      </c>
      <c r="AN8">
        <v>1.6799999999999999E-2</v>
      </c>
      <c r="AO8">
        <v>0.1</v>
      </c>
      <c r="AP8" t="s">
        <v>53</v>
      </c>
      <c r="AQ8" t="s">
        <v>54</v>
      </c>
    </row>
    <row r="9" spans="1:43" x14ac:dyDescent="0.25">
      <c r="A9" s="4" t="s">
        <v>297</v>
      </c>
      <c r="B9" t="s">
        <v>298</v>
      </c>
      <c r="C9">
        <v>375</v>
      </c>
      <c r="D9">
        <v>506</v>
      </c>
      <c r="E9" s="1">
        <v>2.8899999999999998E-13</v>
      </c>
      <c r="F9" s="1">
        <v>1.77E-5</v>
      </c>
      <c r="G9" s="1">
        <v>7.3100000000000003E-6</v>
      </c>
      <c r="H9">
        <v>2.12E-2</v>
      </c>
      <c r="I9" s="1">
        <v>7.9999999999999996E-6</v>
      </c>
      <c r="J9">
        <v>10000000</v>
      </c>
      <c r="K9">
        <v>6170000</v>
      </c>
      <c r="L9">
        <v>61700</v>
      </c>
      <c r="M9">
        <v>462000</v>
      </c>
      <c r="N9">
        <v>247000</v>
      </c>
      <c r="O9">
        <v>0.03</v>
      </c>
      <c r="P9">
        <v>5.1999999999999998E-2</v>
      </c>
      <c r="Q9">
        <v>57000</v>
      </c>
      <c r="R9">
        <v>0.92500000000000004</v>
      </c>
      <c r="S9">
        <v>3.48E-3</v>
      </c>
      <c r="T9">
        <v>3.48E-3</v>
      </c>
      <c r="U9">
        <v>162000</v>
      </c>
      <c r="V9">
        <v>162000</v>
      </c>
      <c r="W9">
        <v>4.7999999999999996E-3</v>
      </c>
      <c r="X9">
        <v>2.2800000000000001E-2</v>
      </c>
      <c r="Y9">
        <v>2.76E-2</v>
      </c>
      <c r="Z9">
        <v>4.53E-2</v>
      </c>
      <c r="AA9">
        <v>1.62</v>
      </c>
      <c r="AB9">
        <v>49000</v>
      </c>
      <c r="AC9" t="s">
        <v>45</v>
      </c>
      <c r="AD9">
        <v>0.04</v>
      </c>
      <c r="AE9" s="1">
        <v>6.9999999999999998E-9</v>
      </c>
      <c r="AF9">
        <v>140000</v>
      </c>
      <c r="AG9" s="1">
        <v>3.9999999999999998E-7</v>
      </c>
      <c r="AH9">
        <v>40</v>
      </c>
      <c r="AI9" t="s">
        <v>49</v>
      </c>
      <c r="AJ9" t="s">
        <v>50</v>
      </c>
      <c r="AK9" t="s">
        <v>219</v>
      </c>
      <c r="AL9">
        <v>3.48E-3</v>
      </c>
      <c r="AM9">
        <v>9.5999999999999992E-3</v>
      </c>
      <c r="AN9">
        <v>1.6799999999999999E-2</v>
      </c>
      <c r="AO9">
        <v>0.1</v>
      </c>
      <c r="AP9" t="s">
        <v>53</v>
      </c>
      <c r="AQ9" t="s">
        <v>54</v>
      </c>
    </row>
    <row r="10" spans="1:43" x14ac:dyDescent="0.25">
      <c r="A10" s="4" t="s">
        <v>299</v>
      </c>
      <c r="B10" t="s">
        <v>300</v>
      </c>
      <c r="C10">
        <v>375</v>
      </c>
      <c r="D10">
        <v>521</v>
      </c>
      <c r="E10" s="1">
        <v>3.68E-13</v>
      </c>
      <c r="F10" s="1">
        <v>1.2999999999999999E-5</v>
      </c>
      <c r="G10" s="1">
        <v>1.1E-5</v>
      </c>
      <c r="H10">
        <v>2.12E-2</v>
      </c>
      <c r="I10" s="1">
        <v>7.9999999999999996E-6</v>
      </c>
      <c r="J10">
        <v>10000000</v>
      </c>
      <c r="K10">
        <v>6170000</v>
      </c>
      <c r="L10">
        <v>61700</v>
      </c>
      <c r="M10">
        <v>462000</v>
      </c>
      <c r="N10">
        <v>247000</v>
      </c>
      <c r="O10">
        <v>0.03</v>
      </c>
      <c r="P10">
        <v>0.09</v>
      </c>
      <c r="Q10">
        <v>57000</v>
      </c>
      <c r="R10">
        <v>0.92500000000000004</v>
      </c>
      <c r="S10">
        <v>3.48E-3</v>
      </c>
      <c r="T10">
        <v>3.48E-3</v>
      </c>
      <c r="U10">
        <v>162000</v>
      </c>
      <c r="V10">
        <v>162000</v>
      </c>
      <c r="W10">
        <v>4.7999999999999996E-3</v>
      </c>
      <c r="X10">
        <v>2.2800000000000001E-2</v>
      </c>
      <c r="Y10">
        <v>2.76E-2</v>
      </c>
      <c r="Z10" t="s">
        <v>44</v>
      </c>
      <c r="AA10" t="s">
        <v>44</v>
      </c>
      <c r="AB10">
        <v>49000</v>
      </c>
      <c r="AC10" t="s">
        <v>45</v>
      </c>
      <c r="AD10">
        <v>0.04</v>
      </c>
      <c r="AE10" s="1">
        <v>6.9999999999999998E-9</v>
      </c>
      <c r="AF10">
        <v>140000</v>
      </c>
      <c r="AG10" s="1">
        <v>3.9999999999999998E-7</v>
      </c>
      <c r="AH10">
        <v>40</v>
      </c>
      <c r="AI10" t="s">
        <v>49</v>
      </c>
      <c r="AJ10" t="s">
        <v>50</v>
      </c>
      <c r="AK10" t="s">
        <v>219</v>
      </c>
      <c r="AL10">
        <v>3.48E-3</v>
      </c>
      <c r="AM10">
        <v>9.5999999999999992E-3</v>
      </c>
      <c r="AN10">
        <v>1.6799999999999999E-2</v>
      </c>
      <c r="AO10">
        <v>0.1</v>
      </c>
      <c r="AP10" t="s">
        <v>53</v>
      </c>
      <c r="AQ10" t="s">
        <v>54</v>
      </c>
    </row>
    <row r="11" spans="1:43" x14ac:dyDescent="0.25">
      <c r="A11" s="4" t="s">
        <v>301</v>
      </c>
      <c r="B11" t="s">
        <v>302</v>
      </c>
      <c r="C11">
        <v>375</v>
      </c>
      <c r="D11">
        <v>513</v>
      </c>
      <c r="E11" s="1">
        <v>2.6299999999999999E-13</v>
      </c>
      <c r="F11" s="1">
        <v>1.2999999999999999E-5</v>
      </c>
      <c r="G11" s="1">
        <v>1.1E-5</v>
      </c>
      <c r="H11">
        <v>2.12E-2</v>
      </c>
      <c r="I11" s="1">
        <v>7.9999999999999996E-6</v>
      </c>
      <c r="J11">
        <v>10000000</v>
      </c>
      <c r="K11">
        <v>6170000</v>
      </c>
      <c r="L11">
        <v>61700</v>
      </c>
      <c r="M11">
        <v>462000</v>
      </c>
      <c r="N11">
        <v>247000</v>
      </c>
      <c r="O11">
        <v>0.03</v>
      </c>
      <c r="P11">
        <v>5.5E-2</v>
      </c>
      <c r="Q11">
        <v>57000</v>
      </c>
      <c r="R11">
        <v>0.92500000000000004</v>
      </c>
      <c r="S11">
        <v>3.48E-3</v>
      </c>
      <c r="T11">
        <v>3.48E-3</v>
      </c>
      <c r="U11">
        <v>162000</v>
      </c>
      <c r="V11">
        <v>162000</v>
      </c>
      <c r="W11">
        <v>4.7999999999999996E-3</v>
      </c>
      <c r="X11">
        <v>2.2800000000000001E-2</v>
      </c>
      <c r="Y11">
        <v>2.76E-2</v>
      </c>
      <c r="Z11">
        <v>2.7099999999999999E-2</v>
      </c>
      <c r="AA11">
        <v>0.79</v>
      </c>
      <c r="AB11">
        <v>49000</v>
      </c>
      <c r="AC11" t="s">
        <v>45</v>
      </c>
      <c r="AD11">
        <v>0.04</v>
      </c>
      <c r="AE11" s="1">
        <v>6.9999999999999998E-9</v>
      </c>
      <c r="AF11">
        <v>140000</v>
      </c>
      <c r="AG11" s="1">
        <v>3.9999999999999998E-7</v>
      </c>
      <c r="AH11">
        <v>40</v>
      </c>
      <c r="AI11" t="s">
        <v>49</v>
      </c>
      <c r="AJ11" t="s">
        <v>50</v>
      </c>
      <c r="AK11" t="s">
        <v>219</v>
      </c>
      <c r="AL11">
        <v>3.48E-3</v>
      </c>
      <c r="AM11">
        <v>9.5999999999999992E-3</v>
      </c>
      <c r="AN11">
        <v>1.6799999999999999E-2</v>
      </c>
      <c r="AO11">
        <v>0.1</v>
      </c>
      <c r="AP11" t="s">
        <v>53</v>
      </c>
      <c r="AQ11" t="s">
        <v>54</v>
      </c>
    </row>
    <row r="12" spans="1:43" x14ac:dyDescent="0.25">
      <c r="A12" s="4" t="s">
        <v>419</v>
      </c>
      <c r="B12" t="s">
        <v>420</v>
      </c>
      <c r="C12">
        <v>322</v>
      </c>
      <c r="D12">
        <v>579</v>
      </c>
      <c r="E12" s="1">
        <v>1.9699999999999999E-12</v>
      </c>
      <c r="F12" s="1">
        <v>1.9300000000000002E-5</v>
      </c>
      <c r="G12" s="1">
        <v>3.29E-5</v>
      </c>
      <c r="H12">
        <v>0.104</v>
      </c>
      <c r="I12" s="1">
        <v>5.5999999999999997E-6</v>
      </c>
      <c r="J12">
        <v>6310000</v>
      </c>
      <c r="K12">
        <v>3890000</v>
      </c>
      <c r="L12">
        <v>38900</v>
      </c>
      <c r="M12">
        <v>292000</v>
      </c>
      <c r="N12">
        <v>156000</v>
      </c>
      <c r="O12">
        <v>0.03</v>
      </c>
      <c r="P12">
        <v>0.66400000000000003</v>
      </c>
      <c r="Q12">
        <v>40000</v>
      </c>
      <c r="R12">
        <v>1.03</v>
      </c>
      <c r="S12">
        <v>4.5500000000000002E-3</v>
      </c>
      <c r="T12">
        <v>4.5500000000000002E-3</v>
      </c>
      <c r="U12">
        <v>65500</v>
      </c>
      <c r="V12">
        <v>65500</v>
      </c>
      <c r="W12">
        <v>5.4999999999999997E-3</v>
      </c>
      <c r="X12">
        <v>2.6100000000000002E-2</v>
      </c>
      <c r="Y12">
        <v>3.1600000000000003E-2</v>
      </c>
      <c r="Z12">
        <v>5.96E-2</v>
      </c>
      <c r="AA12">
        <v>3.32</v>
      </c>
      <c r="AB12">
        <v>34400</v>
      </c>
      <c r="AC12" t="s">
        <v>45</v>
      </c>
      <c r="AD12">
        <v>0.09</v>
      </c>
      <c r="AE12" s="1">
        <v>6.9999999999999996E-10</v>
      </c>
      <c r="AF12">
        <v>1400000</v>
      </c>
      <c r="AG12" s="1">
        <v>4.0000000000000001E-8</v>
      </c>
      <c r="AH12">
        <v>400</v>
      </c>
      <c r="AI12" t="s">
        <v>49</v>
      </c>
      <c r="AJ12" t="s">
        <v>50</v>
      </c>
      <c r="AK12" t="s">
        <v>262</v>
      </c>
      <c r="AL12">
        <v>4.5500000000000002E-3</v>
      </c>
      <c r="AM12">
        <v>1.0999999999999999E-2</v>
      </c>
      <c r="AN12">
        <v>1.9300000000000001E-2</v>
      </c>
      <c r="AO12">
        <v>1</v>
      </c>
      <c r="AP12" t="s">
        <v>53</v>
      </c>
      <c r="AQ12" t="s">
        <v>54</v>
      </c>
    </row>
    <row r="13" spans="1:43" x14ac:dyDescent="0.25">
      <c r="A13" s="5" t="s">
        <v>260</v>
      </c>
      <c r="B13" t="s">
        <v>261</v>
      </c>
      <c r="C13">
        <v>356</v>
      </c>
      <c r="D13">
        <v>514</v>
      </c>
      <c r="E13" s="1">
        <v>5.7899999999999996E-13</v>
      </c>
      <c r="F13">
        <v>1.18E-4</v>
      </c>
      <c r="G13" s="1">
        <v>2.6000000000000001E-6</v>
      </c>
      <c r="H13">
        <v>9.8900000000000002E-2</v>
      </c>
      <c r="I13" s="1">
        <v>7.9999999999999996E-6</v>
      </c>
      <c r="J13">
        <v>4370000</v>
      </c>
      <c r="K13">
        <v>2690000</v>
      </c>
      <c r="L13">
        <v>26900</v>
      </c>
      <c r="M13">
        <v>202000</v>
      </c>
      <c r="N13">
        <v>108000</v>
      </c>
      <c r="O13">
        <v>0.03</v>
      </c>
      <c r="P13">
        <v>0.11700000000000001</v>
      </c>
      <c r="Q13">
        <v>30100</v>
      </c>
      <c r="R13">
        <v>1.1200000000000001</v>
      </c>
      <c r="S13">
        <v>5.62E-3</v>
      </c>
      <c r="T13">
        <v>5.62E-3</v>
      </c>
      <c r="U13">
        <v>239000</v>
      </c>
      <c r="V13">
        <v>239000</v>
      </c>
      <c r="W13">
        <v>6.0499999999999998E-3</v>
      </c>
      <c r="X13">
        <v>2.8799999999999999E-2</v>
      </c>
      <c r="Y13">
        <v>3.4799999999999998E-2</v>
      </c>
      <c r="Z13">
        <v>4.7100000000000003E-2</v>
      </c>
      <c r="AA13">
        <v>2.5</v>
      </c>
      <c r="AB13">
        <v>25900</v>
      </c>
      <c r="AC13" t="s">
        <v>45</v>
      </c>
      <c r="AD13">
        <v>0.09</v>
      </c>
      <c r="AE13" s="1">
        <v>1E-8</v>
      </c>
      <c r="AF13">
        <v>1400000</v>
      </c>
      <c r="AG13" s="1">
        <v>4.0000000000000001E-8</v>
      </c>
      <c r="AH13">
        <v>400</v>
      </c>
      <c r="AI13" t="s">
        <v>49</v>
      </c>
      <c r="AJ13" t="s">
        <v>50</v>
      </c>
      <c r="AK13" t="s">
        <v>262</v>
      </c>
      <c r="AL13">
        <v>4.5500000000000002E-3</v>
      </c>
      <c r="AM13">
        <v>1.0999999999999999E-2</v>
      </c>
      <c r="AN13">
        <v>1.9199999999999998E-2</v>
      </c>
      <c r="AO13">
        <v>1</v>
      </c>
      <c r="AP13" t="s">
        <v>53</v>
      </c>
      <c r="AQ13" t="s">
        <v>54</v>
      </c>
    </row>
    <row r="14" spans="1:43" x14ac:dyDescent="0.25">
      <c r="A14" s="4" t="s">
        <v>368</v>
      </c>
      <c r="B14" t="s">
        <v>369</v>
      </c>
      <c r="C14">
        <v>461</v>
      </c>
      <c r="D14">
        <v>599</v>
      </c>
      <c r="E14" s="1">
        <v>1.09E-15</v>
      </c>
      <c r="F14" s="1">
        <v>7.4000000000000001E-8</v>
      </c>
      <c r="G14" s="1">
        <v>6.7499999999999997E-6</v>
      </c>
      <c r="H14">
        <v>8.6900000000000005E-2</v>
      </c>
      <c r="I14" s="1">
        <v>7.9999999999999996E-6</v>
      </c>
      <c r="J14">
        <v>158000000</v>
      </c>
      <c r="K14">
        <v>97700000</v>
      </c>
      <c r="L14">
        <v>977000</v>
      </c>
      <c r="M14">
        <v>7330000</v>
      </c>
      <c r="N14">
        <v>3910000</v>
      </c>
      <c r="O14">
        <v>0.03</v>
      </c>
      <c r="P14">
        <v>2E-3</v>
      </c>
      <c r="Q14">
        <v>479000</v>
      </c>
      <c r="R14">
        <v>0.49</v>
      </c>
      <c r="S14">
        <v>7.0500000000000001E-4</v>
      </c>
      <c r="T14">
        <v>7.0500000000000001E-4</v>
      </c>
      <c r="U14">
        <v>2360000</v>
      </c>
      <c r="V14">
        <v>2360000</v>
      </c>
      <c r="W14">
        <v>1.4400000000000001E-3</v>
      </c>
      <c r="X14">
        <v>6.8599999999999998E-3</v>
      </c>
      <c r="Y14">
        <v>8.3000000000000001E-3</v>
      </c>
      <c r="Z14">
        <v>9.9000000000000008E-3</v>
      </c>
      <c r="AA14">
        <v>0.05</v>
      </c>
      <c r="AB14">
        <v>1470</v>
      </c>
      <c r="AC14" t="s">
        <v>45</v>
      </c>
      <c r="AD14">
        <v>1E-4</v>
      </c>
      <c r="AE14" s="1">
        <v>2.3300000000000001E-6</v>
      </c>
      <c r="AF14">
        <v>420</v>
      </c>
      <c r="AG14">
        <v>1.3333299999999999E-4</v>
      </c>
      <c r="AH14">
        <v>0.12</v>
      </c>
      <c r="AI14" t="s">
        <v>49</v>
      </c>
      <c r="AJ14" t="s">
        <v>50</v>
      </c>
      <c r="AK14" t="s">
        <v>262</v>
      </c>
      <c r="AL14">
        <v>7.0500000000000001E-4</v>
      </c>
      <c r="AM14">
        <v>2.8900000000000002E-3</v>
      </c>
      <c r="AN14">
        <v>5.0499999999999998E-3</v>
      </c>
      <c r="AO14">
        <v>2.9999999999999997E-4</v>
      </c>
      <c r="AP14" t="s">
        <v>53</v>
      </c>
      <c r="AQ14" t="s">
        <v>54</v>
      </c>
    </row>
    <row r="15" spans="1:43" x14ac:dyDescent="0.25">
      <c r="A15" s="4" t="s">
        <v>370</v>
      </c>
      <c r="B15" t="s">
        <v>371</v>
      </c>
      <c r="C15">
        <v>445</v>
      </c>
      <c r="D15">
        <v>532</v>
      </c>
      <c r="E15" s="1">
        <v>4.93E-15</v>
      </c>
      <c r="F15" s="1">
        <v>1.1599999999999999E-6</v>
      </c>
      <c r="G15" s="1">
        <v>1.88E-6</v>
      </c>
      <c r="H15">
        <v>1.95E-2</v>
      </c>
      <c r="I15" s="1">
        <v>7.9999999999999996E-6</v>
      </c>
      <c r="J15">
        <v>100000000</v>
      </c>
      <c r="K15">
        <v>61700000</v>
      </c>
      <c r="L15">
        <v>617000</v>
      </c>
      <c r="M15">
        <v>4620000</v>
      </c>
      <c r="N15">
        <v>2470000</v>
      </c>
      <c r="O15">
        <v>0.03</v>
      </c>
      <c r="P15">
        <v>2E-3</v>
      </c>
      <c r="Q15">
        <v>479000</v>
      </c>
      <c r="R15">
        <v>0.77600000000000002</v>
      </c>
      <c r="S15">
        <v>9.2000000000000003E-4</v>
      </c>
      <c r="T15">
        <v>9.2000000000000003E-4</v>
      </c>
      <c r="U15">
        <v>2280000</v>
      </c>
      <c r="V15">
        <v>2280000</v>
      </c>
      <c r="W15">
        <v>1.8500000000000001E-3</v>
      </c>
      <c r="X15">
        <v>8.77E-3</v>
      </c>
      <c r="Y15">
        <v>1.06E-2</v>
      </c>
      <c r="Z15">
        <v>7.92E-3</v>
      </c>
      <c r="AA15">
        <v>0.02</v>
      </c>
      <c r="AB15">
        <v>2750</v>
      </c>
      <c r="AC15" t="s">
        <v>45</v>
      </c>
      <c r="AD15">
        <v>1E-4</v>
      </c>
      <c r="AE15" s="1">
        <v>2.3300000000000001E-6</v>
      </c>
      <c r="AF15">
        <v>420</v>
      </c>
      <c r="AG15">
        <v>1.3333299999999999E-4</v>
      </c>
      <c r="AH15">
        <v>0.12</v>
      </c>
      <c r="AI15" t="s">
        <v>49</v>
      </c>
      <c r="AJ15" t="s">
        <v>50</v>
      </c>
      <c r="AK15" t="s">
        <v>219</v>
      </c>
      <c r="AL15">
        <v>9.2000000000000003E-4</v>
      </c>
      <c r="AM15">
        <v>3.6900000000000001E-3</v>
      </c>
      <c r="AN15">
        <v>6.4599999999999996E-3</v>
      </c>
      <c r="AO15">
        <v>2.9999999999999997E-4</v>
      </c>
      <c r="AP15" t="s">
        <v>53</v>
      </c>
      <c r="AQ15" t="s">
        <v>54</v>
      </c>
    </row>
    <row r="16" spans="1:43" x14ac:dyDescent="0.25">
      <c r="A16" s="4" t="s">
        <v>372</v>
      </c>
      <c r="B16" t="s">
        <v>373</v>
      </c>
      <c r="C16">
        <v>356</v>
      </c>
      <c r="D16">
        <v>514</v>
      </c>
      <c r="E16" s="1">
        <v>5.7899999999999996E-13</v>
      </c>
      <c r="F16">
        <v>1.18E-4</v>
      </c>
      <c r="G16" s="1">
        <v>2.6000000000000001E-6</v>
      </c>
      <c r="H16">
        <v>9.8900000000000002E-2</v>
      </c>
      <c r="I16" s="1">
        <v>7.9999999999999996E-6</v>
      </c>
      <c r="J16">
        <v>4370000</v>
      </c>
      <c r="K16">
        <v>2690000</v>
      </c>
      <c r="L16">
        <v>26900</v>
      </c>
      <c r="M16">
        <v>202000</v>
      </c>
      <c r="N16">
        <v>108000</v>
      </c>
      <c r="O16">
        <v>0.03</v>
      </c>
      <c r="P16">
        <v>0.11700000000000001</v>
      </c>
      <c r="Q16">
        <v>30100</v>
      </c>
      <c r="R16">
        <v>1.1200000000000001</v>
      </c>
      <c r="S16">
        <v>5.62E-3</v>
      </c>
      <c r="T16">
        <v>5.62E-3</v>
      </c>
      <c r="U16">
        <v>239000</v>
      </c>
      <c r="V16">
        <v>239000</v>
      </c>
      <c r="W16">
        <v>6.0499999999999998E-3</v>
      </c>
      <c r="X16">
        <v>2.8799999999999999E-2</v>
      </c>
      <c r="Y16">
        <v>3.4799999999999998E-2</v>
      </c>
      <c r="Z16">
        <v>4.7100000000000003E-2</v>
      </c>
      <c r="AA16">
        <v>2.5</v>
      </c>
      <c r="AB16">
        <v>25900</v>
      </c>
      <c r="AC16" t="s">
        <v>45</v>
      </c>
      <c r="AD16">
        <v>0.09</v>
      </c>
      <c r="AE16" s="1">
        <v>6.9999999999999996E-10</v>
      </c>
      <c r="AF16">
        <v>1400000</v>
      </c>
      <c r="AG16" s="1">
        <v>4.0000000000000001E-8</v>
      </c>
      <c r="AH16">
        <v>400</v>
      </c>
      <c r="AI16" t="s">
        <v>49</v>
      </c>
      <c r="AJ16" t="s">
        <v>50</v>
      </c>
      <c r="AK16" t="s">
        <v>262</v>
      </c>
      <c r="AL16">
        <v>5.62E-3</v>
      </c>
      <c r="AM16">
        <v>1.21E-2</v>
      </c>
      <c r="AN16">
        <v>2.12E-2</v>
      </c>
      <c r="AO16">
        <v>1</v>
      </c>
      <c r="AP16" t="s">
        <v>53</v>
      </c>
      <c r="AQ16" t="s">
        <v>54</v>
      </c>
    </row>
    <row r="17" spans="1:43" x14ac:dyDescent="0.25">
      <c r="A17" s="4" t="s">
        <v>374</v>
      </c>
      <c r="B17" t="s">
        <v>375</v>
      </c>
      <c r="C17">
        <v>340</v>
      </c>
      <c r="D17">
        <v>499</v>
      </c>
      <c r="E17" s="1">
        <v>2.23E-12</v>
      </c>
      <c r="F17">
        <v>2.4000000000000001E-4</v>
      </c>
      <c r="G17" s="1">
        <v>5.0000000000000004E-6</v>
      </c>
      <c r="H17">
        <v>2.23E-2</v>
      </c>
      <c r="I17" s="1">
        <v>7.9999999999999996E-6</v>
      </c>
      <c r="J17">
        <v>6170000</v>
      </c>
      <c r="K17">
        <v>3800000</v>
      </c>
      <c r="L17">
        <v>38000</v>
      </c>
      <c r="M17">
        <v>285000</v>
      </c>
      <c r="N17">
        <v>152000</v>
      </c>
      <c r="O17">
        <v>0.03</v>
      </c>
      <c r="P17">
        <v>0.26800000000000002</v>
      </c>
      <c r="Q17">
        <v>39300</v>
      </c>
      <c r="R17">
        <v>1.03</v>
      </c>
      <c r="S17">
        <v>4.6100000000000004E-3</v>
      </c>
      <c r="T17">
        <v>4.6100000000000004E-3</v>
      </c>
      <c r="U17">
        <v>97500</v>
      </c>
      <c r="V17">
        <v>97500</v>
      </c>
      <c r="W17">
        <v>5.5300000000000002E-3</v>
      </c>
      <c r="X17">
        <v>2.63E-2</v>
      </c>
      <c r="Y17">
        <v>3.1800000000000002E-2</v>
      </c>
      <c r="Z17" t="s">
        <v>44</v>
      </c>
      <c r="AA17" t="s">
        <v>44</v>
      </c>
      <c r="AB17">
        <v>33800</v>
      </c>
      <c r="AC17" t="s">
        <v>45</v>
      </c>
      <c r="AD17">
        <v>0.09</v>
      </c>
      <c r="AE17" s="1">
        <v>2.33E-9</v>
      </c>
      <c r="AF17">
        <v>42000</v>
      </c>
      <c r="AG17" s="1">
        <v>1.33E-6</v>
      </c>
      <c r="AH17">
        <v>12</v>
      </c>
      <c r="AI17" t="s">
        <v>49</v>
      </c>
      <c r="AJ17" t="s">
        <v>50</v>
      </c>
      <c r="AK17" t="s">
        <v>219</v>
      </c>
      <c r="AL17">
        <v>4.6100000000000004E-3</v>
      </c>
      <c r="AM17">
        <v>1.11E-2</v>
      </c>
      <c r="AN17">
        <v>1.9400000000000001E-2</v>
      </c>
      <c r="AO17">
        <v>0.03</v>
      </c>
      <c r="AP17" t="s">
        <v>53</v>
      </c>
      <c r="AQ17" t="s">
        <v>54</v>
      </c>
    </row>
    <row r="18" spans="1:43" x14ac:dyDescent="0.25">
      <c r="A18" s="4" t="s">
        <v>376</v>
      </c>
      <c r="B18" t="s">
        <v>377</v>
      </c>
      <c r="C18">
        <v>340</v>
      </c>
      <c r="D18">
        <v>469</v>
      </c>
      <c r="E18" s="1">
        <v>3.42E-12</v>
      </c>
      <c r="F18">
        <v>2.3599999999999999E-4</v>
      </c>
      <c r="G18" s="1">
        <v>4.9799999999999998E-6</v>
      </c>
      <c r="H18">
        <v>2.23E-2</v>
      </c>
      <c r="I18" s="1">
        <v>7.9999999999999996E-6</v>
      </c>
      <c r="J18">
        <v>3160000</v>
      </c>
      <c r="K18">
        <v>1950000</v>
      </c>
      <c r="L18">
        <v>19500</v>
      </c>
      <c r="M18">
        <v>146000</v>
      </c>
      <c r="N18">
        <v>78000</v>
      </c>
      <c r="O18">
        <v>0.03</v>
      </c>
      <c r="P18">
        <v>0.221</v>
      </c>
      <c r="Q18">
        <v>23500</v>
      </c>
      <c r="R18">
        <v>1.21</v>
      </c>
      <c r="S18">
        <v>6.7799999999999996E-3</v>
      </c>
      <c r="T18">
        <v>6.7799999999999996E-3</v>
      </c>
      <c r="U18">
        <v>97500</v>
      </c>
      <c r="V18">
        <v>97500</v>
      </c>
      <c r="W18">
        <v>6.5199999999999998E-3</v>
      </c>
      <c r="X18">
        <v>3.1E-2</v>
      </c>
      <c r="Y18">
        <v>3.7499999999999999E-2</v>
      </c>
      <c r="Z18">
        <v>5.6099999999999997E-2</v>
      </c>
      <c r="AA18">
        <v>3.28</v>
      </c>
      <c r="AB18">
        <v>20200</v>
      </c>
      <c r="AC18" t="s">
        <v>45</v>
      </c>
      <c r="AD18">
        <v>0.09</v>
      </c>
      <c r="AE18" s="1">
        <v>2.3300000000000002E-10</v>
      </c>
      <c r="AF18">
        <v>420000</v>
      </c>
      <c r="AG18" s="1">
        <v>1.3300000000000001E-7</v>
      </c>
      <c r="AH18">
        <v>120</v>
      </c>
      <c r="AI18" t="s">
        <v>49</v>
      </c>
      <c r="AJ18" t="s">
        <v>50</v>
      </c>
      <c r="AK18" t="s">
        <v>219</v>
      </c>
      <c r="AL18">
        <v>6.7799999999999996E-3</v>
      </c>
      <c r="AM18">
        <v>1.2999999999999999E-2</v>
      </c>
      <c r="AN18">
        <v>2.2800000000000001E-2</v>
      </c>
      <c r="AO18">
        <v>0.3</v>
      </c>
      <c r="AP18" t="s">
        <v>53</v>
      </c>
      <c r="AQ18" t="s">
        <v>54</v>
      </c>
    </row>
    <row r="19" spans="1:43" x14ac:dyDescent="0.25">
      <c r="A19" s="4" t="s">
        <v>421</v>
      </c>
      <c r="B19" t="s">
        <v>422</v>
      </c>
      <c r="C19">
        <v>306</v>
      </c>
      <c r="D19">
        <v>501</v>
      </c>
      <c r="E19" s="1">
        <v>1.97E-11</v>
      </c>
      <c r="F19">
        <v>4.1899999999999999E-4</v>
      </c>
      <c r="G19" s="1">
        <v>1.4399999999999999E-5</v>
      </c>
      <c r="H19">
        <v>2.35E-2</v>
      </c>
      <c r="I19" s="1">
        <v>6.0100000000000001E-6</v>
      </c>
      <c r="J19">
        <v>1260000</v>
      </c>
      <c r="K19">
        <v>776000</v>
      </c>
      <c r="L19">
        <v>7760</v>
      </c>
      <c r="M19">
        <v>58200</v>
      </c>
      <c r="N19">
        <v>31000</v>
      </c>
      <c r="O19">
        <v>0.03</v>
      </c>
      <c r="P19">
        <v>0.77</v>
      </c>
      <c r="Q19">
        <v>11600</v>
      </c>
      <c r="R19">
        <v>1.49</v>
      </c>
      <c r="S19">
        <v>1.15E-2</v>
      </c>
      <c r="T19">
        <v>1.15E-2</v>
      </c>
      <c r="U19">
        <v>45700</v>
      </c>
      <c r="V19">
        <v>45700</v>
      </c>
      <c r="W19">
        <v>7.6800000000000002E-3</v>
      </c>
      <c r="X19">
        <v>3.6499999999999998E-2</v>
      </c>
      <c r="Y19">
        <v>4.4200000000000003E-2</v>
      </c>
      <c r="Z19">
        <v>3.61E-2</v>
      </c>
      <c r="AA19">
        <v>2.56</v>
      </c>
      <c r="AB19">
        <v>9930</v>
      </c>
      <c r="AC19" t="s">
        <v>45</v>
      </c>
      <c r="AD19">
        <v>0.09</v>
      </c>
      <c r="AE19" s="1">
        <v>6.9999999999999998E-9</v>
      </c>
      <c r="AF19">
        <v>140000</v>
      </c>
      <c r="AG19" s="1">
        <v>3.9999999999999998E-7</v>
      </c>
      <c r="AH19">
        <v>40</v>
      </c>
      <c r="AI19" t="s">
        <v>49</v>
      </c>
      <c r="AJ19" t="s">
        <v>50</v>
      </c>
      <c r="AK19" t="s">
        <v>219</v>
      </c>
      <c r="AL19">
        <v>1.15E-2</v>
      </c>
      <c r="AM19">
        <v>1.54E-2</v>
      </c>
      <c r="AN19">
        <v>2.69E-2</v>
      </c>
      <c r="AO19">
        <v>0.1</v>
      </c>
      <c r="AP19" t="s">
        <v>53</v>
      </c>
      <c r="AQ19" t="s">
        <v>54</v>
      </c>
    </row>
    <row r="23" spans="1:43" x14ac:dyDescent="0.25">
      <c r="A23" s="4" t="s">
        <v>467</v>
      </c>
    </row>
    <row r="24" spans="1:43" x14ac:dyDescent="0.25">
      <c r="A24" s="5" t="s">
        <v>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defaultRowHeight="15" x14ac:dyDescent="0.25"/>
  <cols>
    <col min="1" max="1" width="19" customWidth="1"/>
    <col min="2" max="2" width="9.7109375" bestFit="1" customWidth="1"/>
    <col min="3" max="3" width="12.85546875" bestFit="1" customWidth="1"/>
    <col min="4" max="4" width="7.140625" bestFit="1" customWidth="1"/>
    <col min="5" max="5" width="10.42578125" bestFit="1" customWidth="1"/>
    <col min="6" max="6" width="8.7109375" bestFit="1" customWidth="1"/>
    <col min="7" max="7" width="16.7109375" bestFit="1" customWidth="1"/>
    <col min="8" max="8" width="11.42578125" bestFit="1" customWidth="1"/>
    <col min="9" max="9" width="12" bestFit="1" customWidth="1"/>
    <col min="10" max="10" width="8.7109375" bestFit="1" customWidth="1"/>
    <col min="11" max="11" width="10.85546875" bestFit="1" customWidth="1"/>
    <col min="12" max="12" width="12.42578125" bestFit="1" customWidth="1"/>
    <col min="13" max="13" width="11.28515625" bestFit="1" customWidth="1"/>
    <col min="14" max="14" width="13.7109375" bestFit="1" customWidth="1"/>
    <col min="15" max="15" width="11.5703125" bestFit="1" customWidth="1"/>
    <col min="16" max="16" width="6.85546875" bestFit="1" customWidth="1"/>
    <col min="17" max="17" width="8.140625" bestFit="1" customWidth="1"/>
    <col min="18" max="18" width="11" bestFit="1" customWidth="1"/>
    <col min="19" max="19" width="12.5703125" bestFit="1" customWidth="1"/>
    <col min="20" max="21" width="11.5703125" bestFit="1" customWidth="1"/>
    <col min="22" max="22" width="10.5703125" bestFit="1" customWidth="1"/>
    <col min="23" max="23" width="18.85546875" bestFit="1" customWidth="1"/>
    <col min="24" max="24" width="19.140625" bestFit="1" customWidth="1"/>
    <col min="25" max="25" width="19" bestFit="1" customWidth="1"/>
    <col min="26" max="26" width="9.5703125" bestFit="1" customWidth="1"/>
    <col min="27" max="27" width="11.42578125" bestFit="1" customWidth="1"/>
    <col min="28" max="28" width="23.28515625" bestFit="1" customWidth="1"/>
    <col min="29" max="29" width="17.28515625" bestFit="1" customWidth="1"/>
    <col min="31" max="31" width="15.7109375" bestFit="1" customWidth="1"/>
    <col min="32" max="32" width="20" bestFit="1" customWidth="1"/>
    <col min="33" max="33" width="13.5703125" bestFit="1" customWidth="1"/>
    <col min="34" max="34" width="26.28515625" bestFit="1" customWidth="1"/>
    <col min="35" max="35" width="29.85546875" bestFit="1" customWidth="1"/>
    <col min="36" max="36" width="13.7109375" bestFit="1" customWidth="1"/>
    <col min="37" max="37" width="17" bestFit="1" customWidth="1"/>
    <col min="38" max="38" width="9.28515625" bestFit="1" customWidth="1"/>
    <col min="39" max="39" width="9" bestFit="1" customWidth="1"/>
    <col min="40" max="40" width="10.7109375" bestFit="1" customWidth="1"/>
    <col min="41" max="41" width="14" bestFit="1" customWidth="1"/>
    <col min="42" max="42" width="4" bestFit="1" customWidth="1"/>
    <col min="43" max="43" width="8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85</v>
      </c>
      <c r="B2" t="s">
        <v>86</v>
      </c>
      <c r="C2">
        <v>44.1</v>
      </c>
      <c r="D2">
        <v>150</v>
      </c>
      <c r="E2">
        <v>1.19</v>
      </c>
      <c r="F2">
        <v>1000000</v>
      </c>
      <c r="G2" s="1">
        <v>7.8899999999999993E-5</v>
      </c>
      <c r="H2">
        <v>0.124</v>
      </c>
      <c r="I2" s="1">
        <v>1.4100000000000001E-5</v>
      </c>
      <c r="J2">
        <v>0.60299999999999998</v>
      </c>
      <c r="K2">
        <v>0.61</v>
      </c>
      <c r="L2">
        <v>6.0000000000000001E-3</v>
      </c>
      <c r="M2">
        <v>0.05</v>
      </c>
      <c r="N2">
        <v>0.02</v>
      </c>
      <c r="O2" t="s">
        <v>57</v>
      </c>
      <c r="P2">
        <v>1</v>
      </c>
      <c r="Q2">
        <v>6.46</v>
      </c>
      <c r="R2">
        <v>1060</v>
      </c>
      <c r="S2">
        <v>8.3800000000000008</v>
      </c>
      <c r="T2">
        <v>8.3800000000000008</v>
      </c>
      <c r="U2">
        <v>4.1300000000000001E-4</v>
      </c>
      <c r="V2">
        <v>4.1300000000000001E-4</v>
      </c>
      <c r="W2" s="1">
        <v>6.3400000000000003E-6</v>
      </c>
      <c r="X2" s="1">
        <v>3.01E-5</v>
      </c>
      <c r="Y2" s="1">
        <v>3.6399999999999997E-5</v>
      </c>
      <c r="Z2" s="1">
        <v>4.78E-6</v>
      </c>
      <c r="AA2" t="s">
        <v>44</v>
      </c>
      <c r="AB2">
        <v>3.16</v>
      </c>
      <c r="AC2" t="s">
        <v>45</v>
      </c>
      <c r="AD2" t="s">
        <v>46</v>
      </c>
      <c r="AE2" t="s">
        <v>56</v>
      </c>
      <c r="AF2" t="s">
        <v>47</v>
      </c>
      <c r="AG2">
        <v>8.9999999999999993E-3</v>
      </c>
      <c r="AH2" s="1">
        <v>2.2000000000000001E-6</v>
      </c>
      <c r="AI2" t="s">
        <v>49</v>
      </c>
      <c r="AJ2" t="s">
        <v>50</v>
      </c>
      <c r="AK2" t="s">
        <v>51</v>
      </c>
      <c r="AL2">
        <v>8.3800000000000008</v>
      </c>
      <c r="AM2" s="1">
        <v>1.27E-5</v>
      </c>
      <c r="AN2" s="1">
        <v>2.2200000000000001E-5</v>
      </c>
      <c r="AO2" t="s">
        <v>52</v>
      </c>
      <c r="AP2" t="s">
        <v>53</v>
      </c>
      <c r="AQ2" t="s">
        <v>54</v>
      </c>
    </row>
    <row r="3" spans="1:43" x14ac:dyDescent="0.25">
      <c r="A3" t="s">
        <v>100</v>
      </c>
      <c r="B3" t="s">
        <v>101</v>
      </c>
      <c r="C3">
        <v>30</v>
      </c>
      <c r="D3">
        <v>181</v>
      </c>
      <c r="E3">
        <v>6.89</v>
      </c>
      <c r="F3">
        <v>550000</v>
      </c>
      <c r="G3" s="1">
        <v>3.3599999999999999E-7</v>
      </c>
      <c r="H3">
        <v>0.17799999999999999</v>
      </c>
      <c r="I3" s="1">
        <v>1.98E-5</v>
      </c>
      <c r="J3">
        <v>2.2400000000000002</v>
      </c>
      <c r="K3">
        <v>2.21</v>
      </c>
      <c r="L3">
        <v>0.02</v>
      </c>
      <c r="M3">
        <v>0.17</v>
      </c>
      <c r="N3">
        <v>0.09</v>
      </c>
      <c r="O3">
        <v>36.1</v>
      </c>
      <c r="P3">
        <v>1</v>
      </c>
      <c r="Q3">
        <v>6.74</v>
      </c>
      <c r="R3">
        <v>305</v>
      </c>
      <c r="S3">
        <v>8.3800000000000008</v>
      </c>
      <c r="T3">
        <v>8.3800000000000008</v>
      </c>
      <c r="U3">
        <v>0.39200000000000002</v>
      </c>
      <c r="V3">
        <v>0.39200000000000002</v>
      </c>
      <c r="W3" s="1">
        <v>2.5400000000000001E-5</v>
      </c>
      <c r="X3">
        <v>1.21E-4</v>
      </c>
      <c r="Y3">
        <v>1.46E-4</v>
      </c>
      <c r="Z3" s="1">
        <v>1.7499999999999998E-5</v>
      </c>
      <c r="AA3" t="s">
        <v>44</v>
      </c>
      <c r="AB3">
        <v>3.16</v>
      </c>
      <c r="AC3" t="s">
        <v>45</v>
      </c>
      <c r="AD3" t="s">
        <v>46</v>
      </c>
      <c r="AE3" t="s">
        <v>56</v>
      </c>
      <c r="AF3" t="s">
        <v>47</v>
      </c>
      <c r="AG3">
        <v>8.9999999999999993E-3</v>
      </c>
      <c r="AH3" s="1">
        <v>5.0000000000000004E-6</v>
      </c>
      <c r="AI3" t="s">
        <v>49</v>
      </c>
      <c r="AJ3" t="s">
        <v>50</v>
      </c>
      <c r="AK3" t="s">
        <v>51</v>
      </c>
      <c r="AL3">
        <v>8.3800000000000008</v>
      </c>
      <c r="AM3" s="1">
        <v>5.0800000000000002E-5</v>
      </c>
      <c r="AN3" s="1">
        <v>8.8800000000000004E-5</v>
      </c>
      <c r="AO3" t="s">
        <v>52</v>
      </c>
      <c r="AP3" t="s">
        <v>53</v>
      </c>
      <c r="AQ3" t="s">
        <v>54</v>
      </c>
    </row>
    <row r="4" spans="1:43" x14ac:dyDescent="0.25">
      <c r="A4" t="s">
        <v>118</v>
      </c>
      <c r="B4" t="s">
        <v>119</v>
      </c>
      <c r="C4">
        <v>106</v>
      </c>
      <c r="D4">
        <v>247</v>
      </c>
      <c r="E4">
        <v>1.67E-3</v>
      </c>
      <c r="F4">
        <v>3000</v>
      </c>
      <c r="G4" s="1">
        <v>2.6699999999999998E-5</v>
      </c>
      <c r="H4">
        <v>1E-3</v>
      </c>
      <c r="I4" s="1">
        <v>1.0000000000000001E-5</v>
      </c>
      <c r="J4">
        <v>30.2</v>
      </c>
      <c r="K4">
        <v>28.5</v>
      </c>
      <c r="L4">
        <v>0.28999999999999998</v>
      </c>
      <c r="M4">
        <v>2.14</v>
      </c>
      <c r="N4">
        <v>1.1399999999999999</v>
      </c>
      <c r="O4" t="s">
        <v>57</v>
      </c>
      <c r="P4">
        <v>1</v>
      </c>
      <c r="Q4">
        <v>9.51</v>
      </c>
      <c r="R4">
        <v>33.4</v>
      </c>
      <c r="S4">
        <v>5.4</v>
      </c>
      <c r="T4">
        <v>5.4</v>
      </c>
      <c r="U4">
        <v>7.8899999999999998E-2</v>
      </c>
      <c r="V4">
        <v>7.8899999999999998E-2</v>
      </c>
      <c r="W4">
        <v>2.5599999999999999E-4</v>
      </c>
      <c r="X4">
        <v>1.2199999999999999E-3</v>
      </c>
      <c r="Y4">
        <v>1.47E-3</v>
      </c>
      <c r="Z4">
        <v>2.3800000000000001E-4</v>
      </c>
      <c r="AA4" t="s">
        <v>44</v>
      </c>
      <c r="AB4">
        <v>2.75</v>
      </c>
      <c r="AC4" t="s">
        <v>45</v>
      </c>
      <c r="AD4" t="s">
        <v>46</v>
      </c>
      <c r="AE4">
        <v>0.1</v>
      </c>
      <c r="AF4" t="s">
        <v>47</v>
      </c>
      <c r="AG4">
        <v>0.02</v>
      </c>
      <c r="AH4" t="s">
        <v>48</v>
      </c>
      <c r="AI4" t="s">
        <v>49</v>
      </c>
      <c r="AJ4" t="s">
        <v>50</v>
      </c>
      <c r="AK4" t="s">
        <v>51</v>
      </c>
      <c r="AL4">
        <v>5.4</v>
      </c>
      <c r="AM4">
        <v>5.13E-4</v>
      </c>
      <c r="AN4">
        <v>8.9700000000000001E-4</v>
      </c>
      <c r="AO4" t="s">
        <v>52</v>
      </c>
      <c r="AP4" t="s">
        <v>53</v>
      </c>
      <c r="AQ4" t="s">
        <v>54</v>
      </c>
    </row>
    <row r="5" spans="1:43" x14ac:dyDescent="0.25">
      <c r="A5" t="s">
        <v>153</v>
      </c>
      <c r="B5" t="s">
        <v>154</v>
      </c>
      <c r="C5" t="s">
        <v>44</v>
      </c>
      <c r="D5" t="s">
        <v>60</v>
      </c>
      <c r="E5" t="s">
        <v>57</v>
      </c>
      <c r="F5" t="s">
        <v>46</v>
      </c>
      <c r="G5" t="s">
        <v>56</v>
      </c>
      <c r="H5" t="s">
        <v>44</v>
      </c>
      <c r="I5" t="s">
        <v>44</v>
      </c>
      <c r="J5" t="s">
        <v>57</v>
      </c>
      <c r="K5" t="s">
        <v>44</v>
      </c>
      <c r="L5" t="s">
        <v>57</v>
      </c>
      <c r="M5" t="s">
        <v>44</v>
      </c>
      <c r="N5" t="s">
        <v>61</v>
      </c>
      <c r="O5" t="s">
        <v>57</v>
      </c>
      <c r="P5" t="s">
        <v>44</v>
      </c>
      <c r="Q5" t="s">
        <v>57</v>
      </c>
      <c r="R5" t="s">
        <v>57</v>
      </c>
      <c r="S5" t="s">
        <v>56</v>
      </c>
      <c r="T5" t="s">
        <v>56</v>
      </c>
      <c r="U5" t="s">
        <v>57</v>
      </c>
      <c r="V5" t="s">
        <v>57</v>
      </c>
      <c r="W5" t="s">
        <v>62</v>
      </c>
      <c r="X5" t="s">
        <v>62</v>
      </c>
      <c r="Y5" t="s">
        <v>62</v>
      </c>
      <c r="Z5" t="s">
        <v>44</v>
      </c>
      <c r="AA5" t="s">
        <v>44</v>
      </c>
      <c r="AB5" t="s">
        <v>63</v>
      </c>
      <c r="AC5" t="s">
        <v>45</v>
      </c>
      <c r="AD5" t="s">
        <v>46</v>
      </c>
      <c r="AE5" t="s">
        <v>56</v>
      </c>
      <c r="AF5" t="s">
        <v>47</v>
      </c>
      <c r="AG5">
        <v>7.0000000000000007E-2</v>
      </c>
      <c r="AH5" t="s">
        <v>48</v>
      </c>
      <c r="AI5" t="s">
        <v>49</v>
      </c>
      <c r="AJ5" t="s">
        <v>50</v>
      </c>
      <c r="AK5" t="s">
        <v>51</v>
      </c>
      <c r="AL5" t="s">
        <v>44</v>
      </c>
      <c r="AM5" t="s">
        <v>44</v>
      </c>
      <c r="AN5" t="s">
        <v>44</v>
      </c>
      <c r="AO5" t="s">
        <v>52</v>
      </c>
      <c r="AP5" t="s">
        <v>53</v>
      </c>
      <c r="AQ5" t="s">
        <v>54</v>
      </c>
    </row>
    <row r="6" spans="1:43" x14ac:dyDescent="0.25">
      <c r="A6" t="s">
        <v>202</v>
      </c>
      <c r="B6" t="s">
        <v>203</v>
      </c>
      <c r="C6">
        <v>70.099999999999994</v>
      </c>
      <c r="D6">
        <v>197</v>
      </c>
      <c r="E6">
        <v>3.95E-2</v>
      </c>
      <c r="F6">
        <v>150000</v>
      </c>
      <c r="G6" s="1">
        <v>1.84E-5</v>
      </c>
      <c r="H6">
        <v>0.112</v>
      </c>
      <c r="I6" s="1">
        <v>1.29E-5</v>
      </c>
      <c r="J6">
        <v>3.98</v>
      </c>
      <c r="K6">
        <v>3.89</v>
      </c>
      <c r="L6">
        <v>3.8899999999999997E-2</v>
      </c>
      <c r="M6">
        <v>0.29199999999999998</v>
      </c>
      <c r="N6">
        <v>0.156</v>
      </c>
      <c r="O6">
        <v>9.0299999999999994</v>
      </c>
      <c r="P6">
        <v>1</v>
      </c>
      <c r="Q6">
        <v>6.98</v>
      </c>
      <c r="R6">
        <v>179</v>
      </c>
      <c r="S6">
        <v>17.399999999999999</v>
      </c>
      <c r="T6">
        <v>17.399999999999999</v>
      </c>
      <c r="U6">
        <v>1.32E-2</v>
      </c>
      <c r="V6">
        <v>1.32E-2</v>
      </c>
      <c r="W6" s="1">
        <v>4.4499999999999997E-5</v>
      </c>
      <c r="X6">
        <v>2.1100000000000001E-4</v>
      </c>
      <c r="Y6">
        <v>2.5599999999999999E-4</v>
      </c>
      <c r="Z6" t="s">
        <v>44</v>
      </c>
      <c r="AA6" t="s">
        <v>44</v>
      </c>
      <c r="AB6">
        <v>3.16</v>
      </c>
      <c r="AC6" t="s">
        <v>45</v>
      </c>
      <c r="AD6" t="s">
        <v>46</v>
      </c>
      <c r="AE6">
        <v>1E-3</v>
      </c>
      <c r="AF6">
        <v>1.9</v>
      </c>
      <c r="AG6" t="s">
        <v>57</v>
      </c>
      <c r="AH6" t="s">
        <v>48</v>
      </c>
      <c r="AI6" t="s">
        <v>49</v>
      </c>
      <c r="AJ6" t="s">
        <v>50</v>
      </c>
      <c r="AK6" t="s">
        <v>51</v>
      </c>
      <c r="AL6">
        <v>17.399999999999999</v>
      </c>
      <c r="AM6" s="1">
        <v>8.8999999999999995E-5</v>
      </c>
      <c r="AN6">
        <v>1.56E-4</v>
      </c>
      <c r="AO6" t="s">
        <v>52</v>
      </c>
      <c r="AP6" t="s">
        <v>53</v>
      </c>
      <c r="AQ6" t="s">
        <v>54</v>
      </c>
    </row>
    <row r="7" spans="1:43" x14ac:dyDescent="0.25">
      <c r="A7" t="s">
        <v>279</v>
      </c>
      <c r="B7" t="s">
        <v>280</v>
      </c>
      <c r="C7">
        <v>30</v>
      </c>
      <c r="D7">
        <v>181</v>
      </c>
      <c r="E7">
        <v>6.89</v>
      </c>
      <c r="F7">
        <v>550000</v>
      </c>
      <c r="G7" s="1">
        <v>3.3599999999999999E-7</v>
      </c>
      <c r="H7">
        <v>0.17799999999999999</v>
      </c>
      <c r="I7" s="1">
        <v>1.98E-5</v>
      </c>
      <c r="J7">
        <v>2.2400000000000002</v>
      </c>
      <c r="K7">
        <v>2.21</v>
      </c>
      <c r="L7">
        <v>0.02</v>
      </c>
      <c r="M7">
        <v>0.17</v>
      </c>
      <c r="N7">
        <v>0.09</v>
      </c>
      <c r="O7">
        <v>36.1</v>
      </c>
      <c r="P7">
        <v>1</v>
      </c>
      <c r="Q7">
        <v>6.74</v>
      </c>
      <c r="R7">
        <v>305</v>
      </c>
      <c r="S7">
        <v>8.3800000000000008</v>
      </c>
      <c r="T7">
        <v>8.3800000000000008</v>
      </c>
      <c r="U7">
        <v>0.39200000000000002</v>
      </c>
      <c r="V7">
        <v>0.39200000000000002</v>
      </c>
      <c r="W7" s="1">
        <v>2.5400000000000001E-5</v>
      </c>
      <c r="X7">
        <v>1.21E-4</v>
      </c>
      <c r="Y7">
        <v>1.46E-4</v>
      </c>
      <c r="Z7" s="1">
        <v>1.7499999999999998E-5</v>
      </c>
      <c r="AA7" t="s">
        <v>44</v>
      </c>
      <c r="AB7">
        <v>3.16</v>
      </c>
      <c r="AC7" t="s">
        <v>45</v>
      </c>
      <c r="AD7" t="s">
        <v>46</v>
      </c>
      <c r="AE7">
        <v>0.2</v>
      </c>
      <c r="AF7" t="s">
        <v>47</v>
      </c>
      <c r="AG7">
        <v>8.9999999999999993E-3</v>
      </c>
      <c r="AH7" s="1">
        <v>5.0000000000000004E-6</v>
      </c>
      <c r="AI7" t="s">
        <v>49</v>
      </c>
      <c r="AJ7" t="s">
        <v>50</v>
      </c>
      <c r="AK7" t="s">
        <v>51</v>
      </c>
      <c r="AL7">
        <v>8.3800000000000008</v>
      </c>
      <c r="AM7" s="1">
        <v>5.0800000000000002E-5</v>
      </c>
      <c r="AN7" s="1">
        <v>8.8800000000000004E-5</v>
      </c>
      <c r="AO7" t="s">
        <v>52</v>
      </c>
      <c r="AP7" t="s">
        <v>53</v>
      </c>
      <c r="AQ7" t="s">
        <v>54</v>
      </c>
    </row>
    <row r="8" spans="1:43" x14ac:dyDescent="0.25">
      <c r="A8" t="s">
        <v>408</v>
      </c>
      <c r="B8" t="s">
        <v>409</v>
      </c>
      <c r="C8" t="s">
        <v>44</v>
      </c>
      <c r="D8" t="s">
        <v>60</v>
      </c>
      <c r="E8" t="s">
        <v>57</v>
      </c>
      <c r="F8" t="s">
        <v>46</v>
      </c>
      <c r="G8" t="s">
        <v>56</v>
      </c>
      <c r="H8" t="s">
        <v>44</v>
      </c>
      <c r="I8" t="s">
        <v>44</v>
      </c>
      <c r="J8" t="s">
        <v>57</v>
      </c>
      <c r="K8" t="s">
        <v>44</v>
      </c>
      <c r="L8" t="s">
        <v>57</v>
      </c>
      <c r="M8" t="s">
        <v>44</v>
      </c>
      <c r="N8" t="s">
        <v>61</v>
      </c>
      <c r="O8" t="s">
        <v>57</v>
      </c>
      <c r="P8" t="s">
        <v>44</v>
      </c>
      <c r="Q8" t="s">
        <v>57</v>
      </c>
      <c r="R8" t="s">
        <v>57</v>
      </c>
      <c r="S8" t="s">
        <v>56</v>
      </c>
      <c r="T8" t="s">
        <v>56</v>
      </c>
      <c r="U8" t="s">
        <v>57</v>
      </c>
      <c r="V8" t="s">
        <v>57</v>
      </c>
      <c r="W8" t="s">
        <v>62</v>
      </c>
      <c r="X8" t="s">
        <v>62</v>
      </c>
      <c r="Y8" t="s">
        <v>62</v>
      </c>
      <c r="Z8" t="s">
        <v>44</v>
      </c>
      <c r="AA8" t="s">
        <v>44</v>
      </c>
      <c r="AB8" t="s">
        <v>63</v>
      </c>
      <c r="AC8" t="s">
        <v>45</v>
      </c>
      <c r="AD8" t="s">
        <v>46</v>
      </c>
      <c r="AE8">
        <v>8.0000000000000002E-3</v>
      </c>
      <c r="AF8" t="s">
        <v>47</v>
      </c>
      <c r="AG8">
        <v>8.0000000000000002E-3</v>
      </c>
      <c r="AH8" t="s">
        <v>48</v>
      </c>
      <c r="AI8" t="s">
        <v>49</v>
      </c>
      <c r="AJ8" t="s">
        <v>50</v>
      </c>
      <c r="AK8" t="s">
        <v>51</v>
      </c>
      <c r="AL8" t="s">
        <v>44</v>
      </c>
      <c r="AM8" t="s">
        <v>44</v>
      </c>
      <c r="AN8" t="s">
        <v>44</v>
      </c>
      <c r="AO8" t="s">
        <v>52</v>
      </c>
      <c r="AP8" t="s">
        <v>53</v>
      </c>
      <c r="AQ8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5"/>
  <sheetViews>
    <sheetView workbookViewId="0">
      <pane xSplit="2" ySplit="1" topLeftCell="AG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5" x14ac:dyDescent="0.25"/>
  <cols>
    <col min="1" max="1" width="52.28515625" style="8" bestFit="1" customWidth="1"/>
    <col min="2" max="2" width="15.28515625" style="8" bestFit="1" customWidth="1"/>
    <col min="3" max="3" width="15.140625" style="8" bestFit="1" customWidth="1"/>
    <col min="4" max="4" width="9.42578125" style="8" bestFit="1" customWidth="1"/>
    <col min="5" max="5" width="12.7109375" style="8" bestFit="1" customWidth="1"/>
    <col min="6" max="6" width="11" style="8" bestFit="1" customWidth="1"/>
    <col min="7" max="7" width="19" style="8" bestFit="1" customWidth="1"/>
    <col min="8" max="8" width="13.7109375" style="8" bestFit="1" customWidth="1"/>
    <col min="9" max="9" width="14.28515625" style="8" bestFit="1" customWidth="1"/>
    <col min="10" max="10" width="12" style="8" bestFit="1" customWidth="1"/>
    <col min="11" max="11" width="13.140625" style="8" bestFit="1" customWidth="1"/>
    <col min="12" max="12" width="14.7109375" style="8" bestFit="1" customWidth="1"/>
    <col min="13" max="13" width="13.5703125" style="8" bestFit="1" customWidth="1"/>
    <col min="14" max="14" width="16" style="8" bestFit="1" customWidth="1"/>
    <col min="15" max="15" width="13.85546875" style="8" bestFit="1" customWidth="1"/>
    <col min="16" max="16" width="12" style="8" customWidth="1"/>
    <col min="17" max="17" width="12" style="8" bestFit="1" customWidth="1"/>
    <col min="18" max="18" width="13.28515625" style="8" bestFit="1" customWidth="1"/>
    <col min="19" max="19" width="14.85546875" style="8" bestFit="1" customWidth="1"/>
    <col min="20" max="21" width="13.85546875" style="8" bestFit="1" customWidth="1"/>
    <col min="22" max="22" width="12.85546875" style="8" bestFit="1" customWidth="1"/>
    <col min="23" max="23" width="21.140625" style="8" bestFit="1" customWidth="1"/>
    <col min="24" max="24" width="21.42578125" style="8" bestFit="1" customWidth="1"/>
    <col min="25" max="25" width="21.28515625" style="8" bestFit="1" customWidth="1"/>
    <col min="26" max="26" width="12" style="8" bestFit="1" customWidth="1"/>
    <col min="27" max="27" width="13.7109375" style="8" bestFit="1" customWidth="1"/>
    <col min="28" max="28" width="25.5703125" style="8" bestFit="1" customWidth="1"/>
    <col min="29" max="29" width="19.5703125" style="8" bestFit="1" customWidth="1"/>
    <col min="30" max="30" width="11.42578125" style="8" bestFit="1" customWidth="1"/>
    <col min="31" max="31" width="18" style="8" bestFit="1" customWidth="1"/>
    <col min="32" max="32" width="118" style="8" bestFit="1" customWidth="1"/>
    <col min="33" max="33" width="24.140625" style="8" bestFit="1" customWidth="1"/>
    <col min="34" max="34" width="42.28515625" style="8" bestFit="1" customWidth="1"/>
    <col min="35" max="35" width="15.85546875" style="8" bestFit="1" customWidth="1"/>
    <col min="36" max="36" width="28.5703125" style="8" bestFit="1" customWidth="1"/>
    <col min="37" max="37" width="32.140625" style="8" bestFit="1" customWidth="1"/>
    <col min="38" max="38" width="16" style="8" bestFit="1" customWidth="1"/>
    <col min="39" max="39" width="19.28515625" style="8" bestFit="1" customWidth="1"/>
    <col min="40" max="41" width="12" style="8" bestFit="1" customWidth="1"/>
    <col min="42" max="42" width="13" style="8" bestFit="1" customWidth="1"/>
    <col min="43" max="43" width="16.28515625" style="8" bestFit="1" customWidth="1"/>
    <col min="44" max="44" width="6.28515625" style="8" bestFit="1" customWidth="1"/>
    <col min="45" max="45" width="10.5703125" style="8" bestFit="1" customWidth="1"/>
    <col min="46" max="16384" width="9.140625" style="8"/>
  </cols>
  <sheetData>
    <row r="1" spans="1:4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637</v>
      </c>
      <c r="AG1" s="8" t="s">
        <v>664</v>
      </c>
      <c r="AH1" s="8" t="s">
        <v>638</v>
      </c>
      <c r="AI1" s="8" t="s">
        <v>32</v>
      </c>
      <c r="AJ1" s="8" t="s">
        <v>33</v>
      </c>
      <c r="AK1" s="8" t="s">
        <v>34</v>
      </c>
      <c r="AL1" s="8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8" t="s">
        <v>41</v>
      </c>
      <c r="AS1" s="8" t="s">
        <v>42</v>
      </c>
    </row>
    <row r="2" spans="1:45" x14ac:dyDescent="0.25">
      <c r="A2" s="8" t="s">
        <v>81</v>
      </c>
      <c r="B2" s="8" t="s">
        <v>82</v>
      </c>
      <c r="C2" s="8">
        <v>154</v>
      </c>
      <c r="D2" s="8">
        <v>366</v>
      </c>
      <c r="E2" s="9">
        <v>3.2899999999999998E-6</v>
      </c>
      <c r="F2" s="8">
        <v>3.6</v>
      </c>
      <c r="G2" s="8">
        <v>1.6000000000000001E-4</v>
      </c>
      <c r="H2" s="8">
        <v>1E-3</v>
      </c>
      <c r="I2" s="9">
        <v>1.0000000000000001E-5</v>
      </c>
      <c r="J2" s="8">
        <v>7940</v>
      </c>
      <c r="K2" s="8">
        <v>4900</v>
      </c>
      <c r="L2" s="8">
        <v>3.9</v>
      </c>
      <c r="M2" s="8">
        <v>368</v>
      </c>
      <c r="N2" s="8">
        <v>196</v>
      </c>
      <c r="O2" s="8">
        <v>2.48</v>
      </c>
      <c r="P2" s="8">
        <v>1</v>
      </c>
      <c r="Q2" s="8">
        <v>234</v>
      </c>
      <c r="R2" s="8">
        <v>0.21299999999999999</v>
      </c>
      <c r="S2" s="8">
        <v>0.216</v>
      </c>
      <c r="T2" s="8">
        <v>0.216</v>
      </c>
      <c r="U2" s="8">
        <v>4.97</v>
      </c>
      <c r="V2" s="8">
        <v>4.97</v>
      </c>
      <c r="W2" s="8">
        <v>5.1200000000000004E-3</v>
      </c>
      <c r="X2" s="8">
        <v>2.4299999999999999E-2</v>
      </c>
      <c r="Y2" s="8">
        <v>2.9399999999999999E-2</v>
      </c>
      <c r="Z2" s="8">
        <v>7.3200000000000001E-2</v>
      </c>
      <c r="AA2" s="8" t="s">
        <v>44</v>
      </c>
      <c r="AB2" s="8">
        <v>201</v>
      </c>
      <c r="AC2" s="8">
        <v>201</v>
      </c>
      <c r="AD2" s="8" t="s">
        <v>46</v>
      </c>
      <c r="AE2" s="8">
        <v>0.06</v>
      </c>
      <c r="AF2" s="8" t="s">
        <v>639</v>
      </c>
      <c r="AG2" s="8" t="s">
        <v>47</v>
      </c>
      <c r="AI2" s="8" t="s">
        <v>57</v>
      </c>
      <c r="AJ2" s="8" t="s">
        <v>48</v>
      </c>
      <c r="AK2" s="8" t="s">
        <v>49</v>
      </c>
      <c r="AL2" s="8" t="s">
        <v>50</v>
      </c>
      <c r="AM2" s="8" t="s">
        <v>72</v>
      </c>
      <c r="AN2" s="8">
        <v>0.216</v>
      </c>
      <c r="AO2" s="8">
        <v>1.0200000000000001E-2</v>
      </c>
      <c r="AP2" s="8">
        <v>1.7899999999999999E-2</v>
      </c>
      <c r="AQ2" s="8" t="s">
        <v>52</v>
      </c>
      <c r="AR2" s="8" t="s">
        <v>53</v>
      </c>
      <c r="AS2" s="8" t="s">
        <v>54</v>
      </c>
    </row>
    <row r="3" spans="1:45" x14ac:dyDescent="0.25">
      <c r="A3" s="10" t="s">
        <v>572</v>
      </c>
      <c r="B3" s="10" t="s">
        <v>84</v>
      </c>
      <c r="C3" s="8">
        <v>152.19</v>
      </c>
      <c r="D3" s="8">
        <v>364.9</v>
      </c>
      <c r="E3" s="9">
        <v>8.7499999999999992E-6</v>
      </c>
      <c r="F3" s="8">
        <v>3.9</v>
      </c>
      <c r="G3" s="9">
        <v>1.11E-4</v>
      </c>
      <c r="H3" s="9">
        <v>4.3999999999999997E-2</v>
      </c>
      <c r="I3" s="9">
        <v>7.5000000000000002E-6</v>
      </c>
      <c r="J3" s="8">
        <v>8709</v>
      </c>
      <c r="K3" s="9">
        <v>2760</v>
      </c>
      <c r="L3" s="8">
        <v>3.9</v>
      </c>
      <c r="M3" s="8">
        <f>(0.075*K3)</f>
        <v>207</v>
      </c>
      <c r="N3" s="8">
        <f>(0.04*K3)</f>
        <v>110.4</v>
      </c>
      <c r="O3" s="8">
        <v>4.22</v>
      </c>
      <c r="P3" s="8">
        <v>1</v>
      </c>
      <c r="Q3" s="8">
        <v>32.6</v>
      </c>
      <c r="R3" s="9">
        <v>2.18E-2</v>
      </c>
      <c r="S3" s="8">
        <v>0.27</v>
      </c>
      <c r="T3" s="8">
        <v>0.27</v>
      </c>
      <c r="U3" s="8">
        <v>125000</v>
      </c>
      <c r="V3" s="8">
        <v>125000</v>
      </c>
      <c r="W3" s="8">
        <v>5.1200000000000004E-3</v>
      </c>
      <c r="X3" s="8">
        <v>2.4299999999999999E-2</v>
      </c>
      <c r="Y3" s="8">
        <v>2.9399999999999999E-2</v>
      </c>
      <c r="Z3" s="8">
        <v>7.3200000000000001E-2</v>
      </c>
      <c r="AA3" s="8" t="s">
        <v>44</v>
      </c>
      <c r="AB3" s="8">
        <v>549</v>
      </c>
      <c r="AC3" s="8">
        <v>549</v>
      </c>
      <c r="AD3" s="8" t="s">
        <v>46</v>
      </c>
      <c r="AE3" s="8" t="s">
        <v>56</v>
      </c>
      <c r="AG3" s="8" t="s">
        <v>47</v>
      </c>
      <c r="AI3" s="8" t="s">
        <v>57</v>
      </c>
      <c r="AJ3" s="8" t="s">
        <v>48</v>
      </c>
      <c r="AK3" s="8" t="s">
        <v>49</v>
      </c>
      <c r="AL3" s="8" t="s">
        <v>50</v>
      </c>
      <c r="AM3" s="8" t="s">
        <v>72</v>
      </c>
      <c r="AN3" s="8">
        <v>0.216</v>
      </c>
      <c r="AO3" s="8">
        <v>1.0200000000000001E-2</v>
      </c>
      <c r="AP3" s="8">
        <v>1.7899999999999999E-2</v>
      </c>
      <c r="AQ3" s="8" t="s">
        <v>52</v>
      </c>
      <c r="AR3" s="8" t="s">
        <v>53</v>
      </c>
      <c r="AS3" s="8" t="s">
        <v>54</v>
      </c>
    </row>
    <row r="4" spans="1:45" x14ac:dyDescent="0.25">
      <c r="A4" s="8" t="s">
        <v>85</v>
      </c>
      <c r="B4" s="8" t="s">
        <v>86</v>
      </c>
      <c r="C4" s="8">
        <v>44.1</v>
      </c>
      <c r="D4" s="8">
        <v>150</v>
      </c>
      <c r="E4" s="8">
        <v>1.19</v>
      </c>
      <c r="F4" s="8">
        <v>1000000</v>
      </c>
      <c r="G4" s="8">
        <v>7.8899999999999993E-5</v>
      </c>
      <c r="H4" s="8">
        <v>0.124</v>
      </c>
      <c r="I4" s="8">
        <v>1.4100000000000001E-5</v>
      </c>
      <c r="J4" s="8">
        <v>0.60299999999999998</v>
      </c>
      <c r="K4" s="8">
        <v>0.61</v>
      </c>
      <c r="L4" s="8">
        <v>6.0000000000000001E-3</v>
      </c>
      <c r="M4" s="8">
        <v>0.05</v>
      </c>
      <c r="N4" s="8">
        <v>0.02</v>
      </c>
      <c r="O4" s="8" t="s">
        <v>57</v>
      </c>
      <c r="P4" s="8">
        <v>1</v>
      </c>
      <c r="Q4" s="8">
        <v>6.46</v>
      </c>
      <c r="R4" s="8">
        <v>1060</v>
      </c>
      <c r="S4" s="8">
        <v>8.3800000000000008</v>
      </c>
      <c r="T4" s="8">
        <v>8.3800000000000008</v>
      </c>
      <c r="U4" s="8">
        <v>4.1300000000000001E-4</v>
      </c>
      <c r="V4" s="8">
        <v>4.1300000000000001E-4</v>
      </c>
      <c r="W4" s="8">
        <v>6.3400000000000003E-6</v>
      </c>
      <c r="X4" s="8">
        <v>3.01E-5</v>
      </c>
      <c r="Y4" s="8">
        <v>3.6399999999999997E-5</v>
      </c>
      <c r="Z4" s="8">
        <v>4.78E-6</v>
      </c>
      <c r="AA4" s="8" t="s">
        <v>44</v>
      </c>
      <c r="AB4" s="8">
        <v>3.16</v>
      </c>
      <c r="AC4" s="8" t="s">
        <v>45</v>
      </c>
      <c r="AD4" s="8" t="s">
        <v>46</v>
      </c>
      <c r="AE4" s="8" t="s">
        <v>56</v>
      </c>
      <c r="AG4" s="8" t="s">
        <v>47</v>
      </c>
      <c r="AI4" s="8">
        <v>8.9999999999999993E-3</v>
      </c>
      <c r="AJ4" s="8">
        <v>2.2000000000000001E-6</v>
      </c>
      <c r="AK4" s="8" t="s">
        <v>49</v>
      </c>
      <c r="AL4" s="8" t="s">
        <v>50</v>
      </c>
      <c r="AM4" s="8" t="s">
        <v>51</v>
      </c>
      <c r="AN4" s="8">
        <v>8.3800000000000008</v>
      </c>
      <c r="AO4" s="8">
        <v>1.27E-5</v>
      </c>
      <c r="AP4" s="8">
        <v>2.2200000000000001E-5</v>
      </c>
      <c r="AQ4" s="8" t="s">
        <v>52</v>
      </c>
      <c r="AR4" s="8" t="s">
        <v>53</v>
      </c>
      <c r="AS4" s="8" t="s">
        <v>54</v>
      </c>
    </row>
    <row r="5" spans="1:45" x14ac:dyDescent="0.25">
      <c r="A5" s="8" t="s">
        <v>585</v>
      </c>
      <c r="B5" s="8" t="s">
        <v>87</v>
      </c>
      <c r="C5" s="8">
        <v>59.1</v>
      </c>
      <c r="D5" s="8">
        <v>354</v>
      </c>
      <c r="E5" s="8">
        <v>1.32E-3</v>
      </c>
      <c r="F5" s="8">
        <v>2250000</v>
      </c>
      <c r="G5" s="9">
        <v>3.4499999999999998E-8</v>
      </c>
      <c r="H5" s="8">
        <v>0.125</v>
      </c>
      <c r="I5" s="9">
        <v>1.45E-5</v>
      </c>
      <c r="J5" s="8">
        <v>5.5E-2</v>
      </c>
      <c r="K5" s="8">
        <v>5.7799999999999997E-2</v>
      </c>
      <c r="L5" s="8">
        <v>5.7799999999999995E-4</v>
      </c>
      <c r="M5" s="8">
        <v>4.3299999999999996E-3</v>
      </c>
      <c r="N5" s="8">
        <v>2.31E-3</v>
      </c>
      <c r="O5" s="8">
        <v>8.43</v>
      </c>
      <c r="P5" s="8">
        <v>1</v>
      </c>
      <c r="Q5" s="8">
        <v>6.39</v>
      </c>
      <c r="R5" s="8">
        <v>11100</v>
      </c>
      <c r="S5" s="8">
        <v>207</v>
      </c>
      <c r="T5" s="8">
        <v>207</v>
      </c>
      <c r="U5" s="8">
        <v>7.3599999999999999E-2</v>
      </c>
      <c r="V5" s="8">
        <v>7.3599999999999999E-2</v>
      </c>
      <c r="W5" s="9">
        <v>1.9099999999999999E-6</v>
      </c>
      <c r="X5" s="9">
        <v>9.0699999999999996E-6</v>
      </c>
      <c r="Y5" s="9">
        <v>1.1E-5</v>
      </c>
      <c r="Z5" s="8" t="s">
        <v>44</v>
      </c>
      <c r="AA5" s="8" t="s">
        <v>44</v>
      </c>
      <c r="AB5" s="8">
        <v>3.16</v>
      </c>
      <c r="AC5" s="8" t="s">
        <v>45</v>
      </c>
      <c r="AD5" s="8" t="s">
        <v>46</v>
      </c>
      <c r="AE5" s="8" t="s">
        <v>56</v>
      </c>
      <c r="AG5" s="8">
        <v>7.0000000000000007E-2</v>
      </c>
      <c r="AH5" s="8" t="s">
        <v>640</v>
      </c>
      <c r="AI5" s="8" t="s">
        <v>57</v>
      </c>
      <c r="AJ5" s="9">
        <v>2.0000000000000002E-5</v>
      </c>
      <c r="AK5" s="8" t="s">
        <v>49</v>
      </c>
      <c r="AL5" s="8" t="s">
        <v>50</v>
      </c>
      <c r="AM5" s="8" t="s">
        <v>51</v>
      </c>
      <c r="AN5" s="8">
        <v>207</v>
      </c>
      <c r="AO5" s="9">
        <v>3.8199999999999998E-6</v>
      </c>
      <c r="AP5" s="9">
        <v>6.6800000000000004E-6</v>
      </c>
      <c r="AQ5" s="8" t="s">
        <v>52</v>
      </c>
      <c r="AR5" s="8" t="s">
        <v>53</v>
      </c>
      <c r="AS5" s="8" t="s">
        <v>54</v>
      </c>
    </row>
    <row r="6" spans="1:45" x14ac:dyDescent="0.25">
      <c r="A6" s="8" t="s">
        <v>88</v>
      </c>
      <c r="B6" s="8" t="s">
        <v>89</v>
      </c>
      <c r="C6" s="8">
        <v>58.1</v>
      </c>
      <c r="D6" s="8">
        <v>178</v>
      </c>
      <c r="E6" s="8">
        <v>0.30299999999999999</v>
      </c>
      <c r="F6" s="8">
        <v>1000000</v>
      </c>
      <c r="G6" s="9">
        <v>3.8999999999999999E-5</v>
      </c>
      <c r="H6" s="8">
        <v>0.124</v>
      </c>
      <c r="I6" s="9">
        <v>1.1399999999999999E-5</v>
      </c>
      <c r="J6" s="8">
        <v>0.57499999999999996</v>
      </c>
      <c r="K6" s="8">
        <v>0.57999999999999996</v>
      </c>
      <c r="L6" s="8">
        <v>8.6999999999999994E-2</v>
      </c>
      <c r="M6" s="8">
        <v>0.04</v>
      </c>
      <c r="N6" s="8">
        <v>0.02</v>
      </c>
      <c r="O6" s="8">
        <v>36.1</v>
      </c>
      <c r="P6" s="8">
        <v>1</v>
      </c>
      <c r="Q6" s="8">
        <v>6.46</v>
      </c>
      <c r="R6" s="8">
        <v>74.2</v>
      </c>
      <c r="S6" s="8">
        <v>8.3800000000000008</v>
      </c>
      <c r="T6" s="8">
        <v>8.3800000000000008</v>
      </c>
      <c r="U6" s="8">
        <v>7.9600000000000005E-4</v>
      </c>
      <c r="V6" s="8">
        <v>7.9600000000000005E-4</v>
      </c>
      <c r="W6" s="9">
        <v>6.02E-6</v>
      </c>
      <c r="X6" s="9">
        <v>2.8600000000000001E-5</v>
      </c>
      <c r="Y6" s="9">
        <v>3.4600000000000001E-5</v>
      </c>
      <c r="Z6" s="9">
        <v>4.7700000000000001E-6</v>
      </c>
      <c r="AA6" s="8" t="s">
        <v>44</v>
      </c>
      <c r="AB6" s="8">
        <v>3.16</v>
      </c>
      <c r="AC6" s="8" t="s">
        <v>45</v>
      </c>
      <c r="AD6" s="8" t="s">
        <v>46</v>
      </c>
      <c r="AE6" s="8">
        <v>0.9</v>
      </c>
      <c r="AF6" s="8" t="s">
        <v>639</v>
      </c>
      <c r="AG6" s="8" t="s">
        <v>47</v>
      </c>
      <c r="AI6" s="8" t="s">
        <v>57</v>
      </c>
      <c r="AJ6" s="8" t="s">
        <v>48</v>
      </c>
      <c r="AK6" s="8" t="s">
        <v>49</v>
      </c>
      <c r="AL6" s="8" t="s">
        <v>50</v>
      </c>
      <c r="AM6" s="8" t="s">
        <v>51</v>
      </c>
      <c r="AN6" s="8">
        <v>8.3800000000000008</v>
      </c>
      <c r="AO6" s="9">
        <v>1.2E-5</v>
      </c>
      <c r="AP6" s="9">
        <v>2.1100000000000001E-5</v>
      </c>
      <c r="AQ6" s="8" t="s">
        <v>52</v>
      </c>
      <c r="AR6" s="8" t="s">
        <v>53</v>
      </c>
      <c r="AS6" s="8" t="s">
        <v>54</v>
      </c>
    </row>
    <row r="7" spans="1:45" x14ac:dyDescent="0.25">
      <c r="A7" s="8" t="s">
        <v>90</v>
      </c>
      <c r="B7" s="8" t="s">
        <v>91</v>
      </c>
      <c r="C7" s="8">
        <v>41.1</v>
      </c>
      <c r="D7" s="8">
        <v>228</v>
      </c>
      <c r="E7" s="8">
        <v>0.12</v>
      </c>
      <c r="F7" s="8">
        <v>74000</v>
      </c>
      <c r="G7" s="9">
        <v>3.4600000000000001E-5</v>
      </c>
      <c r="H7" s="8">
        <v>0.128</v>
      </c>
      <c r="I7" s="9">
        <v>1.66E-5</v>
      </c>
      <c r="J7" s="8">
        <v>0.45700000000000002</v>
      </c>
      <c r="K7" s="8">
        <v>0.46</v>
      </c>
      <c r="L7" s="8">
        <v>5.0000000000000001E-3</v>
      </c>
      <c r="M7" s="8">
        <v>0.03</v>
      </c>
      <c r="N7" s="8">
        <v>0.02</v>
      </c>
      <c r="O7" s="8">
        <v>9.0299999999999994</v>
      </c>
      <c r="P7" s="8">
        <v>1</v>
      </c>
      <c r="Q7" s="8">
        <v>6.43</v>
      </c>
      <c r="R7" s="8">
        <v>1390</v>
      </c>
      <c r="S7" s="8">
        <v>8.3800000000000008</v>
      </c>
      <c r="T7" s="8">
        <v>8.3800000000000008</v>
      </c>
      <c r="U7" s="8">
        <v>7.0200000000000004E-4</v>
      </c>
      <c r="V7" s="8">
        <v>7.0200000000000004E-4</v>
      </c>
      <c r="W7" s="9">
        <v>4.6399999999999996E-6</v>
      </c>
      <c r="X7" s="9">
        <v>2.2099999999999998E-5</v>
      </c>
      <c r="Y7" s="9">
        <v>2.6699999999999998E-5</v>
      </c>
      <c r="Z7" s="9">
        <v>3.63E-6</v>
      </c>
      <c r="AA7" s="8" t="s">
        <v>44</v>
      </c>
      <c r="AB7" s="8">
        <v>3.16</v>
      </c>
      <c r="AC7" s="8" t="s">
        <v>45</v>
      </c>
      <c r="AD7" s="8" t="s">
        <v>46</v>
      </c>
      <c r="AE7" s="8">
        <v>6.0000000000000001E-3</v>
      </c>
      <c r="AF7" s="8" t="s">
        <v>641</v>
      </c>
      <c r="AG7" s="8" t="s">
        <v>47</v>
      </c>
      <c r="AI7" s="8">
        <v>0.06</v>
      </c>
      <c r="AJ7" s="8" t="s">
        <v>48</v>
      </c>
      <c r="AK7" s="8" t="s">
        <v>49</v>
      </c>
      <c r="AL7" s="8" t="s">
        <v>50</v>
      </c>
      <c r="AM7" s="8" t="s">
        <v>51</v>
      </c>
      <c r="AN7" s="8">
        <v>8.3800000000000008</v>
      </c>
      <c r="AO7" s="9">
        <v>9.2900000000000008E-6</v>
      </c>
      <c r="AP7" s="9">
        <v>1.63E-5</v>
      </c>
      <c r="AQ7" s="8" t="s">
        <v>52</v>
      </c>
      <c r="AR7" s="8" t="s">
        <v>53</v>
      </c>
      <c r="AS7" s="8" t="s">
        <v>54</v>
      </c>
    </row>
    <row r="8" spans="1:45" x14ac:dyDescent="0.25">
      <c r="A8" s="8" t="s">
        <v>92</v>
      </c>
      <c r="B8" s="8" t="s">
        <v>93</v>
      </c>
      <c r="C8" s="8">
        <v>120</v>
      </c>
      <c r="D8" s="8">
        <v>293</v>
      </c>
      <c r="E8" s="8">
        <v>5.22E-4</v>
      </c>
      <c r="F8" s="8">
        <v>6130</v>
      </c>
      <c r="G8" s="9">
        <v>1.0699999999999999E-5</v>
      </c>
      <c r="H8" s="8">
        <v>0.06</v>
      </c>
      <c r="I8" s="9">
        <v>8.7299999999999994E-6</v>
      </c>
      <c r="J8" s="8">
        <v>38</v>
      </c>
      <c r="K8" s="8">
        <v>35.799999999999997</v>
      </c>
      <c r="L8" s="8">
        <v>0.36</v>
      </c>
      <c r="M8" s="8">
        <v>2.68</v>
      </c>
      <c r="N8" s="8">
        <v>1.43</v>
      </c>
      <c r="O8" s="8" t="s">
        <v>57</v>
      </c>
      <c r="P8" s="8">
        <v>1</v>
      </c>
      <c r="Q8" s="8">
        <v>10.1</v>
      </c>
      <c r="R8" s="8">
        <v>28.3</v>
      </c>
      <c r="S8" s="8">
        <v>4.7300000000000004</v>
      </c>
      <c r="T8" s="8">
        <v>4.7300000000000004</v>
      </c>
      <c r="U8" s="8">
        <v>0.252</v>
      </c>
      <c r="V8" s="8">
        <v>0.252</v>
      </c>
      <c r="W8" s="8">
        <v>3.0600000000000001E-4</v>
      </c>
      <c r="X8" s="8">
        <v>1.4499999999999999E-3</v>
      </c>
      <c r="Y8" s="8">
        <v>1.7600000000000001E-3</v>
      </c>
      <c r="Z8" s="8">
        <v>3.4699999999999998E-4</v>
      </c>
      <c r="AA8" s="8" t="s">
        <v>44</v>
      </c>
      <c r="AB8" s="8">
        <v>0.47499999999999998</v>
      </c>
      <c r="AC8" s="8" t="s">
        <v>45</v>
      </c>
      <c r="AD8" s="8" t="s">
        <v>46</v>
      </c>
      <c r="AE8" s="8">
        <v>0.1</v>
      </c>
      <c r="AF8" s="8" t="s">
        <v>639</v>
      </c>
      <c r="AG8" s="8" t="s">
        <v>47</v>
      </c>
      <c r="AI8" s="8" t="s">
        <v>57</v>
      </c>
      <c r="AJ8" s="8" t="s">
        <v>48</v>
      </c>
      <c r="AK8" s="8" t="s">
        <v>49</v>
      </c>
      <c r="AL8" s="8" t="s">
        <v>50</v>
      </c>
      <c r="AM8" s="8" t="s">
        <v>51</v>
      </c>
      <c r="AN8" s="8">
        <v>4.7300000000000004</v>
      </c>
      <c r="AO8" s="8">
        <v>6.1200000000000002E-4</v>
      </c>
      <c r="AP8" s="8">
        <v>1.07E-3</v>
      </c>
      <c r="AQ8" s="8" t="s">
        <v>52</v>
      </c>
      <c r="AR8" s="8" t="s">
        <v>53</v>
      </c>
      <c r="AS8" s="8" t="s">
        <v>54</v>
      </c>
    </row>
    <row r="9" spans="1:45" x14ac:dyDescent="0.25">
      <c r="A9" s="8" t="s">
        <v>94</v>
      </c>
      <c r="B9" s="8" t="s">
        <v>95</v>
      </c>
      <c r="C9" s="8">
        <v>56.1</v>
      </c>
      <c r="D9" s="8">
        <v>185</v>
      </c>
      <c r="E9" s="8">
        <v>0.35499999999999998</v>
      </c>
      <c r="F9" s="8">
        <v>210000</v>
      </c>
      <c r="G9" s="8">
        <v>1.2E-4</v>
      </c>
      <c r="H9" s="8">
        <v>0.105</v>
      </c>
      <c r="I9" s="9">
        <v>1.22E-5</v>
      </c>
      <c r="J9" s="8">
        <v>0.97699999999999998</v>
      </c>
      <c r="K9" s="8">
        <v>0.98</v>
      </c>
      <c r="L9" s="8">
        <v>0.15</v>
      </c>
      <c r="M9" s="8">
        <v>7.0000000000000007E-2</v>
      </c>
      <c r="N9" s="8">
        <v>0.04</v>
      </c>
      <c r="O9" s="8">
        <v>9.0299999999999994</v>
      </c>
      <c r="P9" s="8">
        <v>1</v>
      </c>
      <c r="Q9" s="8">
        <v>6.54</v>
      </c>
      <c r="R9" s="8">
        <v>43.6</v>
      </c>
      <c r="S9" s="8">
        <v>8.3800000000000008</v>
      </c>
      <c r="T9" s="8">
        <v>8.3800000000000008</v>
      </c>
      <c r="U9" s="8">
        <v>4.55E-4</v>
      </c>
      <c r="V9" s="8">
        <v>4.55E-4</v>
      </c>
      <c r="W9" s="9">
        <v>1.0699999999999999E-5</v>
      </c>
      <c r="X9" s="9">
        <v>5.1100000000000002E-5</v>
      </c>
      <c r="Y9" s="9">
        <v>6.1799999999999998E-5</v>
      </c>
      <c r="Z9" s="9">
        <v>7.7800000000000001E-6</v>
      </c>
      <c r="AA9" s="8" t="s">
        <v>44</v>
      </c>
      <c r="AB9" s="8">
        <v>3.16</v>
      </c>
      <c r="AC9" s="8" t="s">
        <v>45</v>
      </c>
      <c r="AD9" s="8" t="s">
        <v>46</v>
      </c>
      <c r="AE9" s="8">
        <v>5.0000000000000001E-4</v>
      </c>
      <c r="AF9" s="8" t="s">
        <v>639</v>
      </c>
      <c r="AG9" s="8" t="s">
        <v>47</v>
      </c>
      <c r="AI9" s="8">
        <v>4.0000000000000002E-4</v>
      </c>
      <c r="AJ9" s="8" t="s">
        <v>48</v>
      </c>
      <c r="AK9" s="8" t="s">
        <v>49</v>
      </c>
      <c r="AL9" s="8" t="s">
        <v>50</v>
      </c>
      <c r="AM9" s="8" t="s">
        <v>51</v>
      </c>
      <c r="AN9" s="8">
        <v>8.3800000000000008</v>
      </c>
      <c r="AO9" s="9">
        <v>2.1500000000000001E-5</v>
      </c>
      <c r="AP9" s="9">
        <v>3.7599999999999999E-5</v>
      </c>
      <c r="AQ9" s="8" t="s">
        <v>52</v>
      </c>
      <c r="AR9" s="8" t="s">
        <v>53</v>
      </c>
      <c r="AS9" s="8" t="s">
        <v>54</v>
      </c>
    </row>
    <row r="10" spans="1:45" x14ac:dyDescent="0.25">
      <c r="A10" s="8" t="s">
        <v>570</v>
      </c>
      <c r="B10" s="8" t="s">
        <v>96</v>
      </c>
      <c r="C10" s="8">
        <v>71.099999999999994</v>
      </c>
      <c r="D10" s="8">
        <v>358</v>
      </c>
      <c r="E10" s="9">
        <v>9.2099999999999999E-6</v>
      </c>
      <c r="F10" s="8">
        <v>640000</v>
      </c>
      <c r="G10" s="9">
        <v>1.02E-9</v>
      </c>
      <c r="H10" s="8">
        <v>0.111</v>
      </c>
      <c r="I10" s="9">
        <v>1.2799999999999999E-5</v>
      </c>
      <c r="J10" s="8">
        <v>0.214</v>
      </c>
      <c r="K10" s="8">
        <v>0.22</v>
      </c>
      <c r="L10" s="8">
        <v>2.2000000000000001E-3</v>
      </c>
      <c r="M10" s="8">
        <v>1.6500000000000001E-2</v>
      </c>
      <c r="N10" s="8">
        <v>8.7899999999999992E-3</v>
      </c>
      <c r="O10" s="8">
        <v>8.43</v>
      </c>
      <c r="P10" s="8">
        <v>1</v>
      </c>
      <c r="Q10" s="8">
        <v>6.39</v>
      </c>
      <c r="R10" s="8">
        <v>2910</v>
      </c>
      <c r="S10" s="8">
        <v>94.5</v>
      </c>
      <c r="T10" s="8">
        <v>94.5</v>
      </c>
      <c r="U10" s="8">
        <v>10.6</v>
      </c>
      <c r="V10" s="8">
        <v>10.6</v>
      </c>
      <c r="W10" s="9">
        <v>1.9099999999999999E-6</v>
      </c>
      <c r="X10" s="9">
        <v>9.0699999999999996E-6</v>
      </c>
      <c r="Y10" s="9">
        <v>1.1E-5</v>
      </c>
      <c r="Z10" s="8" t="s">
        <v>44</v>
      </c>
      <c r="AA10" s="8" t="s">
        <v>44</v>
      </c>
      <c r="AB10" s="8">
        <v>3.16</v>
      </c>
      <c r="AC10" s="8" t="s">
        <v>45</v>
      </c>
      <c r="AD10" s="8" t="s">
        <v>46</v>
      </c>
      <c r="AE10" s="8">
        <v>2E-3</v>
      </c>
      <c r="AF10" s="8" t="s">
        <v>639</v>
      </c>
      <c r="AG10" s="8">
        <v>0.5</v>
      </c>
      <c r="AH10" s="8" t="s">
        <v>639</v>
      </c>
      <c r="AI10" s="8">
        <v>6.0000000000000001E-3</v>
      </c>
      <c r="AJ10" s="8">
        <v>1E-4</v>
      </c>
      <c r="AK10" s="8" t="s">
        <v>49</v>
      </c>
      <c r="AL10" s="8" t="s">
        <v>50</v>
      </c>
      <c r="AM10" s="8" t="s">
        <v>51</v>
      </c>
      <c r="AN10" s="8">
        <v>94.5</v>
      </c>
      <c r="AO10" s="9">
        <v>3.8199999999999998E-6</v>
      </c>
      <c r="AP10" s="9">
        <v>6.6800000000000004E-6</v>
      </c>
      <c r="AQ10" s="8" t="s">
        <v>52</v>
      </c>
      <c r="AR10" s="8" t="s">
        <v>53</v>
      </c>
      <c r="AS10" s="8" t="s">
        <v>54</v>
      </c>
    </row>
    <row r="11" spans="1:45" x14ac:dyDescent="0.25">
      <c r="A11" s="8" t="s">
        <v>571</v>
      </c>
      <c r="B11" s="8" t="s">
        <v>97</v>
      </c>
      <c r="C11" s="8">
        <v>72.099999999999994</v>
      </c>
      <c r="D11" s="8">
        <v>287</v>
      </c>
      <c r="E11" s="8">
        <v>5.2300000000000003E-3</v>
      </c>
      <c r="F11" s="8">
        <v>1000000</v>
      </c>
      <c r="G11" s="9">
        <v>3.7599999999999998E-7</v>
      </c>
      <c r="H11" s="8">
        <v>0.11</v>
      </c>
      <c r="I11" s="9">
        <v>1.27E-5</v>
      </c>
      <c r="J11" s="8">
        <v>2.2400000000000002</v>
      </c>
      <c r="K11" s="8">
        <v>2.21</v>
      </c>
      <c r="L11" s="8">
        <v>2.2100000000000002E-2</v>
      </c>
      <c r="M11" s="8">
        <v>0.16600000000000001</v>
      </c>
      <c r="N11" s="8">
        <v>8.8400000000000006E-2</v>
      </c>
      <c r="O11" s="8">
        <v>14.9</v>
      </c>
      <c r="P11" s="8">
        <v>1</v>
      </c>
      <c r="Q11" s="8">
        <v>6.74</v>
      </c>
      <c r="R11" s="8">
        <v>305</v>
      </c>
      <c r="S11" s="8">
        <v>24.3</v>
      </c>
      <c r="T11" s="8">
        <v>24.3</v>
      </c>
      <c r="U11" s="8">
        <v>0.35</v>
      </c>
      <c r="V11" s="8">
        <v>0.35</v>
      </c>
      <c r="W11" s="9">
        <v>2.5400000000000001E-5</v>
      </c>
      <c r="X11" s="8">
        <v>1.21E-4</v>
      </c>
      <c r="Y11" s="8">
        <v>1.46E-4</v>
      </c>
      <c r="Z11" s="8" t="s">
        <v>44</v>
      </c>
      <c r="AA11" s="8" t="s">
        <v>44</v>
      </c>
      <c r="AB11" s="8">
        <v>3.16</v>
      </c>
      <c r="AC11" s="8" t="s">
        <v>45</v>
      </c>
      <c r="AD11" s="8" t="s">
        <v>46</v>
      </c>
      <c r="AE11" s="8">
        <v>0.5</v>
      </c>
      <c r="AF11" s="8" t="s">
        <v>639</v>
      </c>
      <c r="AG11" s="8" t="s">
        <v>47</v>
      </c>
      <c r="AI11" s="8">
        <v>1E-3</v>
      </c>
      <c r="AJ11" s="8" t="s">
        <v>48</v>
      </c>
      <c r="AK11" s="8" t="s">
        <v>49</v>
      </c>
      <c r="AL11" s="8" t="s">
        <v>50</v>
      </c>
      <c r="AM11" s="8" t="s">
        <v>51</v>
      </c>
      <c r="AN11" s="8">
        <v>24.3</v>
      </c>
      <c r="AO11" s="9">
        <v>5.0800000000000002E-5</v>
      </c>
      <c r="AP11" s="9">
        <v>8.8800000000000004E-5</v>
      </c>
      <c r="AQ11" s="8" t="s">
        <v>52</v>
      </c>
      <c r="AR11" s="8" t="s">
        <v>53</v>
      </c>
      <c r="AS11" s="8" t="s">
        <v>54</v>
      </c>
    </row>
    <row r="12" spans="1:45" x14ac:dyDescent="0.25">
      <c r="A12" s="8" t="s">
        <v>98</v>
      </c>
      <c r="B12" s="8" t="s">
        <v>99</v>
      </c>
      <c r="C12" s="8">
        <v>53.1</v>
      </c>
      <c r="D12" s="8">
        <v>190</v>
      </c>
      <c r="E12" s="8">
        <v>0.14299999999999999</v>
      </c>
      <c r="F12" s="8">
        <v>74000</v>
      </c>
      <c r="G12" s="8">
        <v>1.03E-4</v>
      </c>
      <c r="H12" s="8">
        <v>0.122</v>
      </c>
      <c r="I12" s="9">
        <v>1.34E-5</v>
      </c>
      <c r="J12" s="8">
        <v>1.78</v>
      </c>
      <c r="K12" s="8">
        <v>1.76</v>
      </c>
      <c r="L12" s="8">
        <v>0.02</v>
      </c>
      <c r="M12" s="8">
        <v>0.13</v>
      </c>
      <c r="N12" s="8">
        <v>7.0000000000000007E-2</v>
      </c>
      <c r="O12" s="8">
        <v>11</v>
      </c>
      <c r="P12" s="8">
        <v>1</v>
      </c>
      <c r="Q12" s="8">
        <v>6.67</v>
      </c>
      <c r="R12" s="8">
        <v>379</v>
      </c>
      <c r="S12" s="8">
        <v>8.3800000000000008</v>
      </c>
      <c r="T12" s="8">
        <v>8.3800000000000008</v>
      </c>
      <c r="U12" s="8">
        <v>1E-3</v>
      </c>
      <c r="V12" s="8">
        <v>1E-3</v>
      </c>
      <c r="W12" s="9">
        <v>2.0100000000000001E-5</v>
      </c>
      <c r="X12" s="9">
        <v>9.5500000000000004E-5</v>
      </c>
      <c r="Y12" s="8">
        <v>1.16E-4</v>
      </c>
      <c r="Z12" s="9">
        <v>1.4100000000000001E-5</v>
      </c>
      <c r="AA12" s="8" t="s">
        <v>44</v>
      </c>
      <c r="AB12" s="8">
        <v>3.16</v>
      </c>
      <c r="AC12" s="8" t="s">
        <v>45</v>
      </c>
      <c r="AD12" s="8" t="s">
        <v>46</v>
      </c>
      <c r="AE12" s="9">
        <v>0.04</v>
      </c>
      <c r="AF12" s="8" t="s">
        <v>642</v>
      </c>
      <c r="AG12" s="8">
        <v>0.54</v>
      </c>
      <c r="AH12" s="8" t="s">
        <v>639</v>
      </c>
      <c r="AI12" s="8">
        <v>2E-3</v>
      </c>
      <c r="AJ12" s="9">
        <v>6.7999999999999999E-5</v>
      </c>
      <c r="AK12" s="8" t="s">
        <v>49</v>
      </c>
      <c r="AL12" s="8" t="s">
        <v>50</v>
      </c>
      <c r="AM12" s="8" t="s">
        <v>51</v>
      </c>
      <c r="AN12" s="8">
        <v>8.3800000000000008</v>
      </c>
      <c r="AO12" s="9">
        <v>4.0200000000000001E-5</v>
      </c>
      <c r="AP12" s="9">
        <v>7.0400000000000004E-5</v>
      </c>
      <c r="AQ12" s="8" t="s">
        <v>52</v>
      </c>
      <c r="AR12" s="8" t="s">
        <v>53</v>
      </c>
      <c r="AS12" s="8" t="s">
        <v>54</v>
      </c>
    </row>
    <row r="13" spans="1:45" x14ac:dyDescent="0.25">
      <c r="A13" s="8" t="s">
        <v>687</v>
      </c>
      <c r="B13" s="8" t="s">
        <v>101</v>
      </c>
      <c r="C13" s="8">
        <v>30</v>
      </c>
      <c r="D13" s="8">
        <v>181</v>
      </c>
      <c r="E13" s="8">
        <v>6.89</v>
      </c>
      <c r="F13" s="8">
        <v>550000</v>
      </c>
      <c r="G13" s="8">
        <v>3.3599999999999999E-7</v>
      </c>
      <c r="H13" s="8">
        <v>0.17799999999999999</v>
      </c>
      <c r="I13" s="8">
        <v>1.98E-5</v>
      </c>
      <c r="J13" s="8">
        <v>2.2400000000000002</v>
      </c>
      <c r="K13" s="8">
        <v>2.21</v>
      </c>
      <c r="L13" s="8">
        <v>0.02</v>
      </c>
      <c r="M13" s="8">
        <v>0.17</v>
      </c>
      <c r="N13" s="8">
        <v>0.09</v>
      </c>
      <c r="O13" s="8">
        <v>36.1</v>
      </c>
      <c r="P13" s="8">
        <v>1</v>
      </c>
      <c r="Q13" s="8">
        <v>6.74</v>
      </c>
      <c r="R13" s="8">
        <v>305</v>
      </c>
      <c r="S13" s="8">
        <v>8.3800000000000008</v>
      </c>
      <c r="T13" s="8">
        <v>8.3800000000000008</v>
      </c>
      <c r="U13" s="8">
        <v>0.39200000000000002</v>
      </c>
      <c r="V13" s="8">
        <v>0.39200000000000002</v>
      </c>
      <c r="W13" s="8">
        <v>2.5400000000000001E-5</v>
      </c>
      <c r="X13" s="8">
        <v>1.21E-4</v>
      </c>
      <c r="Y13" s="8">
        <v>1.46E-4</v>
      </c>
      <c r="Z13" s="8">
        <v>1.7499999999999998E-5</v>
      </c>
      <c r="AA13" s="8" t="s">
        <v>44</v>
      </c>
      <c r="AB13" s="8">
        <v>3.16</v>
      </c>
      <c r="AC13" s="8" t="s">
        <v>45</v>
      </c>
      <c r="AD13" s="8" t="s">
        <v>46</v>
      </c>
      <c r="AE13" s="8">
        <v>0.2</v>
      </c>
      <c r="AF13" s="8" t="s">
        <v>643</v>
      </c>
      <c r="AG13" s="8" t="s">
        <v>47</v>
      </c>
      <c r="AI13" s="8">
        <v>8.9999999999999993E-3</v>
      </c>
      <c r="AJ13" s="8">
        <v>5.0000000000000004E-6</v>
      </c>
      <c r="AK13" s="8" t="s">
        <v>49</v>
      </c>
      <c r="AL13" s="8" t="s">
        <v>50</v>
      </c>
      <c r="AM13" s="8" t="s">
        <v>51</v>
      </c>
      <c r="AN13" s="8">
        <v>8.3800000000000008</v>
      </c>
      <c r="AO13" s="8">
        <v>5.0800000000000002E-5</v>
      </c>
      <c r="AP13" s="8">
        <v>8.8800000000000004E-5</v>
      </c>
      <c r="AQ13" s="8" t="s">
        <v>52</v>
      </c>
      <c r="AR13" s="8" t="s">
        <v>53</v>
      </c>
      <c r="AS13" s="8" t="s">
        <v>54</v>
      </c>
    </row>
    <row r="14" spans="1:45" x14ac:dyDescent="0.25">
      <c r="A14" s="10" t="s">
        <v>568</v>
      </c>
      <c r="B14" s="10" t="s">
        <v>102</v>
      </c>
      <c r="C14" s="8">
        <v>76.53</v>
      </c>
      <c r="D14" s="8">
        <v>139</v>
      </c>
      <c r="E14" s="8">
        <v>0.48199999999999998</v>
      </c>
      <c r="F14" s="8">
        <v>2968</v>
      </c>
      <c r="G14" s="9">
        <v>1.0999999999999999E-2</v>
      </c>
      <c r="H14" s="9">
        <v>9.3600000000000003E-2</v>
      </c>
      <c r="I14" s="9">
        <v>1.08E-5</v>
      </c>
      <c r="J14" s="8">
        <v>85.11</v>
      </c>
      <c r="K14" s="8">
        <v>39.6</v>
      </c>
      <c r="L14" s="8" t="s">
        <v>57</v>
      </c>
      <c r="M14" s="8">
        <f>(0.075*K14)</f>
        <v>2.97</v>
      </c>
      <c r="N14" s="8">
        <f>(0.04*K14)</f>
        <v>1.5840000000000001</v>
      </c>
      <c r="O14" s="8">
        <v>18</v>
      </c>
      <c r="P14" s="8">
        <v>1</v>
      </c>
      <c r="Q14" s="8">
        <v>1.2</v>
      </c>
      <c r="R14" s="8">
        <v>5.6</v>
      </c>
      <c r="S14" s="8">
        <v>5.6</v>
      </c>
      <c r="T14" s="8">
        <v>5.6</v>
      </c>
      <c r="U14" s="9">
        <v>1.7999999999999999E-2</v>
      </c>
      <c r="V14" s="9">
        <v>1.7999999999999999E-2</v>
      </c>
      <c r="W14" s="9">
        <v>6.7199999999999998E-7</v>
      </c>
      <c r="X14" s="9">
        <v>2.1299999999999999E-6</v>
      </c>
      <c r="Y14" s="8" t="s">
        <v>62</v>
      </c>
      <c r="Z14" s="8" t="s">
        <v>44</v>
      </c>
      <c r="AA14" s="8" t="s">
        <v>44</v>
      </c>
      <c r="AB14" s="8">
        <v>3.66</v>
      </c>
      <c r="AC14" s="8" t="s">
        <v>45</v>
      </c>
      <c r="AD14" s="8" t="s">
        <v>46</v>
      </c>
      <c r="AF14" s="8" t="s">
        <v>662</v>
      </c>
      <c r="AG14" s="8">
        <v>2.1000000000000001E-2</v>
      </c>
      <c r="AH14" s="8" t="s">
        <v>640</v>
      </c>
      <c r="AI14" s="8">
        <v>1E-3</v>
      </c>
      <c r="AJ14" s="9">
        <v>6.0000000000000002E-6</v>
      </c>
      <c r="AK14" s="8" t="s">
        <v>49</v>
      </c>
      <c r="AL14" s="8" t="s">
        <v>50</v>
      </c>
      <c r="AM14" s="8" t="s">
        <v>51</v>
      </c>
      <c r="AN14" s="8" t="s">
        <v>44</v>
      </c>
      <c r="AO14" s="8" t="s">
        <v>44</v>
      </c>
      <c r="AP14" s="8" t="s">
        <v>44</v>
      </c>
      <c r="AQ14" s="8" t="s">
        <v>52</v>
      </c>
      <c r="AR14" s="8" t="s">
        <v>53</v>
      </c>
      <c r="AS14" s="8" t="s">
        <v>54</v>
      </c>
    </row>
    <row r="15" spans="1:45" x14ac:dyDescent="0.25">
      <c r="A15" s="10" t="s">
        <v>561</v>
      </c>
      <c r="B15" s="10" t="s">
        <v>482</v>
      </c>
      <c r="C15" s="8">
        <v>169.23</v>
      </c>
      <c r="D15" s="8">
        <v>327</v>
      </c>
      <c r="E15" s="9">
        <v>1.24E-6</v>
      </c>
      <c r="F15" s="8">
        <v>223.9</v>
      </c>
      <c r="G15" s="9">
        <v>1.4600000000000001E-7</v>
      </c>
      <c r="H15" s="9">
        <v>6.2100000000000002E-2</v>
      </c>
      <c r="I15" s="9">
        <v>7.2599999999999999E-6</v>
      </c>
      <c r="J15" s="8">
        <v>724</v>
      </c>
      <c r="K15" s="9">
        <v>305.8</v>
      </c>
      <c r="M15" s="8">
        <f>(0.075*K15)</f>
        <v>22.934999999999999</v>
      </c>
      <c r="N15" s="8">
        <f>(0.04*K15)</f>
        <v>12.232000000000001</v>
      </c>
      <c r="P15" s="8">
        <v>1</v>
      </c>
      <c r="U15" s="8">
        <v>0.84499999999999997</v>
      </c>
      <c r="V15" s="8">
        <v>0.84499999999999997</v>
      </c>
      <c r="W15" s="9">
        <v>5.7200000000000003E-6</v>
      </c>
      <c r="X15" s="9">
        <v>1.8099999999999999E-5</v>
      </c>
      <c r="AB15" s="8">
        <v>35.799999999999997</v>
      </c>
      <c r="AG15" s="8">
        <v>21</v>
      </c>
      <c r="AH15" s="8" t="s">
        <v>640</v>
      </c>
      <c r="AJ15" s="9">
        <v>6.0000000000000001E-3</v>
      </c>
      <c r="AL15" s="8" t="s">
        <v>50</v>
      </c>
    </row>
    <row r="16" spans="1:45" x14ac:dyDescent="0.25">
      <c r="A16" s="8" t="s">
        <v>569</v>
      </c>
      <c r="B16" s="8" t="s">
        <v>103</v>
      </c>
      <c r="C16" s="8">
        <v>17</v>
      </c>
      <c r="D16" s="8">
        <v>196</v>
      </c>
      <c r="E16" s="8">
        <v>8.5</v>
      </c>
      <c r="F16" s="8">
        <v>480000</v>
      </c>
      <c r="G16" s="8">
        <v>3.01E-4</v>
      </c>
      <c r="H16" s="8">
        <v>0.28699999999999998</v>
      </c>
      <c r="I16" s="9">
        <v>3.3300000000000003E-5</v>
      </c>
      <c r="J16" s="8">
        <v>1.7</v>
      </c>
      <c r="K16" s="8">
        <v>1.69</v>
      </c>
      <c r="L16" s="8">
        <v>1.6899999999999998E-2</v>
      </c>
      <c r="M16" s="8">
        <v>0.126</v>
      </c>
      <c r="N16" s="8">
        <v>6.7400000000000002E-2</v>
      </c>
      <c r="O16" s="8">
        <v>253</v>
      </c>
      <c r="P16" s="8">
        <v>1</v>
      </c>
      <c r="Q16" s="8">
        <v>0.35</v>
      </c>
      <c r="R16" s="8">
        <v>20.7</v>
      </c>
      <c r="S16" s="8">
        <v>28.5</v>
      </c>
      <c r="T16" s="8">
        <v>28.5</v>
      </c>
      <c r="U16" s="8">
        <v>3.2699999999999998E-4</v>
      </c>
      <c r="V16" s="8">
        <v>3.2699999999999998E-4</v>
      </c>
      <c r="W16" s="9">
        <v>1.9199999999999999E-5</v>
      </c>
      <c r="X16" s="9">
        <v>9.1199999999999994E-5</v>
      </c>
      <c r="Y16" s="8">
        <v>1.1E-4</v>
      </c>
      <c r="Z16" s="8" t="s">
        <v>44</v>
      </c>
      <c r="AA16" s="8" t="s">
        <v>44</v>
      </c>
      <c r="AB16" s="8">
        <v>0.3</v>
      </c>
      <c r="AC16" s="8" t="s">
        <v>45</v>
      </c>
      <c r="AD16" s="8" t="s">
        <v>46</v>
      </c>
      <c r="AE16" s="8" t="s">
        <v>56</v>
      </c>
      <c r="AG16" s="8" t="s">
        <v>47</v>
      </c>
      <c r="AI16" s="8">
        <v>0.08</v>
      </c>
      <c r="AJ16" s="8" t="s">
        <v>48</v>
      </c>
      <c r="AK16" s="8" t="s">
        <v>49</v>
      </c>
      <c r="AL16" s="8" t="s">
        <v>50</v>
      </c>
      <c r="AM16" s="8" t="s">
        <v>51</v>
      </c>
      <c r="AN16" s="8">
        <v>28.5</v>
      </c>
      <c r="AO16" s="9">
        <v>3.8399999999999998E-5</v>
      </c>
      <c r="AP16" s="9">
        <v>6.7199999999999994E-5</v>
      </c>
      <c r="AQ16" s="8" t="s">
        <v>52</v>
      </c>
      <c r="AR16" s="8" t="s">
        <v>53</v>
      </c>
      <c r="AS16" s="8" t="s">
        <v>54</v>
      </c>
    </row>
    <row r="17" spans="1:45" x14ac:dyDescent="0.25">
      <c r="A17" s="8" t="s">
        <v>104</v>
      </c>
      <c r="B17" s="8" t="s">
        <v>105</v>
      </c>
      <c r="C17" s="8">
        <v>93.6</v>
      </c>
      <c r="D17" s="8">
        <v>267</v>
      </c>
      <c r="E17" s="8">
        <v>6.4499999999999996E-4</v>
      </c>
      <c r="F17" s="8">
        <v>36000</v>
      </c>
      <c r="G17" s="9">
        <v>1.9E-6</v>
      </c>
      <c r="H17" s="8">
        <v>7.0000000000000007E-2</v>
      </c>
      <c r="I17" s="9">
        <v>8.3000000000000002E-6</v>
      </c>
      <c r="J17" s="8">
        <v>7.94</v>
      </c>
      <c r="K17" s="8">
        <v>7.67</v>
      </c>
      <c r="L17" s="8">
        <v>1.2</v>
      </c>
      <c r="M17" s="8">
        <v>0.57999999999999996</v>
      </c>
      <c r="N17" s="8">
        <v>0.31</v>
      </c>
      <c r="O17" s="8" t="s">
        <v>57</v>
      </c>
      <c r="P17" s="8">
        <v>1</v>
      </c>
      <c r="Q17" s="8">
        <v>7.45</v>
      </c>
      <c r="R17" s="8">
        <v>6.21</v>
      </c>
      <c r="S17" s="8">
        <v>8.3800000000000008</v>
      </c>
      <c r="T17" s="8">
        <v>8.3800000000000008</v>
      </c>
      <c r="U17" s="8">
        <v>0.26700000000000002</v>
      </c>
      <c r="V17" s="8">
        <v>0.26700000000000002</v>
      </c>
      <c r="W17" s="9">
        <v>8.4099999999999998E-5</v>
      </c>
      <c r="X17" s="8">
        <v>4.0000000000000002E-4</v>
      </c>
      <c r="Y17" s="8">
        <v>4.84E-4</v>
      </c>
      <c r="Z17" s="9">
        <v>7.5900000000000002E-5</v>
      </c>
      <c r="AA17" s="8" t="s">
        <v>44</v>
      </c>
      <c r="AB17" s="8">
        <v>3.16</v>
      </c>
      <c r="AC17" s="8" t="s">
        <v>45</v>
      </c>
      <c r="AD17" s="8" t="s">
        <v>46</v>
      </c>
      <c r="AE17" s="8">
        <v>7.0000000000000001E-3</v>
      </c>
      <c r="AF17" s="8" t="s">
        <v>644</v>
      </c>
      <c r="AG17" s="8">
        <v>5.7000000000000002E-3</v>
      </c>
      <c r="AH17" s="8" t="s">
        <v>639</v>
      </c>
      <c r="AI17" s="8">
        <v>1E-3</v>
      </c>
      <c r="AJ17" s="9">
        <v>1.5999999999999999E-6</v>
      </c>
      <c r="AK17" s="8" t="s">
        <v>49</v>
      </c>
      <c r="AL17" s="8" t="s">
        <v>50</v>
      </c>
      <c r="AM17" s="8" t="s">
        <v>51</v>
      </c>
      <c r="AN17" s="8">
        <v>8.3800000000000008</v>
      </c>
      <c r="AO17" s="8">
        <v>1.6799999999999999E-4</v>
      </c>
      <c r="AP17" s="8">
        <v>2.9399999999999999E-4</v>
      </c>
      <c r="AQ17" s="8" t="s">
        <v>52</v>
      </c>
      <c r="AR17" s="8" t="s">
        <v>53</v>
      </c>
      <c r="AS17" s="8" t="s">
        <v>54</v>
      </c>
    </row>
    <row r="18" spans="1:45" x14ac:dyDescent="0.25">
      <c r="A18" s="10" t="s">
        <v>483</v>
      </c>
      <c r="B18" s="10" t="s">
        <v>486</v>
      </c>
      <c r="C18" s="8">
        <v>123.16</v>
      </c>
      <c r="D18" s="8">
        <v>280</v>
      </c>
      <c r="E18" s="8">
        <v>2.2000000000000001E-4</v>
      </c>
      <c r="F18" s="8">
        <v>9598</v>
      </c>
      <c r="G18" s="9">
        <v>9.2600000000000001E-7</v>
      </c>
      <c r="H18" s="9">
        <v>6.5199999999999994E-2</v>
      </c>
      <c r="I18" s="9">
        <v>8.9099999999999994E-6</v>
      </c>
      <c r="J18" s="8">
        <v>14</v>
      </c>
      <c r="K18" s="9">
        <v>45.92</v>
      </c>
      <c r="M18" s="8">
        <f>(0.075*K18)</f>
        <v>3.444</v>
      </c>
      <c r="N18" s="8">
        <f>(0.04*K18)</f>
        <v>1.8368000000000002</v>
      </c>
      <c r="P18" s="8">
        <v>1</v>
      </c>
      <c r="U18" s="8">
        <v>7.96</v>
      </c>
      <c r="V18" s="8">
        <v>7.96</v>
      </c>
      <c r="W18" s="9">
        <v>1.2700000000000001E-7</v>
      </c>
      <c r="X18" s="9">
        <v>3.7800000000000002E-7</v>
      </c>
      <c r="Z18" s="9"/>
      <c r="AB18" s="8">
        <v>2.79</v>
      </c>
      <c r="AG18" s="8">
        <v>0.14000000000000001</v>
      </c>
      <c r="AH18" s="8" t="s">
        <v>640</v>
      </c>
      <c r="AJ18" s="9"/>
    </row>
    <row r="19" spans="1:45" x14ac:dyDescent="0.25">
      <c r="A19" s="8" t="s">
        <v>106</v>
      </c>
      <c r="B19" s="8" t="s">
        <v>107</v>
      </c>
      <c r="C19" s="8">
        <v>178</v>
      </c>
      <c r="D19" s="8">
        <v>493</v>
      </c>
      <c r="E19" s="9">
        <v>3.5499999999999999E-9</v>
      </c>
      <c r="F19" s="8">
        <v>4.2999999999999997E-2</v>
      </c>
      <c r="G19" s="9">
        <v>6.4999999999999994E-5</v>
      </c>
      <c r="H19" s="8">
        <v>1E-3</v>
      </c>
      <c r="I19" s="9">
        <v>1.0000000000000001E-5</v>
      </c>
      <c r="J19" s="8">
        <v>31600</v>
      </c>
      <c r="K19" s="8">
        <v>23500</v>
      </c>
      <c r="L19" s="8">
        <v>4500</v>
      </c>
      <c r="M19" s="8">
        <v>1760</v>
      </c>
      <c r="N19" s="8">
        <v>940</v>
      </c>
      <c r="O19" s="8">
        <v>0.55000000000000004</v>
      </c>
      <c r="P19" s="8">
        <v>0.998</v>
      </c>
      <c r="Q19" s="8">
        <v>678</v>
      </c>
      <c r="R19" s="8">
        <v>0.151</v>
      </c>
      <c r="S19" s="8">
        <v>9.7100000000000006E-2</v>
      </c>
      <c r="T19" s="8">
        <v>9.7100000000000006E-2</v>
      </c>
      <c r="U19" s="8">
        <v>53.3</v>
      </c>
      <c r="V19" s="8">
        <v>53.3</v>
      </c>
      <c r="W19" s="8">
        <v>7.1199999999999996E-3</v>
      </c>
      <c r="X19" s="8">
        <v>3.3799999999999997E-2</v>
      </c>
      <c r="Y19" s="8">
        <v>4.0899999999999999E-2</v>
      </c>
      <c r="Z19" s="8">
        <v>0.23499999999999999</v>
      </c>
      <c r="AA19" s="8" t="s">
        <v>44</v>
      </c>
      <c r="AB19" s="8">
        <v>582</v>
      </c>
      <c r="AC19" s="8">
        <v>1030</v>
      </c>
      <c r="AD19" s="8" t="s">
        <v>46</v>
      </c>
      <c r="AE19" s="8">
        <v>0.3</v>
      </c>
      <c r="AF19" s="8" t="s">
        <v>639</v>
      </c>
      <c r="AG19" s="8" t="s">
        <v>47</v>
      </c>
      <c r="AI19" s="8" t="s">
        <v>57</v>
      </c>
      <c r="AJ19" s="9">
        <v>7.2000000000000005E-4</v>
      </c>
      <c r="AK19" s="8" t="s">
        <v>49</v>
      </c>
      <c r="AL19" s="8" t="s">
        <v>50</v>
      </c>
      <c r="AM19" s="8" t="s">
        <v>72</v>
      </c>
      <c r="AN19" s="8">
        <v>9.7100000000000006E-2</v>
      </c>
      <c r="AO19" s="8">
        <v>1.4200000000000001E-2</v>
      </c>
      <c r="AP19" s="8">
        <v>2.4899999999999999E-2</v>
      </c>
      <c r="AQ19" s="8" t="s">
        <v>52</v>
      </c>
      <c r="AR19" s="8" t="s">
        <v>53</v>
      </c>
      <c r="AS19" s="8" t="s">
        <v>54</v>
      </c>
    </row>
    <row r="20" spans="1:45" x14ac:dyDescent="0.25">
      <c r="A20" s="8" t="s">
        <v>108</v>
      </c>
      <c r="B20" s="8" t="s">
        <v>109</v>
      </c>
      <c r="C20" s="8">
        <v>125</v>
      </c>
      <c r="D20" s="8">
        <v>903</v>
      </c>
      <c r="E20" s="8">
        <v>0</v>
      </c>
      <c r="F20" s="8">
        <v>23000</v>
      </c>
      <c r="G20" s="8">
        <v>2.5000000000000001E-2</v>
      </c>
      <c r="H20" s="8">
        <v>7.7200000000000005E-2</v>
      </c>
      <c r="I20" s="9">
        <v>9.5699999999999999E-6</v>
      </c>
      <c r="J20" s="8">
        <v>5.37</v>
      </c>
      <c r="K20" s="8" t="s">
        <v>44</v>
      </c>
      <c r="L20" s="8">
        <v>45</v>
      </c>
      <c r="M20" s="8">
        <v>45</v>
      </c>
      <c r="N20" s="8">
        <v>45</v>
      </c>
      <c r="O20" s="8" t="s">
        <v>57</v>
      </c>
      <c r="P20" s="8">
        <v>0</v>
      </c>
      <c r="Q20" s="8" t="s">
        <v>57</v>
      </c>
      <c r="R20" s="8">
        <v>0.03</v>
      </c>
      <c r="S20" s="8">
        <v>3.1899999999999998E-2</v>
      </c>
      <c r="T20" s="8">
        <v>0.2</v>
      </c>
      <c r="U20" s="8" t="s">
        <v>57</v>
      </c>
      <c r="V20" s="8" t="s">
        <v>57</v>
      </c>
      <c r="W20" s="8">
        <v>1E-4</v>
      </c>
      <c r="X20" s="8">
        <v>1E-3</v>
      </c>
      <c r="Y20" s="8" t="s">
        <v>62</v>
      </c>
      <c r="Z20" s="8" t="s">
        <v>44</v>
      </c>
      <c r="AA20" s="8" t="s">
        <v>44</v>
      </c>
      <c r="AB20" s="8">
        <v>40</v>
      </c>
      <c r="AC20" s="8" t="s">
        <v>45</v>
      </c>
      <c r="AD20" s="8" t="s">
        <v>46</v>
      </c>
      <c r="AE20" s="8">
        <v>4.0000000000000002E-4</v>
      </c>
      <c r="AF20" s="8" t="s">
        <v>639</v>
      </c>
      <c r="AG20" s="8" t="s">
        <v>47</v>
      </c>
      <c r="AI20" s="8">
        <v>2.0000000000000001E-4</v>
      </c>
      <c r="AJ20" s="8" t="s">
        <v>48</v>
      </c>
      <c r="AK20" s="8" t="s">
        <v>49</v>
      </c>
      <c r="AL20" s="8" t="s">
        <v>110</v>
      </c>
      <c r="AM20" s="8" t="s">
        <v>111</v>
      </c>
      <c r="AN20" s="8">
        <v>0.03</v>
      </c>
      <c r="AO20" s="8" t="s">
        <v>44</v>
      </c>
      <c r="AP20" s="8" t="s">
        <v>44</v>
      </c>
      <c r="AQ20" s="8" t="s">
        <v>52</v>
      </c>
      <c r="AR20" s="8" t="s">
        <v>53</v>
      </c>
      <c r="AS20" s="8" t="s">
        <v>54</v>
      </c>
    </row>
    <row r="21" spans="1:45" x14ac:dyDescent="0.25">
      <c r="A21" s="8" t="s">
        <v>112</v>
      </c>
      <c r="B21" s="8" t="s">
        <v>113</v>
      </c>
      <c r="C21" s="8">
        <v>78</v>
      </c>
      <c r="D21" s="8">
        <v>1090</v>
      </c>
      <c r="E21" s="8">
        <v>0</v>
      </c>
      <c r="F21" s="8">
        <v>34700</v>
      </c>
      <c r="G21" s="8">
        <v>0.77</v>
      </c>
      <c r="H21" s="8">
        <v>7.7200000000000005E-2</v>
      </c>
      <c r="I21" s="9">
        <v>9.5699999999999999E-6</v>
      </c>
      <c r="J21" s="8">
        <v>4.79</v>
      </c>
      <c r="K21" s="8" t="s">
        <v>44</v>
      </c>
      <c r="L21" s="8">
        <v>29</v>
      </c>
      <c r="M21" s="8">
        <v>29</v>
      </c>
      <c r="N21" s="8">
        <v>29</v>
      </c>
      <c r="O21" s="8" t="s">
        <v>57</v>
      </c>
      <c r="P21" s="8">
        <v>0</v>
      </c>
      <c r="Q21" s="8" t="s">
        <v>57</v>
      </c>
      <c r="R21" s="8">
        <v>8.0000000000000002E-3</v>
      </c>
      <c r="S21" s="8">
        <v>6.3299999999999997E-3</v>
      </c>
      <c r="T21" s="8">
        <v>3.5999999999999997E-2</v>
      </c>
      <c r="U21" s="8" t="s">
        <v>57</v>
      </c>
      <c r="V21" s="8" t="s">
        <v>57</v>
      </c>
      <c r="W21" s="9">
        <v>6.0000000000000002E-5</v>
      </c>
      <c r="X21" s="8">
        <v>2E-3</v>
      </c>
      <c r="Y21" s="8" t="s">
        <v>62</v>
      </c>
      <c r="Z21" s="8" t="s">
        <v>44</v>
      </c>
      <c r="AA21" s="8" t="s">
        <v>44</v>
      </c>
      <c r="AB21" s="8">
        <v>114</v>
      </c>
      <c r="AC21" s="8" t="s">
        <v>45</v>
      </c>
      <c r="AD21" s="8" t="s">
        <v>46</v>
      </c>
      <c r="AE21" s="9">
        <v>2.9999999999999997E-4</v>
      </c>
      <c r="AF21" s="9" t="s">
        <v>639</v>
      </c>
      <c r="AG21" s="8">
        <v>1.5</v>
      </c>
      <c r="AH21" s="8" t="s">
        <v>639</v>
      </c>
      <c r="AI21" s="9">
        <v>1.5E-5</v>
      </c>
      <c r="AJ21" s="8">
        <v>4.3E-3</v>
      </c>
      <c r="AK21" s="8" t="s">
        <v>49</v>
      </c>
      <c r="AL21" s="8" t="s">
        <v>110</v>
      </c>
      <c r="AM21" s="8" t="s">
        <v>111</v>
      </c>
      <c r="AN21" s="8">
        <v>4.0000000000000001E-3</v>
      </c>
      <c r="AO21" s="8" t="s">
        <v>44</v>
      </c>
      <c r="AP21" s="8" t="s">
        <v>44</v>
      </c>
      <c r="AQ21" s="8" t="s">
        <v>52</v>
      </c>
      <c r="AR21" s="8" t="s">
        <v>53</v>
      </c>
      <c r="AS21" s="8" t="s">
        <v>54</v>
      </c>
    </row>
    <row r="22" spans="1:45" x14ac:dyDescent="0.25">
      <c r="A22" s="8" t="s">
        <v>723</v>
      </c>
      <c r="B22" s="8" t="s">
        <v>724</v>
      </c>
      <c r="C22" s="8">
        <v>137.33000000000001</v>
      </c>
      <c r="D22" s="8">
        <v>984</v>
      </c>
      <c r="E22" s="9">
        <v>2.4999999999999998E-40</v>
      </c>
      <c r="F22" s="9">
        <v>54700</v>
      </c>
      <c r="G22" s="9">
        <v>2.4500000000000001E-2</v>
      </c>
      <c r="I22" s="9"/>
      <c r="J22" s="8">
        <v>1.7</v>
      </c>
      <c r="K22" s="8">
        <v>13.2</v>
      </c>
      <c r="L22" s="8">
        <v>41</v>
      </c>
      <c r="P22" s="8">
        <v>1</v>
      </c>
      <c r="U22" s="8">
        <v>0.15</v>
      </c>
      <c r="V22" s="8">
        <v>0.15</v>
      </c>
      <c r="W22" s="9">
        <v>3.5E-4</v>
      </c>
      <c r="X22" s="9">
        <v>1.4999999999999999E-4</v>
      </c>
      <c r="AB22" s="8">
        <v>0.96079999999999999</v>
      </c>
      <c r="AC22" s="8">
        <v>0.96079999999999999</v>
      </c>
      <c r="AE22" s="9">
        <v>0.2</v>
      </c>
      <c r="AF22" s="9" t="s">
        <v>639</v>
      </c>
      <c r="AI22" s="9"/>
      <c r="AL22" s="8" t="s">
        <v>110</v>
      </c>
      <c r="AM22" s="8" t="s">
        <v>111</v>
      </c>
    </row>
    <row r="23" spans="1:45" x14ac:dyDescent="0.25">
      <c r="A23" s="8" t="s">
        <v>120</v>
      </c>
      <c r="B23" s="8" t="s">
        <v>121</v>
      </c>
      <c r="C23" s="8">
        <v>78.099999999999994</v>
      </c>
      <c r="D23" s="8">
        <v>279</v>
      </c>
      <c r="E23" s="8">
        <v>0.125</v>
      </c>
      <c r="F23" s="8">
        <v>1800</v>
      </c>
      <c r="G23" s="8">
        <v>5.5999999999999999E-3</v>
      </c>
      <c r="H23" s="8">
        <v>8.7999999999999995E-2</v>
      </c>
      <c r="I23" s="9">
        <v>1.0200000000000001E-5</v>
      </c>
      <c r="J23" s="8">
        <v>126</v>
      </c>
      <c r="K23" s="8">
        <v>61.7</v>
      </c>
      <c r="L23" s="8">
        <v>0.12</v>
      </c>
      <c r="M23" s="8">
        <v>4.63</v>
      </c>
      <c r="N23" s="8">
        <v>2.4700000000000002</v>
      </c>
      <c r="O23" s="8">
        <v>15.8</v>
      </c>
      <c r="P23" s="8">
        <v>1</v>
      </c>
      <c r="Q23" s="8">
        <v>9.6199999999999992</v>
      </c>
      <c r="R23" s="8">
        <v>80.099999999999994</v>
      </c>
      <c r="S23" s="8">
        <v>2.37</v>
      </c>
      <c r="T23" s="8">
        <v>2.37</v>
      </c>
      <c r="U23" s="8">
        <v>1.72E-3</v>
      </c>
      <c r="V23" s="8">
        <v>1.72E-3</v>
      </c>
      <c r="W23" s="8">
        <v>7.1199999999999996E-4</v>
      </c>
      <c r="X23" s="8">
        <v>3.3800000000000002E-3</v>
      </c>
      <c r="Y23" s="8">
        <v>4.0899999999999999E-3</v>
      </c>
      <c r="Z23" s="8">
        <v>1.09E-3</v>
      </c>
      <c r="AA23" s="8" t="s">
        <v>44</v>
      </c>
      <c r="AB23" s="8">
        <v>8.26</v>
      </c>
      <c r="AC23" s="8" t="s">
        <v>45</v>
      </c>
      <c r="AD23" s="8" t="s">
        <v>46</v>
      </c>
      <c r="AE23" s="8">
        <v>4.0000000000000001E-3</v>
      </c>
      <c r="AF23" s="8" t="s">
        <v>639</v>
      </c>
      <c r="AG23" s="8">
        <v>5.5E-2</v>
      </c>
      <c r="AH23" s="8" t="s">
        <v>639</v>
      </c>
      <c r="AI23" s="8">
        <v>0.03</v>
      </c>
      <c r="AJ23" s="9">
        <v>7.7999999999999999E-6</v>
      </c>
      <c r="AK23" s="8" t="s">
        <v>49</v>
      </c>
      <c r="AL23" s="8" t="s">
        <v>50</v>
      </c>
      <c r="AM23" s="8" t="s">
        <v>51</v>
      </c>
      <c r="AN23" s="8">
        <v>2.37</v>
      </c>
      <c r="AO23" s="8">
        <v>1.42E-3</v>
      </c>
      <c r="AP23" s="8">
        <v>2.49E-3</v>
      </c>
      <c r="AQ23" s="8" t="s">
        <v>52</v>
      </c>
      <c r="AR23" s="8" t="s">
        <v>53</v>
      </c>
      <c r="AS23" s="8" t="s">
        <v>54</v>
      </c>
    </row>
    <row r="24" spans="1:45" x14ac:dyDescent="0.25">
      <c r="A24" s="10" t="s">
        <v>484</v>
      </c>
      <c r="B24" s="10" t="s">
        <v>485</v>
      </c>
      <c r="C24" s="8">
        <v>184.24</v>
      </c>
      <c r="D24" s="8">
        <v>394</v>
      </c>
      <c r="E24" s="9">
        <v>7.8599999999999993E-6</v>
      </c>
      <c r="F24" s="8">
        <v>3765</v>
      </c>
      <c r="G24" s="9">
        <v>5.7799999999999997E-11</v>
      </c>
      <c r="H24" s="9">
        <v>3.5099999999999999E-2</v>
      </c>
      <c r="I24" s="9">
        <v>7.4800000000000004E-6</v>
      </c>
      <c r="J24" s="8">
        <v>22</v>
      </c>
      <c r="K24" s="9">
        <v>1190</v>
      </c>
      <c r="M24" s="8">
        <f>(0.075*K24)</f>
        <v>89.25</v>
      </c>
      <c r="N24" s="8">
        <f>(0.04*K24)</f>
        <v>47.6</v>
      </c>
      <c r="P24" s="8">
        <v>1</v>
      </c>
      <c r="U24" s="8">
        <v>6.43</v>
      </c>
      <c r="V24" s="8">
        <v>6.43</v>
      </c>
      <c r="W24" s="9">
        <v>1.73E-7</v>
      </c>
      <c r="X24" s="9">
        <v>5.4700000000000001E-7</v>
      </c>
      <c r="Y24" s="9"/>
      <c r="AB24" s="8">
        <v>3.56</v>
      </c>
      <c r="AE24" s="9">
        <v>3.0000000000000001E-3</v>
      </c>
      <c r="AF24" s="8" t="s">
        <v>639</v>
      </c>
      <c r="AG24" s="9">
        <v>230</v>
      </c>
      <c r="AH24" s="8" t="s">
        <v>639</v>
      </c>
      <c r="AJ24" s="9"/>
    </row>
    <row r="25" spans="1:45" x14ac:dyDescent="0.25">
      <c r="A25" s="8" t="s">
        <v>716</v>
      </c>
      <c r="B25" s="8" t="s">
        <v>123</v>
      </c>
      <c r="C25" s="8">
        <v>228</v>
      </c>
      <c r="D25" s="8">
        <v>357</v>
      </c>
      <c r="E25" s="9">
        <v>1.4499999999999999E-10</v>
      </c>
      <c r="F25" s="8">
        <v>9.4000000000000004E-3</v>
      </c>
      <c r="G25" s="9">
        <v>3.4000000000000001E-6</v>
      </c>
      <c r="H25" s="8">
        <v>5.0999999999999997E-2</v>
      </c>
      <c r="I25" s="9">
        <v>9.0000000000000002E-6</v>
      </c>
      <c r="J25" s="8">
        <v>501000</v>
      </c>
      <c r="K25" s="8">
        <v>358000</v>
      </c>
      <c r="L25" s="8">
        <v>60000</v>
      </c>
      <c r="M25" s="8">
        <v>26900</v>
      </c>
      <c r="N25" s="8">
        <v>14300</v>
      </c>
      <c r="O25" s="8">
        <v>0.37</v>
      </c>
      <c r="P25" s="8">
        <v>0.48299999999999998</v>
      </c>
      <c r="Q25" s="8">
        <v>5690</v>
      </c>
      <c r="R25" s="8">
        <v>9.4799999999999995E-2</v>
      </c>
      <c r="S25" s="8">
        <v>1.9699999999999999E-2</v>
      </c>
      <c r="T25" s="8">
        <v>1.9699999999999999E-2</v>
      </c>
      <c r="U25" s="8">
        <v>19300</v>
      </c>
      <c r="V25" s="8">
        <v>19300</v>
      </c>
      <c r="W25" s="8">
        <v>8.4100000000000008E-3</v>
      </c>
      <c r="X25" s="8">
        <v>3.9899999999999998E-2</v>
      </c>
      <c r="Y25" s="8">
        <v>4.8300000000000003E-2</v>
      </c>
      <c r="Z25" s="8">
        <v>3.79</v>
      </c>
      <c r="AA25" s="8" t="s">
        <v>44</v>
      </c>
      <c r="AB25" s="8">
        <v>4890</v>
      </c>
      <c r="AC25" s="8">
        <v>49900</v>
      </c>
      <c r="AD25" s="8" t="s">
        <v>46</v>
      </c>
      <c r="AE25" s="8" t="s">
        <v>56</v>
      </c>
      <c r="AG25" s="8">
        <v>0.34</v>
      </c>
      <c r="AH25" s="8" t="s">
        <v>645</v>
      </c>
      <c r="AI25" s="8" t="s">
        <v>57</v>
      </c>
      <c r="AJ25" s="9">
        <v>3.6000000000000002E-4</v>
      </c>
      <c r="AK25" s="8" t="s">
        <v>49</v>
      </c>
      <c r="AL25" s="8" t="s">
        <v>50</v>
      </c>
      <c r="AM25" s="8" t="s">
        <v>72</v>
      </c>
      <c r="AN25" s="8">
        <v>1.9699999999999999E-2</v>
      </c>
      <c r="AO25" s="8">
        <v>1.6799999999999999E-2</v>
      </c>
      <c r="AP25" s="8">
        <v>2.9399999999999999E-2</v>
      </c>
      <c r="AQ25" s="8" t="s">
        <v>52</v>
      </c>
      <c r="AR25" s="8" t="s">
        <v>53</v>
      </c>
      <c r="AS25" s="8" t="s">
        <v>54</v>
      </c>
    </row>
    <row r="26" spans="1:45" x14ac:dyDescent="0.25">
      <c r="A26" s="8" t="s">
        <v>727</v>
      </c>
      <c r="B26" s="11" t="s">
        <v>728</v>
      </c>
      <c r="C26" s="8">
        <v>252</v>
      </c>
      <c r="D26" s="8">
        <v>441</v>
      </c>
      <c r="E26" s="9">
        <v>1.06E-10</v>
      </c>
      <c r="F26" s="8">
        <v>2E-3</v>
      </c>
      <c r="G26" s="9">
        <v>8.0999999999999997E-7</v>
      </c>
      <c r="H26" s="8">
        <v>2.2800000000000001E-2</v>
      </c>
      <c r="I26" s="9">
        <v>5.49E-6</v>
      </c>
      <c r="J26" s="9">
        <v>1290000</v>
      </c>
      <c r="K26" s="9">
        <v>600000</v>
      </c>
      <c r="L26" s="8">
        <v>8360</v>
      </c>
      <c r="M26" s="8">
        <v>62700</v>
      </c>
      <c r="N26" s="8">
        <v>33400</v>
      </c>
      <c r="O26" s="8">
        <v>0.41499999999999998</v>
      </c>
      <c r="P26" s="8">
        <f>(1-0.0588)</f>
        <v>0.94120000000000004</v>
      </c>
      <c r="Q26" s="8">
        <v>13900</v>
      </c>
      <c r="R26" s="8">
        <v>1.66</v>
      </c>
      <c r="S26" s="8">
        <v>1.01E-2</v>
      </c>
      <c r="T26" s="8">
        <v>1.01E-2</v>
      </c>
      <c r="U26" s="8">
        <v>36500</v>
      </c>
      <c r="V26" s="8">
        <v>36500</v>
      </c>
      <c r="W26" s="8">
        <v>1.2699999999999999E-2</v>
      </c>
      <c r="X26" s="8">
        <v>0.04</v>
      </c>
      <c r="Y26" s="8">
        <v>4.8399999999999999E-2</v>
      </c>
      <c r="Z26" s="8">
        <v>12.7</v>
      </c>
      <c r="AA26" s="8" t="s">
        <v>44</v>
      </c>
      <c r="AB26" s="8">
        <v>9930</v>
      </c>
      <c r="AC26" s="8">
        <v>9950</v>
      </c>
      <c r="AD26" s="8" t="s">
        <v>46</v>
      </c>
      <c r="AE26" s="8" t="s">
        <v>56</v>
      </c>
      <c r="AG26" s="8">
        <v>0.28000000000000003</v>
      </c>
      <c r="AH26" s="8" t="s">
        <v>645</v>
      </c>
      <c r="AI26" s="8" t="s">
        <v>57</v>
      </c>
      <c r="AJ26" s="9">
        <v>5.4000000000000001E-4</v>
      </c>
      <c r="AK26" s="8" t="s">
        <v>49</v>
      </c>
      <c r="AL26" s="8" t="s">
        <v>50</v>
      </c>
      <c r="AM26" s="8" t="s">
        <v>72</v>
      </c>
      <c r="AN26" s="8">
        <v>1.15E-2</v>
      </c>
      <c r="AO26" s="8">
        <v>1.54E-2</v>
      </c>
      <c r="AP26" s="8">
        <v>2.69E-2</v>
      </c>
      <c r="AQ26" s="8" t="s">
        <v>52</v>
      </c>
      <c r="AR26" s="8" t="s">
        <v>53</v>
      </c>
      <c r="AS26" s="8" t="s">
        <v>54</v>
      </c>
    </row>
    <row r="27" spans="1:45" x14ac:dyDescent="0.25">
      <c r="A27" s="8" t="s">
        <v>717</v>
      </c>
      <c r="B27" s="8" t="s">
        <v>125</v>
      </c>
      <c r="C27" s="8">
        <v>252</v>
      </c>
      <c r="D27" s="8">
        <v>453</v>
      </c>
      <c r="E27" s="9">
        <v>7.2399999999999998E-12</v>
      </c>
      <c r="F27" s="8">
        <v>1.6000000000000001E-3</v>
      </c>
      <c r="G27" s="9">
        <v>1.1000000000000001E-6</v>
      </c>
      <c r="H27" s="8">
        <v>4.2999999999999997E-2</v>
      </c>
      <c r="I27" s="9">
        <v>9.0000000000000002E-6</v>
      </c>
      <c r="J27" s="8">
        <v>1000000</v>
      </c>
      <c r="K27" s="8">
        <v>969000</v>
      </c>
      <c r="L27" s="8">
        <v>160000</v>
      </c>
      <c r="M27" s="8">
        <v>72700</v>
      </c>
      <c r="N27" s="8">
        <v>38800</v>
      </c>
      <c r="O27" s="8">
        <v>0.48</v>
      </c>
      <c r="P27" s="8">
        <v>0.29399999999999998</v>
      </c>
      <c r="Q27" s="8">
        <v>9680</v>
      </c>
      <c r="R27" s="8">
        <v>6.0499999999999998E-2</v>
      </c>
      <c r="S27" s="8">
        <v>1.32E-2</v>
      </c>
      <c r="T27" s="8">
        <v>1.32E-2</v>
      </c>
      <c r="U27" s="8">
        <v>125000</v>
      </c>
      <c r="V27" s="8">
        <v>125000</v>
      </c>
      <c r="W27" s="8">
        <v>7.9100000000000004E-3</v>
      </c>
      <c r="X27" s="8">
        <v>3.7600000000000001E-2</v>
      </c>
      <c r="Y27" s="8">
        <v>4.5499999999999999E-2</v>
      </c>
      <c r="Z27" s="8">
        <v>10.7</v>
      </c>
      <c r="AA27" s="8" t="s">
        <v>44</v>
      </c>
      <c r="AB27" s="8">
        <v>961.6</v>
      </c>
      <c r="AC27" s="8">
        <v>1165</v>
      </c>
      <c r="AD27" s="8" t="s">
        <v>46</v>
      </c>
      <c r="AE27" s="8" t="s">
        <v>56</v>
      </c>
      <c r="AG27" s="8">
        <v>1.7</v>
      </c>
      <c r="AH27" s="8" t="s">
        <v>645</v>
      </c>
      <c r="AI27" s="8" t="s">
        <v>57</v>
      </c>
      <c r="AJ27" s="9">
        <v>1.8E-3</v>
      </c>
      <c r="AK27" s="8" t="s">
        <v>49</v>
      </c>
      <c r="AL27" s="8" t="s">
        <v>50</v>
      </c>
      <c r="AM27" s="8" t="s">
        <v>72</v>
      </c>
      <c r="AN27" s="8">
        <v>1.32E-2</v>
      </c>
      <c r="AO27" s="8">
        <v>1.5800000000000002E-2</v>
      </c>
      <c r="AP27" s="8">
        <v>2.7699999999999999E-2</v>
      </c>
      <c r="AQ27" s="8" t="s">
        <v>52</v>
      </c>
      <c r="AR27" s="8" t="s">
        <v>53</v>
      </c>
      <c r="AS27" s="8" t="s">
        <v>54</v>
      </c>
    </row>
    <row r="28" spans="1:45" x14ac:dyDescent="0.25">
      <c r="A28" s="8" t="s">
        <v>729</v>
      </c>
      <c r="B28" s="8" t="s">
        <v>730</v>
      </c>
      <c r="C28" s="8">
        <v>228</v>
      </c>
      <c r="D28" s="8">
        <v>409</v>
      </c>
      <c r="E28" s="9">
        <v>2E-12</v>
      </c>
      <c r="F28" s="8">
        <v>2.6349999999999998E-2</v>
      </c>
      <c r="G28" s="9">
        <v>5.0000000000000004E-6</v>
      </c>
      <c r="I28" s="9"/>
      <c r="J28" s="9">
        <v>330000</v>
      </c>
      <c r="K28" s="9">
        <v>180000</v>
      </c>
      <c r="L28" s="8">
        <v>8360</v>
      </c>
      <c r="M28" s="8">
        <v>62700</v>
      </c>
      <c r="N28" s="8">
        <v>33400</v>
      </c>
      <c r="O28" s="8">
        <v>0.41499999999999998</v>
      </c>
      <c r="P28" s="8">
        <f>(1-0.392)</f>
        <v>0.60799999999999998</v>
      </c>
      <c r="Q28" s="8">
        <v>13900</v>
      </c>
      <c r="R28" s="8">
        <v>1.66</v>
      </c>
      <c r="S28" s="8">
        <v>1.01E-2</v>
      </c>
      <c r="T28" s="8">
        <v>1.01E-2</v>
      </c>
      <c r="U28" s="8">
        <v>36500</v>
      </c>
      <c r="V28" s="8">
        <v>36500</v>
      </c>
      <c r="W28" s="8">
        <v>1.2699999999999999E-2</v>
      </c>
      <c r="X28" s="8">
        <v>0.04</v>
      </c>
      <c r="Y28" s="8">
        <v>4.8399999999999999E-2</v>
      </c>
      <c r="Z28" s="8">
        <v>12.7</v>
      </c>
      <c r="AA28" s="8" t="s">
        <v>44</v>
      </c>
      <c r="AB28" s="8">
        <v>1364</v>
      </c>
      <c r="AC28" s="8">
        <v>1993</v>
      </c>
      <c r="AJ28" s="9"/>
    </row>
    <row r="29" spans="1:45" x14ac:dyDescent="0.25">
      <c r="A29" s="8" t="s">
        <v>718</v>
      </c>
      <c r="B29" s="8" t="s">
        <v>127</v>
      </c>
      <c r="C29" s="8">
        <v>252</v>
      </c>
      <c r="D29" s="8">
        <v>441</v>
      </c>
      <c r="E29" s="9">
        <v>6.58E-10</v>
      </c>
      <c r="F29" s="8">
        <v>1.5E-3</v>
      </c>
      <c r="G29" s="8">
        <v>1.11E-4</v>
      </c>
      <c r="H29" s="8">
        <v>1E-3</v>
      </c>
      <c r="I29" s="9">
        <v>1.0000000000000001E-5</v>
      </c>
      <c r="J29" s="8">
        <v>1330000</v>
      </c>
      <c r="K29" s="8">
        <v>1050000</v>
      </c>
      <c r="L29" s="8">
        <v>10500</v>
      </c>
      <c r="M29" s="8">
        <v>78600</v>
      </c>
      <c r="N29" s="8">
        <v>41900</v>
      </c>
      <c r="O29" s="8">
        <v>0.41</v>
      </c>
      <c r="P29" s="8">
        <v>0.96599999999999997</v>
      </c>
      <c r="Q29" s="8">
        <v>12100</v>
      </c>
      <c r="R29" s="8">
        <v>1.1499999999999999</v>
      </c>
      <c r="S29" s="8">
        <v>1.12E-2</v>
      </c>
      <c r="T29" s="8">
        <v>1.12E-2</v>
      </c>
      <c r="U29" s="8">
        <v>1680</v>
      </c>
      <c r="V29" s="8">
        <v>1680</v>
      </c>
      <c r="W29" s="8">
        <v>7.62E-3</v>
      </c>
      <c r="X29" s="8">
        <v>3.6200000000000003E-2</v>
      </c>
      <c r="Y29" s="8">
        <v>4.3799999999999999E-2</v>
      </c>
      <c r="Z29" s="8">
        <v>12.7</v>
      </c>
      <c r="AA29" s="8" t="s">
        <v>44</v>
      </c>
      <c r="AB29" s="8">
        <v>10400</v>
      </c>
      <c r="AC29" s="8">
        <v>206000</v>
      </c>
      <c r="AD29" s="8" t="s">
        <v>46</v>
      </c>
      <c r="AE29" s="8" t="s">
        <v>56</v>
      </c>
      <c r="AG29" s="8">
        <v>1.4</v>
      </c>
      <c r="AH29" s="8" t="s">
        <v>645</v>
      </c>
      <c r="AI29" s="8" t="s">
        <v>57</v>
      </c>
      <c r="AJ29" s="9">
        <v>1.4E-3</v>
      </c>
      <c r="AK29" s="8" t="s">
        <v>49</v>
      </c>
      <c r="AL29" s="8" t="s">
        <v>50</v>
      </c>
      <c r="AM29" s="8" t="s">
        <v>72</v>
      </c>
      <c r="AN29" s="8">
        <v>1.12E-2</v>
      </c>
      <c r="AO29" s="8">
        <v>1.52E-2</v>
      </c>
      <c r="AP29" s="8">
        <v>2.6700000000000002E-2</v>
      </c>
      <c r="AQ29" s="8" t="s">
        <v>52</v>
      </c>
      <c r="AR29" s="8" t="s">
        <v>53</v>
      </c>
      <c r="AS29" s="8" t="s">
        <v>54</v>
      </c>
    </row>
    <row r="30" spans="1:45" x14ac:dyDescent="0.25">
      <c r="A30" s="10" t="s">
        <v>586</v>
      </c>
      <c r="B30" s="10" t="s">
        <v>129</v>
      </c>
      <c r="C30" s="8">
        <v>252</v>
      </c>
      <c r="D30" s="8">
        <v>451</v>
      </c>
      <c r="E30" s="9">
        <v>2.5400000000000001E-11</v>
      </c>
      <c r="F30" s="8">
        <v>5.64E-3</v>
      </c>
      <c r="G30" s="9">
        <v>8.0999999999999997E-7</v>
      </c>
      <c r="H30" s="8">
        <v>4.2999999999999997E-2</v>
      </c>
      <c r="I30" s="9">
        <v>9.0000000000000002E-6</v>
      </c>
      <c r="J30" s="9">
        <v>2800000</v>
      </c>
      <c r="K30" s="9">
        <v>599000</v>
      </c>
      <c r="L30" s="8">
        <v>160000</v>
      </c>
      <c r="M30" s="8">
        <f>(0.075*K30)</f>
        <v>44925</v>
      </c>
      <c r="N30" s="8">
        <f>(0.04*K30)</f>
        <v>23960</v>
      </c>
      <c r="O30" s="8">
        <v>0.48</v>
      </c>
      <c r="P30" s="8">
        <v>0.29399999999999998</v>
      </c>
      <c r="Q30" s="8">
        <v>9680</v>
      </c>
      <c r="R30" s="8">
        <v>6.0499999999999998E-2</v>
      </c>
      <c r="S30" s="8">
        <v>1.32E-2</v>
      </c>
      <c r="T30" s="8">
        <v>1.32E-2</v>
      </c>
      <c r="U30" s="8">
        <v>125000</v>
      </c>
      <c r="V30" s="8">
        <v>125000</v>
      </c>
      <c r="W30" s="8">
        <v>7.9100000000000004E-3</v>
      </c>
      <c r="X30" s="8">
        <v>3.7600000000000001E-2</v>
      </c>
      <c r="Y30" s="8">
        <v>4.5499999999999999E-2</v>
      </c>
      <c r="Z30" s="8">
        <v>10.7</v>
      </c>
      <c r="AA30" s="8" t="s">
        <v>44</v>
      </c>
      <c r="AB30" s="8">
        <v>8320</v>
      </c>
      <c r="AC30" s="8">
        <v>133000</v>
      </c>
      <c r="AD30" s="8" t="s">
        <v>46</v>
      </c>
      <c r="AE30" s="8" t="s">
        <v>56</v>
      </c>
      <c r="AG30" s="8" t="s">
        <v>47</v>
      </c>
      <c r="AI30" s="8" t="s">
        <v>57</v>
      </c>
      <c r="AJ30" s="8" t="s">
        <v>48</v>
      </c>
      <c r="AK30" s="8" t="s">
        <v>49</v>
      </c>
      <c r="AL30" s="8" t="s">
        <v>50</v>
      </c>
      <c r="AM30" s="8" t="s">
        <v>72</v>
      </c>
      <c r="AN30" s="8">
        <v>1.32E-2</v>
      </c>
      <c r="AO30" s="8">
        <v>1.5800000000000002E-2</v>
      </c>
      <c r="AP30" s="8">
        <v>2.7699999999999999E-2</v>
      </c>
      <c r="AQ30" s="8" t="s">
        <v>52</v>
      </c>
      <c r="AR30" s="8" t="s">
        <v>53</v>
      </c>
      <c r="AS30" s="8" t="s">
        <v>54</v>
      </c>
    </row>
    <row r="31" spans="1:45" x14ac:dyDescent="0.25">
      <c r="A31" s="10" t="s">
        <v>587</v>
      </c>
      <c r="B31" s="10" t="s">
        <v>131</v>
      </c>
      <c r="C31" s="8">
        <v>226.28</v>
      </c>
      <c r="D31" s="8">
        <v>427</v>
      </c>
      <c r="E31" s="9">
        <f t="shared" ref="E31:K31" si="0">AVERAGE(E34:E35)</f>
        <v>1.8465000000000001E-11</v>
      </c>
      <c r="F31" s="9">
        <f t="shared" si="0"/>
        <v>5.8050000000000003E-3</v>
      </c>
      <c r="G31" s="9">
        <f t="shared" si="0"/>
        <v>8.1500000000000003E-7</v>
      </c>
      <c r="H31" s="9">
        <f t="shared" si="0"/>
        <v>2.4300000000000002E-2</v>
      </c>
      <c r="I31" s="9">
        <f t="shared" si="0"/>
        <v>7.7800000000000001E-6</v>
      </c>
      <c r="J31" s="9">
        <f t="shared" si="0"/>
        <v>1275000</v>
      </c>
      <c r="K31" s="9">
        <f t="shared" si="0"/>
        <v>795500</v>
      </c>
      <c r="L31" s="8">
        <v>10500</v>
      </c>
      <c r="M31" s="9">
        <f>AVERAGE(M34:M35)</f>
        <v>59662.5</v>
      </c>
      <c r="N31" s="9">
        <f>AVERAGE(N34:N35)</f>
        <v>31830</v>
      </c>
      <c r="O31" s="8">
        <v>0.12</v>
      </c>
      <c r="P31" s="9">
        <f>AVERAGE(P34:P35)</f>
        <v>0.3755</v>
      </c>
      <c r="Q31" s="8">
        <v>12100</v>
      </c>
      <c r="R31" s="8">
        <v>1.1499999999999999</v>
      </c>
      <c r="S31" s="8">
        <v>1.12E-2</v>
      </c>
      <c r="T31" s="8">
        <v>1.12E-2</v>
      </c>
      <c r="U31" s="9">
        <f>AVERAGE(U34:U35)</f>
        <v>105500.0055</v>
      </c>
      <c r="V31" s="9">
        <f>AVERAGE(V34:V35)</f>
        <v>105500.0055</v>
      </c>
      <c r="W31" s="9">
        <f>AVERAGE(W34:W35)</f>
        <v>8.94E-3</v>
      </c>
      <c r="X31" s="9">
        <f>AVERAGE(X34:X35)</f>
        <v>3.4349999999999999E-2</v>
      </c>
      <c r="Y31" s="8">
        <v>4.3799999999999999E-2</v>
      </c>
      <c r="Z31" s="8">
        <v>12.7</v>
      </c>
      <c r="AA31" s="8" t="s">
        <v>44</v>
      </c>
      <c r="AB31" s="9">
        <f>AVERAGE(AB34:AB35)</f>
        <v>7460</v>
      </c>
      <c r="AC31" s="8">
        <v>177000</v>
      </c>
      <c r="AD31" s="8" t="s">
        <v>46</v>
      </c>
      <c r="AE31" s="8" t="s">
        <v>56</v>
      </c>
      <c r="AG31" s="8" t="s">
        <v>47</v>
      </c>
      <c r="AI31" s="8" t="s">
        <v>57</v>
      </c>
      <c r="AJ31" s="8" t="s">
        <v>48</v>
      </c>
      <c r="AK31" s="8" t="s">
        <v>49</v>
      </c>
      <c r="AL31" s="8" t="s">
        <v>50</v>
      </c>
      <c r="AM31" s="8" t="s">
        <v>72</v>
      </c>
      <c r="AN31" s="8">
        <v>1.15E-2</v>
      </c>
      <c r="AO31" s="8">
        <v>1.54E-2</v>
      </c>
      <c r="AP31" s="8">
        <v>2.69E-2</v>
      </c>
      <c r="AQ31" s="8" t="s">
        <v>52</v>
      </c>
      <c r="AR31" s="8" t="s">
        <v>53</v>
      </c>
      <c r="AS31" s="8" t="s">
        <v>54</v>
      </c>
    </row>
    <row r="32" spans="1:45" x14ac:dyDescent="0.25">
      <c r="A32" s="10" t="s">
        <v>588</v>
      </c>
      <c r="B32" s="10" t="s">
        <v>133</v>
      </c>
      <c r="C32" s="8">
        <v>276.33</v>
      </c>
      <c r="D32" s="8">
        <v>551</v>
      </c>
      <c r="E32" s="9">
        <v>1.31E-13</v>
      </c>
      <c r="F32" s="9">
        <v>2.5999999999999998E-4</v>
      </c>
      <c r="G32" s="9">
        <v>2.6600000000000003E-7</v>
      </c>
      <c r="H32" s="9">
        <v>4.48E-2</v>
      </c>
      <c r="I32" s="9">
        <v>5.2299999999999999E-6</v>
      </c>
      <c r="J32" s="9">
        <v>4270000</v>
      </c>
      <c r="K32" s="9">
        <v>1950000</v>
      </c>
      <c r="L32" s="8">
        <v>160000</v>
      </c>
      <c r="M32" s="8">
        <f>(0.075*K32)</f>
        <v>146250</v>
      </c>
      <c r="N32" s="8">
        <f>(0.04*K32)</f>
        <v>78000</v>
      </c>
      <c r="O32" s="8">
        <v>0.48</v>
      </c>
      <c r="P32" s="8">
        <v>0.29399999999999998</v>
      </c>
      <c r="Q32" s="8">
        <v>9680</v>
      </c>
      <c r="R32" s="8">
        <v>6.0499999999999998E-2</v>
      </c>
      <c r="S32" s="8">
        <v>1.32E-2</v>
      </c>
      <c r="T32" s="8">
        <v>1.32E-2</v>
      </c>
      <c r="U32" s="9">
        <v>5.4999999999999997E-3</v>
      </c>
      <c r="V32" s="9">
        <v>5.4999999999999997E-3</v>
      </c>
      <c r="W32" s="9">
        <v>3.3700000000000001E-2</v>
      </c>
      <c r="X32" s="9">
        <v>0.10100000000000001</v>
      </c>
      <c r="Y32" s="8">
        <v>4.5499999999999999E-2</v>
      </c>
      <c r="Z32" s="8">
        <v>10.7</v>
      </c>
      <c r="AA32" s="8" t="s">
        <v>44</v>
      </c>
      <c r="AB32" s="9">
        <v>11000</v>
      </c>
      <c r="AC32" s="8">
        <v>133000</v>
      </c>
      <c r="AD32" s="8" t="s">
        <v>46</v>
      </c>
      <c r="AE32" s="8" t="s">
        <v>56</v>
      </c>
      <c r="AG32" s="8">
        <v>1.4999999999999999E-2</v>
      </c>
      <c r="AH32" s="8" t="s">
        <v>645</v>
      </c>
      <c r="AI32" s="8" t="s">
        <v>57</v>
      </c>
      <c r="AJ32" s="9">
        <v>1.5999999999999999E-5</v>
      </c>
      <c r="AK32" s="8" t="s">
        <v>49</v>
      </c>
      <c r="AL32" s="8" t="s">
        <v>50</v>
      </c>
      <c r="AM32" s="8" t="s">
        <v>72</v>
      </c>
      <c r="AN32" s="8">
        <v>1.32E-2</v>
      </c>
      <c r="AO32" s="8">
        <v>1.5800000000000002E-2</v>
      </c>
      <c r="AP32" s="8">
        <v>2.7699999999999999E-2</v>
      </c>
      <c r="AQ32" s="8" t="s">
        <v>52</v>
      </c>
      <c r="AR32" s="8" t="s">
        <v>53</v>
      </c>
      <c r="AS32" s="8" t="s">
        <v>54</v>
      </c>
    </row>
    <row r="33" spans="1:45" x14ac:dyDescent="0.25">
      <c r="A33" s="10" t="s">
        <v>725</v>
      </c>
      <c r="B33" s="10" t="s">
        <v>726</v>
      </c>
      <c r="C33" s="8">
        <v>252</v>
      </c>
      <c r="D33" s="8">
        <v>441</v>
      </c>
      <c r="E33" s="9">
        <v>1.06E-10</v>
      </c>
      <c r="F33" s="8">
        <v>4.3299999999999996E-3</v>
      </c>
      <c r="G33" s="9">
        <v>6.1800000000000001E-6</v>
      </c>
      <c r="H33" s="8">
        <v>2.2800000000000001E-2</v>
      </c>
      <c r="I33" s="9">
        <v>5.49E-6</v>
      </c>
      <c r="J33" s="8">
        <v>1590000</v>
      </c>
      <c r="K33" s="8">
        <v>836000</v>
      </c>
      <c r="L33" s="8">
        <v>8360</v>
      </c>
      <c r="M33" s="8">
        <v>62700</v>
      </c>
      <c r="N33" s="8">
        <v>33400</v>
      </c>
      <c r="O33" s="8">
        <v>0.41499999999999998</v>
      </c>
      <c r="P33" s="8">
        <v>0.82199999999999995</v>
      </c>
      <c r="Q33" s="8">
        <v>13900</v>
      </c>
      <c r="R33" s="8">
        <v>1.66</v>
      </c>
      <c r="S33" s="8">
        <v>1.01E-2</v>
      </c>
      <c r="T33" s="8">
        <v>1.01E-2</v>
      </c>
      <c r="U33" s="8">
        <v>36500</v>
      </c>
      <c r="V33" s="8">
        <v>36500</v>
      </c>
      <c r="W33" s="8">
        <v>1.2699999999999999E-2</v>
      </c>
      <c r="X33" s="8">
        <v>0.04</v>
      </c>
      <c r="Y33" s="8">
        <v>4.8399999999999999E-2</v>
      </c>
      <c r="Z33" s="8">
        <v>12.7</v>
      </c>
      <c r="AA33" s="8" t="s">
        <v>44</v>
      </c>
      <c r="AB33" s="8">
        <v>9930</v>
      </c>
      <c r="AC33" s="8">
        <v>9950</v>
      </c>
      <c r="AD33" s="8" t="s">
        <v>46</v>
      </c>
      <c r="AE33" s="8" t="s">
        <v>56</v>
      </c>
      <c r="AG33" s="8">
        <v>0.28000000000000003</v>
      </c>
      <c r="AH33" s="8" t="s">
        <v>645</v>
      </c>
      <c r="AI33" s="8" t="s">
        <v>57</v>
      </c>
      <c r="AJ33" s="9">
        <v>5.4000000000000001E-4</v>
      </c>
      <c r="AK33" s="8" t="s">
        <v>49</v>
      </c>
      <c r="AL33" s="8" t="s">
        <v>50</v>
      </c>
      <c r="AM33" s="8" t="s">
        <v>72</v>
      </c>
      <c r="AN33" s="8">
        <v>1.15E-2</v>
      </c>
      <c r="AO33" s="8">
        <v>1.54E-2</v>
      </c>
      <c r="AP33" s="8">
        <v>2.69E-2</v>
      </c>
      <c r="AQ33" s="8" t="s">
        <v>52</v>
      </c>
      <c r="AR33" s="8" t="s">
        <v>53</v>
      </c>
      <c r="AS33" s="8" t="s">
        <v>54</v>
      </c>
    </row>
    <row r="34" spans="1:45" x14ac:dyDescent="0.25">
      <c r="A34" s="10" t="s">
        <v>589</v>
      </c>
      <c r="B34" s="10" t="s">
        <v>135</v>
      </c>
      <c r="C34" s="8">
        <v>252.32</v>
      </c>
      <c r="D34" s="8">
        <v>443</v>
      </c>
      <c r="E34" s="9">
        <v>3.43E-11</v>
      </c>
      <c r="F34" s="8">
        <v>1.081E-2</v>
      </c>
      <c r="G34" s="9">
        <v>7.9999999999999996E-7</v>
      </c>
      <c r="H34" s="9">
        <v>4.7600000000000003E-2</v>
      </c>
      <c r="I34" s="9">
        <v>5.5600000000000001E-6</v>
      </c>
      <c r="J34" s="9">
        <v>1290000</v>
      </c>
      <c r="K34" s="9">
        <v>599000</v>
      </c>
      <c r="L34" s="8">
        <v>190000</v>
      </c>
      <c r="M34" s="8">
        <f>(0.075*K34)</f>
        <v>44925</v>
      </c>
      <c r="N34" s="8">
        <f>(0.04*K34)</f>
        <v>23960</v>
      </c>
      <c r="O34" s="8">
        <v>0.12</v>
      </c>
      <c r="P34" s="8">
        <f>(1-0.522)</f>
        <v>0.47799999999999998</v>
      </c>
      <c r="Q34" s="8">
        <v>12100</v>
      </c>
      <c r="R34" s="8">
        <v>1.1499999999999999</v>
      </c>
      <c r="S34" s="8">
        <v>1.12E-2</v>
      </c>
      <c r="T34" s="8">
        <v>1.12E-2</v>
      </c>
      <c r="U34" s="9">
        <v>1.0999999999999999E-2</v>
      </c>
      <c r="V34" s="9">
        <v>1.0999999999999999E-2</v>
      </c>
      <c r="W34" s="9">
        <v>1.0200000000000001E-2</v>
      </c>
      <c r="X34" s="9">
        <v>3.2199999999999999E-2</v>
      </c>
      <c r="Y34" s="8">
        <v>4.3799999999999999E-2</v>
      </c>
      <c r="Z34" s="8">
        <v>12.7</v>
      </c>
      <c r="AA34" s="8" t="s">
        <v>44</v>
      </c>
      <c r="AB34" s="9">
        <v>4990</v>
      </c>
      <c r="AC34" s="8">
        <v>177000</v>
      </c>
      <c r="AD34" s="8" t="s">
        <v>46</v>
      </c>
      <c r="AE34" s="8" t="s">
        <v>56</v>
      </c>
      <c r="AG34" s="8">
        <v>0.5</v>
      </c>
      <c r="AH34" s="8" t="s">
        <v>645</v>
      </c>
      <c r="AI34" s="8" t="s">
        <v>57</v>
      </c>
      <c r="AJ34" s="9">
        <v>5.4000000000000001E-4</v>
      </c>
      <c r="AK34" s="8" t="s">
        <v>49</v>
      </c>
      <c r="AL34" s="8" t="s">
        <v>50</v>
      </c>
      <c r="AM34" s="8" t="s">
        <v>72</v>
      </c>
      <c r="AN34" s="8">
        <v>1.15E-2</v>
      </c>
      <c r="AO34" s="8">
        <v>1.54E-2</v>
      </c>
      <c r="AP34" s="8">
        <v>2.69E-2</v>
      </c>
      <c r="AQ34" s="8" t="s">
        <v>52</v>
      </c>
      <c r="AR34" s="8" t="s">
        <v>53</v>
      </c>
      <c r="AS34" s="8" t="s">
        <v>54</v>
      </c>
    </row>
    <row r="35" spans="1:45" x14ac:dyDescent="0.25">
      <c r="A35" s="10" t="s">
        <v>719</v>
      </c>
      <c r="B35" s="10" t="s">
        <v>137</v>
      </c>
      <c r="C35" s="8">
        <v>252</v>
      </c>
      <c r="D35" s="8">
        <v>493</v>
      </c>
      <c r="E35" s="9">
        <v>2.6299999999999999E-12</v>
      </c>
      <c r="F35" s="8">
        <v>8.0000000000000004E-4</v>
      </c>
      <c r="G35" s="9">
        <v>8.2999999999999999E-7</v>
      </c>
      <c r="H35" s="8">
        <v>1E-3</v>
      </c>
      <c r="I35" s="9">
        <v>1.0000000000000001E-5</v>
      </c>
      <c r="J35" s="8">
        <v>1260000</v>
      </c>
      <c r="K35" s="8">
        <v>992000</v>
      </c>
      <c r="L35" s="8">
        <v>190000</v>
      </c>
      <c r="M35" s="8">
        <v>74400</v>
      </c>
      <c r="N35" s="8">
        <v>39700</v>
      </c>
      <c r="O35" s="8">
        <v>0.12</v>
      </c>
      <c r="P35" s="8">
        <v>0.27300000000000002</v>
      </c>
      <c r="Q35" s="8">
        <v>11600</v>
      </c>
      <c r="R35" s="8">
        <v>6.0900000000000003E-2</v>
      </c>
      <c r="S35" s="8">
        <v>1.15E-2</v>
      </c>
      <c r="T35" s="8">
        <v>1.15E-2</v>
      </c>
      <c r="U35" s="8">
        <v>211000</v>
      </c>
      <c r="V35" s="8">
        <v>211000</v>
      </c>
      <c r="W35" s="8">
        <v>7.6800000000000002E-3</v>
      </c>
      <c r="X35" s="8">
        <v>3.6499999999999998E-2</v>
      </c>
      <c r="Y35" s="8">
        <v>4.4200000000000003E-2</v>
      </c>
      <c r="Z35" s="8">
        <v>12.6</v>
      </c>
      <c r="AA35" s="8" t="s">
        <v>44</v>
      </c>
      <c r="AB35" s="8">
        <v>9930</v>
      </c>
      <c r="AC35" s="8">
        <v>177000</v>
      </c>
      <c r="AD35" s="8" t="s">
        <v>46</v>
      </c>
      <c r="AE35" s="8" t="s">
        <v>56</v>
      </c>
      <c r="AG35" s="8">
        <v>5.0999999999999997E-2</v>
      </c>
      <c r="AH35" s="8" t="s">
        <v>645</v>
      </c>
      <c r="AI35" s="8" t="s">
        <v>57</v>
      </c>
      <c r="AJ35" s="9">
        <v>5.3999999999999998E-5</v>
      </c>
      <c r="AK35" s="8" t="s">
        <v>49</v>
      </c>
      <c r="AL35" s="8" t="s">
        <v>50</v>
      </c>
      <c r="AM35" s="8" t="s">
        <v>72</v>
      </c>
      <c r="AN35" s="8">
        <v>1.15E-2</v>
      </c>
      <c r="AO35" s="8">
        <v>1.54E-2</v>
      </c>
      <c r="AP35" s="8">
        <v>2.69E-2</v>
      </c>
      <c r="AQ35" s="8" t="s">
        <v>52</v>
      </c>
      <c r="AR35" s="8" t="s">
        <v>53</v>
      </c>
      <c r="AS35" s="8" t="s">
        <v>54</v>
      </c>
    </row>
    <row r="36" spans="1:45" x14ac:dyDescent="0.25">
      <c r="A36" s="8" t="s">
        <v>685</v>
      </c>
      <c r="B36" s="8" t="s">
        <v>139</v>
      </c>
      <c r="C36" s="8">
        <v>252</v>
      </c>
      <c r="D36" s="8">
        <v>441</v>
      </c>
      <c r="E36" s="9">
        <v>1.06E-10</v>
      </c>
      <c r="F36" s="8">
        <v>4.3299999999999996E-3</v>
      </c>
      <c r="G36" s="9">
        <v>6.1800000000000001E-6</v>
      </c>
      <c r="H36" s="8">
        <v>2.2800000000000001E-2</v>
      </c>
      <c r="I36" s="9">
        <v>5.49E-6</v>
      </c>
      <c r="J36" s="8">
        <v>1590000</v>
      </c>
      <c r="K36" s="8">
        <v>836000</v>
      </c>
      <c r="L36" s="8">
        <v>8360</v>
      </c>
      <c r="M36" s="8">
        <v>62700</v>
      </c>
      <c r="N36" s="8">
        <v>33400</v>
      </c>
      <c r="O36" s="8">
        <v>0.41499999999999998</v>
      </c>
      <c r="P36" s="8">
        <v>0.82199999999999995</v>
      </c>
      <c r="Q36" s="8">
        <v>13900</v>
      </c>
      <c r="R36" s="8">
        <v>1.66</v>
      </c>
      <c r="S36" s="8">
        <v>1.01E-2</v>
      </c>
      <c r="T36" s="8">
        <v>1.01E-2</v>
      </c>
      <c r="U36" s="8">
        <v>36500</v>
      </c>
      <c r="V36" s="8">
        <v>36500</v>
      </c>
      <c r="W36" s="8">
        <v>1.2699999999999999E-2</v>
      </c>
      <c r="X36" s="8">
        <v>0.04</v>
      </c>
      <c r="Y36" s="8">
        <v>4.8399999999999999E-2</v>
      </c>
      <c r="Z36" s="8">
        <v>12.7</v>
      </c>
      <c r="AA36" s="8" t="s">
        <v>44</v>
      </c>
      <c r="AB36" s="8">
        <v>9930</v>
      </c>
      <c r="AC36" s="8">
        <v>9950</v>
      </c>
      <c r="AD36" s="8" t="s">
        <v>46</v>
      </c>
      <c r="AE36" s="8" t="s">
        <v>56</v>
      </c>
      <c r="AG36" s="8">
        <v>0.28000000000000003</v>
      </c>
      <c r="AH36" s="8" t="s">
        <v>645</v>
      </c>
      <c r="AI36" s="8" t="s">
        <v>57</v>
      </c>
      <c r="AJ36" s="9">
        <v>5.4000000000000001E-4</v>
      </c>
      <c r="AK36" s="8" t="s">
        <v>49</v>
      </c>
      <c r="AL36" s="8" t="s">
        <v>50</v>
      </c>
      <c r="AM36" s="8" t="s">
        <v>72</v>
      </c>
      <c r="AN36" s="8">
        <v>1.15E-2</v>
      </c>
      <c r="AO36" s="8">
        <v>1.54E-2</v>
      </c>
      <c r="AP36" s="8">
        <v>2.69E-2</v>
      </c>
      <c r="AQ36" s="8" t="s">
        <v>52</v>
      </c>
      <c r="AR36" s="8" t="s">
        <v>53</v>
      </c>
      <c r="AS36" s="8" t="s">
        <v>54</v>
      </c>
    </row>
    <row r="37" spans="1:45" x14ac:dyDescent="0.25">
      <c r="A37" s="8" t="s">
        <v>140</v>
      </c>
      <c r="B37" s="8" t="s">
        <v>141</v>
      </c>
      <c r="C37" s="8">
        <v>127</v>
      </c>
      <c r="D37" s="8">
        <v>234</v>
      </c>
      <c r="E37" s="8">
        <v>1.72E-3</v>
      </c>
      <c r="F37" s="8">
        <v>525</v>
      </c>
      <c r="G37" s="8">
        <v>4.15E-4</v>
      </c>
      <c r="H37" s="8">
        <v>7.4999999999999997E-2</v>
      </c>
      <c r="I37" s="9">
        <v>7.7999999999999999E-6</v>
      </c>
      <c r="J37" s="8">
        <v>200</v>
      </c>
      <c r="K37" s="8">
        <v>182</v>
      </c>
      <c r="L37" s="8">
        <v>1.82</v>
      </c>
      <c r="M37" s="8">
        <v>13.7</v>
      </c>
      <c r="N37" s="8">
        <v>7.3</v>
      </c>
      <c r="O37" s="8">
        <v>20.9</v>
      </c>
      <c r="P37" s="8">
        <v>1</v>
      </c>
      <c r="Q37" s="8">
        <v>13.7</v>
      </c>
      <c r="R37" s="8">
        <v>7.51</v>
      </c>
      <c r="S37" s="8">
        <v>1.81</v>
      </c>
      <c r="T37" s="8">
        <v>1.81</v>
      </c>
      <c r="U37" s="8">
        <v>3.7900000000000003E-2</v>
      </c>
      <c r="V37" s="8">
        <v>3.7900000000000003E-2</v>
      </c>
      <c r="W37" s="8">
        <v>9.5399999999999999E-4</v>
      </c>
      <c r="X37" s="8">
        <v>4.5300000000000002E-3</v>
      </c>
      <c r="Y37" s="8">
        <v>5.4799999999999996E-3</v>
      </c>
      <c r="Z37" s="9">
        <v>1.8300000000000001E-5</v>
      </c>
      <c r="AA37" s="8" t="s">
        <v>44</v>
      </c>
      <c r="AB37" s="8">
        <v>11.8</v>
      </c>
      <c r="AC37" s="8" t="s">
        <v>45</v>
      </c>
      <c r="AD37" s="8" t="s">
        <v>46</v>
      </c>
      <c r="AE37" s="8">
        <v>2E-3</v>
      </c>
      <c r="AF37" s="8" t="s">
        <v>644</v>
      </c>
      <c r="AG37" s="8">
        <v>0.17</v>
      </c>
      <c r="AH37" s="8" t="s">
        <v>639</v>
      </c>
      <c r="AI37" s="8">
        <v>1E-3</v>
      </c>
      <c r="AJ37" s="9">
        <v>4.8999999999999998E-5</v>
      </c>
      <c r="AK37" s="8" t="s">
        <v>49</v>
      </c>
      <c r="AL37" s="8" t="s">
        <v>50</v>
      </c>
      <c r="AM37" s="8" t="s">
        <v>51</v>
      </c>
      <c r="AN37" s="8">
        <v>1.81</v>
      </c>
      <c r="AO37" s="8">
        <v>1.91E-3</v>
      </c>
      <c r="AP37" s="8">
        <v>3.3400000000000001E-3</v>
      </c>
      <c r="AQ37" s="8" t="s">
        <v>52</v>
      </c>
      <c r="AR37" s="8" t="s">
        <v>53</v>
      </c>
      <c r="AS37" s="8" t="s">
        <v>54</v>
      </c>
    </row>
    <row r="38" spans="1:45" x14ac:dyDescent="0.25">
      <c r="A38" s="8" t="s">
        <v>142</v>
      </c>
      <c r="B38" s="8" t="s">
        <v>143</v>
      </c>
      <c r="C38" s="8">
        <v>9.01</v>
      </c>
      <c r="D38" s="8">
        <v>1570</v>
      </c>
      <c r="E38" s="8">
        <v>0</v>
      </c>
      <c r="F38" s="8">
        <v>149000</v>
      </c>
      <c r="G38" s="8">
        <v>1.4999999999999999E-2</v>
      </c>
      <c r="H38" s="8">
        <v>7.7200000000000005E-2</v>
      </c>
      <c r="I38" s="9">
        <v>9.5699999999999999E-6</v>
      </c>
      <c r="J38" s="8">
        <v>0.26900000000000002</v>
      </c>
      <c r="K38" s="8" t="s">
        <v>44</v>
      </c>
      <c r="L38" s="8">
        <v>790</v>
      </c>
      <c r="M38" s="8">
        <v>790</v>
      </c>
      <c r="N38" s="8">
        <v>790</v>
      </c>
      <c r="O38" s="8" t="s">
        <v>57</v>
      </c>
      <c r="P38" s="8">
        <v>0</v>
      </c>
      <c r="Q38" s="8" t="s">
        <v>57</v>
      </c>
      <c r="R38" s="8">
        <v>1.5E-3</v>
      </c>
      <c r="S38" s="8">
        <v>2.5799999999999998E-3</v>
      </c>
      <c r="T38" s="8">
        <v>0.01</v>
      </c>
      <c r="U38" s="8" t="s">
        <v>57</v>
      </c>
      <c r="V38" s="8" t="s">
        <v>57</v>
      </c>
      <c r="W38" s="9">
        <v>8.9999999999999996E-7</v>
      </c>
      <c r="X38" s="8">
        <v>1E-3</v>
      </c>
      <c r="Y38" s="8" t="s">
        <v>62</v>
      </c>
      <c r="Z38" s="8" t="s">
        <v>44</v>
      </c>
      <c r="AA38" s="8" t="s">
        <v>44</v>
      </c>
      <c r="AB38" s="8">
        <v>62</v>
      </c>
      <c r="AC38" s="8" t="s">
        <v>45</v>
      </c>
      <c r="AD38" s="8" t="s">
        <v>46</v>
      </c>
      <c r="AE38" s="8">
        <v>2E-3</v>
      </c>
      <c r="AF38" s="8" t="s">
        <v>639</v>
      </c>
      <c r="AH38" s="8" t="s">
        <v>646</v>
      </c>
      <c r="AI38" s="9">
        <v>2.0000000000000002E-5</v>
      </c>
      <c r="AJ38" s="8">
        <v>2.3999999999999998E-3</v>
      </c>
      <c r="AK38" s="8" t="s">
        <v>49</v>
      </c>
      <c r="AL38" s="8" t="s">
        <v>110</v>
      </c>
      <c r="AM38" s="8" t="s">
        <v>111</v>
      </c>
      <c r="AN38" s="8">
        <v>1.5E-3</v>
      </c>
      <c r="AO38" s="8" t="s">
        <v>44</v>
      </c>
      <c r="AP38" s="8" t="s">
        <v>44</v>
      </c>
      <c r="AQ38" s="8" t="s">
        <v>52</v>
      </c>
      <c r="AR38" s="8" t="s">
        <v>53</v>
      </c>
      <c r="AS38" s="8" t="s">
        <v>54</v>
      </c>
    </row>
    <row r="39" spans="1:45" x14ac:dyDescent="0.25">
      <c r="A39" s="8" t="s">
        <v>631</v>
      </c>
      <c r="B39" s="8" t="s">
        <v>144</v>
      </c>
      <c r="C39" s="8">
        <v>154</v>
      </c>
      <c r="D39" s="8">
        <v>342</v>
      </c>
      <c r="E39" s="9">
        <v>1.1800000000000001E-5</v>
      </c>
      <c r="F39" s="8">
        <v>6.94</v>
      </c>
      <c r="G39" s="8">
        <v>2.6200000000000003E-4</v>
      </c>
      <c r="H39" s="8">
        <v>6.6100000000000006E-2</v>
      </c>
      <c r="I39" s="9">
        <v>7.6499999999999996E-6</v>
      </c>
      <c r="J39" s="8">
        <v>9550</v>
      </c>
      <c r="K39" s="8">
        <v>8180</v>
      </c>
      <c r="L39" s="8">
        <v>81.8</v>
      </c>
      <c r="M39" s="8">
        <v>613</v>
      </c>
      <c r="N39" s="8">
        <v>327</v>
      </c>
      <c r="O39" s="8">
        <v>36.1</v>
      </c>
      <c r="P39" s="8">
        <v>1</v>
      </c>
      <c r="Q39" s="8">
        <v>270</v>
      </c>
      <c r="R39" s="8">
        <v>3.3</v>
      </c>
      <c r="S39" s="8">
        <v>0.19400000000000001</v>
      </c>
      <c r="T39" s="8">
        <v>0.19400000000000001</v>
      </c>
      <c r="U39" s="8">
        <v>3.69</v>
      </c>
      <c r="V39" s="8">
        <v>3.69</v>
      </c>
      <c r="W39" s="8">
        <v>5.4000000000000003E-3</v>
      </c>
      <c r="X39" s="8">
        <v>2.5700000000000001E-2</v>
      </c>
      <c r="Y39" s="8">
        <v>3.1099999999999999E-2</v>
      </c>
      <c r="Z39" s="8" t="s">
        <v>44</v>
      </c>
      <c r="AA39" s="8" t="s">
        <v>44</v>
      </c>
      <c r="AB39" s="8">
        <v>232</v>
      </c>
      <c r="AC39" s="8" t="s">
        <v>45</v>
      </c>
      <c r="AD39" s="8" t="s">
        <v>46</v>
      </c>
      <c r="AE39" s="8">
        <v>0.5</v>
      </c>
      <c r="AF39" s="8" t="s">
        <v>639</v>
      </c>
      <c r="AG39" s="9">
        <v>8.0000000000000002E-3</v>
      </c>
      <c r="AH39" s="9" t="s">
        <v>639</v>
      </c>
      <c r="AI39" s="8" t="s">
        <v>57</v>
      </c>
      <c r="AJ39" s="8" t="s">
        <v>48</v>
      </c>
      <c r="AK39" s="8" t="s">
        <v>49</v>
      </c>
      <c r="AL39" s="8" t="s">
        <v>50</v>
      </c>
      <c r="AM39" s="8" t="s">
        <v>51</v>
      </c>
      <c r="AN39" s="8">
        <v>0.19400000000000001</v>
      </c>
      <c r="AO39" s="8">
        <v>1.0800000000000001E-2</v>
      </c>
      <c r="AP39" s="8">
        <v>1.89E-2</v>
      </c>
      <c r="AQ39" s="8" t="s">
        <v>52</v>
      </c>
      <c r="AR39" s="8" t="s">
        <v>53</v>
      </c>
      <c r="AS39" s="8" t="s">
        <v>54</v>
      </c>
    </row>
    <row r="40" spans="1:45" x14ac:dyDescent="0.25">
      <c r="A40" s="8" t="s">
        <v>145</v>
      </c>
      <c r="B40" s="8" t="s">
        <v>146</v>
      </c>
      <c r="C40" s="8">
        <v>143.01300000000001</v>
      </c>
      <c r="D40" s="8">
        <v>226.35</v>
      </c>
      <c r="E40" s="8">
        <v>2.0400000000000001E-3</v>
      </c>
      <c r="F40" s="8">
        <v>17200</v>
      </c>
      <c r="G40" s="9">
        <v>1.8E-5</v>
      </c>
      <c r="H40" s="8">
        <v>4.1300000000000003E-2</v>
      </c>
      <c r="I40" s="9">
        <v>9.4900000000000006E-6</v>
      </c>
      <c r="J40" s="8">
        <v>19.498446000000001</v>
      </c>
      <c r="K40" s="8">
        <v>75.900000000000006</v>
      </c>
      <c r="L40" s="8">
        <v>0.76</v>
      </c>
      <c r="M40" s="8">
        <v>5.69</v>
      </c>
      <c r="N40" s="8">
        <v>3.04</v>
      </c>
      <c r="O40" s="8">
        <v>1.41</v>
      </c>
      <c r="P40" s="8">
        <v>1</v>
      </c>
      <c r="Q40" s="8">
        <v>8.6</v>
      </c>
      <c r="R40" s="8">
        <v>11.3</v>
      </c>
      <c r="S40" s="8">
        <v>6.96</v>
      </c>
      <c r="T40" s="8">
        <v>6.96</v>
      </c>
      <c r="U40" s="8">
        <v>7.3400000000000007E-2</v>
      </c>
      <c r="V40" s="8">
        <v>7.3400000000000007E-2</v>
      </c>
      <c r="W40" s="8">
        <v>1.8097299999999999E-4</v>
      </c>
      <c r="X40" s="8">
        <v>8.5962199999999999E-4</v>
      </c>
      <c r="Y40" s="8">
        <v>1.0405950000000001E-3</v>
      </c>
      <c r="Z40" s="8">
        <v>1.5886599999999999E-4</v>
      </c>
      <c r="AA40" s="8" t="s">
        <v>44</v>
      </c>
      <c r="AB40" s="8">
        <v>1.96</v>
      </c>
      <c r="AC40" s="8" t="s">
        <v>45</v>
      </c>
      <c r="AD40" s="8" t="s">
        <v>46</v>
      </c>
      <c r="AE40" s="8" t="s">
        <v>56</v>
      </c>
      <c r="AG40" s="8">
        <v>1.1000000000000001</v>
      </c>
      <c r="AH40" s="8" t="s">
        <v>639</v>
      </c>
      <c r="AI40" s="8" t="s">
        <v>57</v>
      </c>
      <c r="AJ40" s="8">
        <v>3.3E-4</v>
      </c>
      <c r="AK40" s="8" t="s">
        <v>49</v>
      </c>
      <c r="AL40" s="8" t="s">
        <v>50</v>
      </c>
      <c r="AM40" s="8" t="s">
        <v>51</v>
      </c>
      <c r="AN40" s="8">
        <v>6.96</v>
      </c>
      <c r="AO40" s="8">
        <v>3.6194599999999998E-4</v>
      </c>
      <c r="AP40" s="8">
        <v>6.3340599999999999E-4</v>
      </c>
      <c r="AQ40" s="8" t="s">
        <v>52</v>
      </c>
      <c r="AR40" s="8" t="s">
        <v>53</v>
      </c>
      <c r="AS40" s="8" t="s">
        <v>54</v>
      </c>
    </row>
    <row r="41" spans="1:45" x14ac:dyDescent="0.25">
      <c r="A41" s="8" t="s">
        <v>147</v>
      </c>
      <c r="B41" s="8" t="s">
        <v>148</v>
      </c>
      <c r="C41" s="8">
        <v>253</v>
      </c>
      <c r="D41" s="8">
        <v>281</v>
      </c>
      <c r="E41" s="8">
        <v>7.2500000000000004E-3</v>
      </c>
      <c r="F41" s="8">
        <v>3100</v>
      </c>
      <c r="G41" s="8">
        <v>6.5</v>
      </c>
      <c r="H41" s="8">
        <v>1.49E-2</v>
      </c>
      <c r="I41" s="9">
        <v>1.03E-5</v>
      </c>
      <c r="J41" s="8">
        <v>234</v>
      </c>
      <c r="K41" s="8">
        <v>126</v>
      </c>
      <c r="L41" s="8">
        <v>1.26</v>
      </c>
      <c r="M41" s="8">
        <v>9.4499999999999993</v>
      </c>
      <c r="N41" s="8">
        <v>5.04</v>
      </c>
      <c r="O41" s="8">
        <v>1.41</v>
      </c>
      <c r="P41" s="8">
        <v>1</v>
      </c>
      <c r="Q41" s="8">
        <v>15.5</v>
      </c>
      <c r="R41" s="8">
        <v>12.3</v>
      </c>
      <c r="S41" s="8">
        <v>1.65</v>
      </c>
      <c r="T41" s="8">
        <v>1.65</v>
      </c>
      <c r="U41" s="9">
        <v>2.8700000000000001E-6</v>
      </c>
      <c r="V41" s="9">
        <v>2.8700000000000001E-6</v>
      </c>
      <c r="W41" s="8">
        <v>1.0499999999999999E-3</v>
      </c>
      <c r="X41" s="8">
        <v>5.0000000000000001E-3</v>
      </c>
      <c r="Y41" s="8">
        <v>6.0499999999999998E-3</v>
      </c>
      <c r="Z41" s="8">
        <v>1.7799999999999999E-3</v>
      </c>
      <c r="AA41" s="8" t="s">
        <v>44</v>
      </c>
      <c r="AB41" s="8">
        <v>13.3</v>
      </c>
      <c r="AC41" s="8" t="s">
        <v>45</v>
      </c>
      <c r="AD41" s="8" t="s">
        <v>46</v>
      </c>
      <c r="AE41" s="8">
        <v>0.02</v>
      </c>
      <c r="AF41" s="8" t="s">
        <v>639</v>
      </c>
      <c r="AG41" s="8">
        <v>7.9299999999999995E-3</v>
      </c>
      <c r="AH41" s="8" t="s">
        <v>639</v>
      </c>
      <c r="AI41" s="8" t="s">
        <v>57</v>
      </c>
      <c r="AJ41" s="9">
        <v>1.1000000000000001E-6</v>
      </c>
      <c r="AK41" s="8" t="s">
        <v>49</v>
      </c>
      <c r="AL41" s="8" t="s">
        <v>50</v>
      </c>
      <c r="AM41" s="8" t="s">
        <v>51</v>
      </c>
      <c r="AN41" s="8">
        <v>1.65</v>
      </c>
      <c r="AO41" s="8">
        <v>2.0999999999999999E-3</v>
      </c>
      <c r="AP41" s="8">
        <v>3.6800000000000001E-3</v>
      </c>
      <c r="AQ41" s="8" t="s">
        <v>52</v>
      </c>
      <c r="AR41" s="8" t="s">
        <v>53</v>
      </c>
      <c r="AS41" s="8" t="s">
        <v>54</v>
      </c>
    </row>
    <row r="42" spans="1:45" x14ac:dyDescent="0.25">
      <c r="A42" s="8" t="s">
        <v>556</v>
      </c>
      <c r="B42" s="8" t="s">
        <v>58</v>
      </c>
      <c r="C42" s="8">
        <v>54.1</v>
      </c>
      <c r="D42" s="8">
        <v>164</v>
      </c>
      <c r="E42" s="8">
        <v>2.78</v>
      </c>
      <c r="F42" s="8">
        <v>735</v>
      </c>
      <c r="G42" s="8">
        <v>0.20399999999999999</v>
      </c>
      <c r="H42" s="8">
        <v>0.13300000000000001</v>
      </c>
      <c r="I42" s="9">
        <v>1.5400000000000002E-5</v>
      </c>
      <c r="J42" s="8">
        <v>97.7</v>
      </c>
      <c r="K42" s="8">
        <v>45.1</v>
      </c>
      <c r="L42" s="8">
        <v>0.45100000000000001</v>
      </c>
      <c r="M42" s="8">
        <v>3.38</v>
      </c>
      <c r="N42" s="8">
        <v>1.8</v>
      </c>
      <c r="O42" s="8">
        <v>8.43</v>
      </c>
      <c r="P42" s="8">
        <v>1</v>
      </c>
      <c r="Q42" s="8">
        <v>14.2</v>
      </c>
      <c r="R42" s="8">
        <v>31.5</v>
      </c>
      <c r="S42" s="8">
        <v>2.74</v>
      </c>
      <c r="T42" s="8">
        <v>2.74</v>
      </c>
      <c r="U42" s="9">
        <v>3.6000000000000001E-5</v>
      </c>
      <c r="V42" s="9">
        <v>3.6000000000000001E-5</v>
      </c>
      <c r="W42" s="8">
        <v>6.02E-4</v>
      </c>
      <c r="X42" s="8">
        <v>2.8600000000000001E-3</v>
      </c>
      <c r="Y42" s="8">
        <v>3.46E-3</v>
      </c>
      <c r="Z42" s="8" t="s">
        <v>44</v>
      </c>
      <c r="AA42" s="8" t="s">
        <v>44</v>
      </c>
      <c r="AB42" s="8">
        <v>6.8</v>
      </c>
      <c r="AC42" s="8" t="s">
        <v>45</v>
      </c>
      <c r="AD42" s="8" t="s">
        <v>46</v>
      </c>
      <c r="AE42" s="8" t="s">
        <v>56</v>
      </c>
      <c r="AG42" s="8">
        <v>3.4</v>
      </c>
      <c r="AH42" s="8" t="s">
        <v>640</v>
      </c>
      <c r="AI42" s="8">
        <v>2E-3</v>
      </c>
      <c r="AJ42" s="9">
        <v>5.8799999999999999E-5</v>
      </c>
      <c r="AK42" s="8" t="s">
        <v>49</v>
      </c>
      <c r="AL42" s="8" t="s">
        <v>50</v>
      </c>
      <c r="AM42" s="8" t="s">
        <v>51</v>
      </c>
      <c r="AN42" s="8">
        <v>2.74</v>
      </c>
      <c r="AO42" s="8">
        <v>1.1999999999999999E-3</v>
      </c>
      <c r="AP42" s="8">
        <v>2.1099999999999999E-3</v>
      </c>
      <c r="AQ42" s="8" t="s">
        <v>52</v>
      </c>
      <c r="AR42" s="8" t="s">
        <v>53</v>
      </c>
      <c r="AS42" s="8" t="s">
        <v>54</v>
      </c>
    </row>
    <row r="43" spans="1:45" x14ac:dyDescent="0.25">
      <c r="A43" s="10" t="s">
        <v>590</v>
      </c>
      <c r="B43" s="10" t="s">
        <v>149</v>
      </c>
      <c r="C43" s="8">
        <v>204.27</v>
      </c>
      <c r="D43" s="8">
        <v>298</v>
      </c>
      <c r="E43" s="9">
        <v>4.6499999999999999E-5</v>
      </c>
      <c r="F43" s="8">
        <v>2343</v>
      </c>
      <c r="G43" s="9">
        <v>9.9E-8</v>
      </c>
      <c r="H43" s="8" t="s">
        <v>44</v>
      </c>
      <c r="I43" s="8" t="s">
        <v>44</v>
      </c>
      <c r="J43" s="8">
        <v>20</v>
      </c>
      <c r="K43" s="8">
        <v>12.27</v>
      </c>
      <c r="L43" s="8" t="s">
        <v>57</v>
      </c>
      <c r="M43" s="8">
        <f>(0.075*K43)</f>
        <v>0.9202499999999999</v>
      </c>
      <c r="N43" s="8">
        <f>(0.04*K43)</f>
        <v>0.49080000000000001</v>
      </c>
      <c r="O43" s="8" t="s">
        <v>57</v>
      </c>
      <c r="P43" s="8">
        <v>1</v>
      </c>
      <c r="Q43" s="8" t="s">
        <v>57</v>
      </c>
      <c r="R43" s="8" t="s">
        <v>57</v>
      </c>
      <c r="S43" s="8" t="s">
        <v>56</v>
      </c>
      <c r="T43" s="8" t="s">
        <v>56</v>
      </c>
      <c r="U43" s="8" t="s">
        <v>57</v>
      </c>
      <c r="V43" s="8" t="s">
        <v>57</v>
      </c>
      <c r="W43" s="8" t="s">
        <v>62</v>
      </c>
      <c r="X43" s="8" t="s">
        <v>62</v>
      </c>
      <c r="Y43" s="8" t="s">
        <v>62</v>
      </c>
      <c r="Z43" s="8" t="s">
        <v>44</v>
      </c>
      <c r="AA43" s="8" t="s">
        <v>44</v>
      </c>
      <c r="AB43" s="8">
        <v>2</v>
      </c>
      <c r="AC43" s="8" t="s">
        <v>45</v>
      </c>
      <c r="AD43" s="8" t="s">
        <v>46</v>
      </c>
      <c r="AE43" s="8" t="s">
        <v>56</v>
      </c>
      <c r="AG43" s="8" t="s">
        <v>47</v>
      </c>
      <c r="AI43" s="8" t="s">
        <v>57</v>
      </c>
      <c r="AJ43" s="8" t="s">
        <v>48</v>
      </c>
      <c r="AK43" s="8" t="s">
        <v>49</v>
      </c>
      <c r="AL43" s="8" t="s">
        <v>50</v>
      </c>
      <c r="AM43" s="8" t="s">
        <v>51</v>
      </c>
      <c r="AN43" s="8" t="s">
        <v>44</v>
      </c>
      <c r="AO43" s="8" t="s">
        <v>44</v>
      </c>
      <c r="AP43" s="8" t="s">
        <v>44</v>
      </c>
      <c r="AQ43" s="8" t="s">
        <v>52</v>
      </c>
      <c r="AR43" s="8" t="s">
        <v>53</v>
      </c>
      <c r="AS43" s="8" t="s">
        <v>54</v>
      </c>
    </row>
    <row r="44" spans="1:45" x14ac:dyDescent="0.25">
      <c r="A44" s="10" t="s">
        <v>487</v>
      </c>
      <c r="B44" s="10" t="s">
        <v>755</v>
      </c>
      <c r="C44" s="8">
        <v>118.18</v>
      </c>
      <c r="D44" s="8">
        <v>196</v>
      </c>
      <c r="E44" s="9">
        <v>1.0499999999999999E-3</v>
      </c>
      <c r="P44" s="8">
        <v>1</v>
      </c>
    </row>
    <row r="45" spans="1:45" x14ac:dyDescent="0.25">
      <c r="A45" s="8" t="s">
        <v>150</v>
      </c>
      <c r="B45" s="8" t="s">
        <v>151</v>
      </c>
      <c r="C45" s="8">
        <v>312</v>
      </c>
      <c r="D45" s="8">
        <v>238</v>
      </c>
      <c r="E45" s="9">
        <v>1.09E-8</v>
      </c>
      <c r="F45" s="8">
        <v>2.7</v>
      </c>
      <c r="G45" s="9">
        <v>1.3E-6</v>
      </c>
      <c r="H45" s="8">
        <v>1E-3</v>
      </c>
      <c r="I45" s="9">
        <v>1.0000000000000001E-5</v>
      </c>
      <c r="J45" s="8">
        <v>79400</v>
      </c>
      <c r="K45" s="8">
        <v>13700</v>
      </c>
      <c r="L45" s="8">
        <v>8700</v>
      </c>
      <c r="M45" s="8">
        <v>1030</v>
      </c>
      <c r="N45" s="8">
        <v>548</v>
      </c>
      <c r="O45" s="8">
        <v>36.1</v>
      </c>
      <c r="P45" s="8">
        <v>0.94799999999999995</v>
      </c>
      <c r="Q45" s="8">
        <v>1380</v>
      </c>
      <c r="R45" s="8">
        <v>0.158</v>
      </c>
      <c r="S45" s="8">
        <v>5.7000000000000002E-2</v>
      </c>
      <c r="T45" s="8">
        <v>5.7000000000000002E-2</v>
      </c>
      <c r="U45" s="8">
        <v>7110</v>
      </c>
      <c r="V45" s="8">
        <v>7110</v>
      </c>
      <c r="W45" s="8">
        <v>8.09E-3</v>
      </c>
      <c r="X45" s="8">
        <v>3.8399999999999997E-2</v>
      </c>
      <c r="Y45" s="8">
        <v>4.65E-2</v>
      </c>
      <c r="Z45" s="8">
        <v>0.20599999999999999</v>
      </c>
      <c r="AA45" s="8" t="s">
        <v>44</v>
      </c>
      <c r="AB45" s="8">
        <v>1180</v>
      </c>
      <c r="AC45" s="8">
        <v>3290</v>
      </c>
      <c r="AD45" s="8" t="s">
        <v>46</v>
      </c>
      <c r="AE45" s="8">
        <v>0.2</v>
      </c>
      <c r="AF45" s="8" t="s">
        <v>639</v>
      </c>
      <c r="AG45" s="8">
        <v>1.9E-3</v>
      </c>
      <c r="AH45" s="8" t="s">
        <v>644</v>
      </c>
      <c r="AI45" s="8" t="s">
        <v>57</v>
      </c>
      <c r="AJ45" s="8" t="s">
        <v>48</v>
      </c>
      <c r="AK45" s="8" t="s">
        <v>49</v>
      </c>
      <c r="AL45" s="8" t="s">
        <v>50</v>
      </c>
      <c r="AM45" s="8" t="s">
        <v>152</v>
      </c>
      <c r="AN45" s="8">
        <v>5.7000000000000002E-2</v>
      </c>
      <c r="AO45" s="8">
        <v>1.6199999999999999E-2</v>
      </c>
      <c r="AP45" s="8">
        <v>2.8299999999999999E-2</v>
      </c>
      <c r="AQ45" s="8" t="s">
        <v>52</v>
      </c>
      <c r="AR45" s="8" t="s">
        <v>53</v>
      </c>
      <c r="AS45" s="8" t="s">
        <v>54</v>
      </c>
    </row>
    <row r="46" spans="1:45" x14ac:dyDescent="0.25">
      <c r="A46" s="8" t="s">
        <v>155</v>
      </c>
      <c r="B46" s="8" t="s">
        <v>156</v>
      </c>
      <c r="C46" s="8">
        <v>112.4</v>
      </c>
      <c r="D46" s="8">
        <v>593.15</v>
      </c>
      <c r="E46" s="9">
        <v>5.4499999999999996E-12</v>
      </c>
      <c r="F46" s="8">
        <v>123000</v>
      </c>
      <c r="G46" s="8">
        <v>3.1E-2</v>
      </c>
      <c r="H46" s="8">
        <v>7.7200000000000005E-2</v>
      </c>
      <c r="I46" s="9">
        <v>9.5699999999999999E-6</v>
      </c>
      <c r="J46" s="8">
        <v>0.85113803799999999</v>
      </c>
      <c r="K46" s="8" t="s">
        <v>44</v>
      </c>
      <c r="L46" s="8">
        <v>75</v>
      </c>
      <c r="M46" s="8">
        <v>75</v>
      </c>
      <c r="N46" s="8">
        <v>75</v>
      </c>
      <c r="O46" s="9">
        <v>2.5299999999999999E-6</v>
      </c>
      <c r="P46" s="8">
        <v>8.9999999999999993E-3</v>
      </c>
      <c r="Q46" s="8" t="s">
        <v>57</v>
      </c>
      <c r="R46" s="8">
        <v>6.4000000000000001E-2</v>
      </c>
      <c r="S46" s="8">
        <v>0.125</v>
      </c>
      <c r="T46" s="8">
        <v>0.36399999999999999</v>
      </c>
      <c r="U46" s="8" t="s">
        <v>57</v>
      </c>
      <c r="V46" s="8" t="s">
        <v>57</v>
      </c>
      <c r="W46" s="9">
        <v>6.4999999999999996E-6</v>
      </c>
      <c r="X46" s="8">
        <v>1.2E-4</v>
      </c>
      <c r="Y46" s="8">
        <v>1.9148900000000001E-4</v>
      </c>
      <c r="Z46" s="8">
        <v>2.5000000000000001E-3</v>
      </c>
      <c r="AA46" s="8" t="s">
        <v>44</v>
      </c>
      <c r="AB46" s="8">
        <v>907</v>
      </c>
      <c r="AC46" s="8" t="s">
        <v>45</v>
      </c>
      <c r="AD46" s="8" t="s">
        <v>46</v>
      </c>
      <c r="AE46" s="8">
        <v>1E-3</v>
      </c>
      <c r="AF46" s="8" t="s">
        <v>639</v>
      </c>
      <c r="AG46" s="8" t="s">
        <v>47</v>
      </c>
      <c r="AI46" s="9">
        <v>2.0000000000000002E-5</v>
      </c>
      <c r="AJ46" s="8">
        <v>1.8E-3</v>
      </c>
      <c r="AK46" s="8" t="s">
        <v>49</v>
      </c>
      <c r="AL46" s="8" t="s">
        <v>110</v>
      </c>
      <c r="AM46" s="8" t="s">
        <v>111</v>
      </c>
      <c r="AN46" s="8">
        <v>6.2E-2</v>
      </c>
      <c r="AO46" s="8">
        <v>2.5000000000000001E-3</v>
      </c>
      <c r="AP46" s="8">
        <v>0.10625</v>
      </c>
      <c r="AQ46" s="8" t="s">
        <v>52</v>
      </c>
      <c r="AR46" s="8" t="s">
        <v>53</v>
      </c>
      <c r="AS46" s="8" t="s">
        <v>54</v>
      </c>
    </row>
    <row r="47" spans="1:45" x14ac:dyDescent="0.25">
      <c r="A47" s="10" t="s">
        <v>591</v>
      </c>
      <c r="B47" s="10" t="s">
        <v>159</v>
      </c>
      <c r="C47" s="8">
        <v>176.21</v>
      </c>
      <c r="D47" s="8">
        <v>275.89999999999998</v>
      </c>
      <c r="E47" s="8">
        <v>1.8599999999999999E-4</v>
      </c>
      <c r="F47" s="9">
        <v>30890</v>
      </c>
      <c r="G47" s="8" t="s">
        <v>56</v>
      </c>
      <c r="H47" s="9">
        <v>5.7000000000000002E-2</v>
      </c>
      <c r="I47" s="9">
        <v>7.9799999999999998E-6</v>
      </c>
      <c r="J47" s="8">
        <v>2.089</v>
      </c>
      <c r="K47" s="8">
        <v>4.54</v>
      </c>
      <c r="L47" s="8" t="s">
        <v>57</v>
      </c>
      <c r="M47" s="8">
        <f>(0.075*K47)</f>
        <v>0.34049999999999997</v>
      </c>
      <c r="N47" s="8">
        <f>(0.04*K47)</f>
        <v>0.18160000000000001</v>
      </c>
      <c r="O47" s="8" t="s">
        <v>57</v>
      </c>
      <c r="P47" s="8">
        <v>1</v>
      </c>
      <c r="Q47" s="8" t="s">
        <v>57</v>
      </c>
      <c r="R47" s="8" t="s">
        <v>57</v>
      </c>
      <c r="S47" s="8" t="s">
        <v>56</v>
      </c>
      <c r="T47" s="8" t="s">
        <v>56</v>
      </c>
      <c r="U47" s="8">
        <v>17.5</v>
      </c>
      <c r="V47" s="8">
        <v>17.5</v>
      </c>
      <c r="W47" s="9">
        <v>3.0699999999999997E-8</v>
      </c>
      <c r="X47" s="9">
        <v>9.7300000000000004E-8</v>
      </c>
      <c r="Y47" s="8" t="s">
        <v>62</v>
      </c>
      <c r="Z47" s="8" t="s">
        <v>44</v>
      </c>
      <c r="AA47" s="8" t="s">
        <v>44</v>
      </c>
      <c r="AB47" s="8">
        <v>3.16</v>
      </c>
      <c r="AC47" s="8" t="s">
        <v>45</v>
      </c>
      <c r="AD47" s="8" t="s">
        <v>46</v>
      </c>
      <c r="AE47" s="8" t="s">
        <v>56</v>
      </c>
      <c r="AG47" s="8" t="s">
        <v>47</v>
      </c>
      <c r="AI47" s="8" t="s">
        <v>57</v>
      </c>
      <c r="AJ47" s="8" t="s">
        <v>48</v>
      </c>
      <c r="AK47" s="8" t="s">
        <v>49</v>
      </c>
      <c r="AL47" s="8" t="s">
        <v>50</v>
      </c>
      <c r="AM47" s="8" t="s">
        <v>51</v>
      </c>
      <c r="AN47" s="8" t="s">
        <v>44</v>
      </c>
      <c r="AO47" s="8" t="s">
        <v>44</v>
      </c>
      <c r="AP47" s="8" t="s">
        <v>44</v>
      </c>
      <c r="AQ47" s="8" t="s">
        <v>52</v>
      </c>
      <c r="AR47" s="8" t="s">
        <v>53</v>
      </c>
      <c r="AS47" s="8" t="s">
        <v>54</v>
      </c>
    </row>
    <row r="48" spans="1:45" x14ac:dyDescent="0.25">
      <c r="A48" s="8" t="s">
        <v>632</v>
      </c>
      <c r="B48" s="8" t="s">
        <v>162</v>
      </c>
      <c r="C48" s="8">
        <v>76.099999999999994</v>
      </c>
      <c r="D48" s="8">
        <v>153</v>
      </c>
      <c r="E48" s="8">
        <v>0.47399999999999998</v>
      </c>
      <c r="F48" s="8">
        <v>1200</v>
      </c>
      <c r="G48" s="8">
        <v>0.03</v>
      </c>
      <c r="H48" s="8">
        <v>0.104</v>
      </c>
      <c r="I48" s="9">
        <v>1.0000000000000001E-5</v>
      </c>
      <c r="J48" s="8">
        <v>158</v>
      </c>
      <c r="K48" s="8">
        <v>66.2</v>
      </c>
      <c r="L48" s="8">
        <v>9.0999999999999998E-2</v>
      </c>
      <c r="M48" s="8">
        <v>4.96</v>
      </c>
      <c r="N48" s="8">
        <v>2.65</v>
      </c>
      <c r="O48" s="8" t="s">
        <v>57</v>
      </c>
      <c r="P48" s="8">
        <v>1</v>
      </c>
      <c r="Q48" s="8">
        <v>11.5</v>
      </c>
      <c r="R48" s="8">
        <v>126</v>
      </c>
      <c r="S48" s="8">
        <v>2.0699999999999998</v>
      </c>
      <c r="T48" s="8">
        <v>2.0699999999999998</v>
      </c>
      <c r="U48" s="8">
        <v>4.0999999999999999E-4</v>
      </c>
      <c r="V48" s="8">
        <v>4.0999999999999999E-4</v>
      </c>
      <c r="W48" s="8">
        <v>8.2600000000000002E-4</v>
      </c>
      <c r="X48" s="8">
        <v>3.9199999999999999E-3</v>
      </c>
      <c r="Y48" s="8">
        <v>4.7499999999999999E-3</v>
      </c>
      <c r="Z48" s="8">
        <v>7.94E-4</v>
      </c>
      <c r="AA48" s="8" t="s">
        <v>44</v>
      </c>
      <c r="AB48" s="8">
        <v>9.86</v>
      </c>
      <c r="AC48" s="8" t="s">
        <v>45</v>
      </c>
      <c r="AD48" s="8" t="s">
        <v>46</v>
      </c>
      <c r="AE48" s="8">
        <v>0.1</v>
      </c>
      <c r="AF48" s="8" t="s">
        <v>639</v>
      </c>
      <c r="AG48" s="8" t="s">
        <v>47</v>
      </c>
      <c r="AI48" s="8">
        <v>0.7</v>
      </c>
      <c r="AJ48" s="8" t="s">
        <v>48</v>
      </c>
      <c r="AK48" s="8" t="s">
        <v>49</v>
      </c>
      <c r="AL48" s="8" t="s">
        <v>50</v>
      </c>
      <c r="AM48" s="8" t="s">
        <v>51</v>
      </c>
      <c r="AN48" s="8">
        <v>2.0699999999999998</v>
      </c>
      <c r="AO48" s="8">
        <v>1.65E-3</v>
      </c>
      <c r="AP48" s="8">
        <v>2.8900000000000002E-3</v>
      </c>
      <c r="AQ48" s="8" t="s">
        <v>52</v>
      </c>
      <c r="AR48" s="8" t="s">
        <v>53</v>
      </c>
      <c r="AS48" s="8" t="s">
        <v>54</v>
      </c>
    </row>
    <row r="49" spans="1:45" x14ac:dyDescent="0.25">
      <c r="A49" s="10" t="s">
        <v>592</v>
      </c>
      <c r="B49" s="10" t="s">
        <v>163</v>
      </c>
      <c r="C49" s="8">
        <v>28.01</v>
      </c>
      <c r="D49" s="8">
        <v>134</v>
      </c>
      <c r="E49" s="8">
        <v>11.43</v>
      </c>
      <c r="F49" s="9">
        <v>49700</v>
      </c>
      <c r="G49" s="9">
        <v>5.6300000000000002E-4</v>
      </c>
      <c r="H49" s="9">
        <v>0.17299999999999999</v>
      </c>
      <c r="I49" s="9">
        <v>1.7900000000000001E-5</v>
      </c>
      <c r="J49" s="8">
        <v>2.5</v>
      </c>
      <c r="K49" s="8">
        <v>2.2200000000000002</v>
      </c>
      <c r="L49" s="8" t="s">
        <v>57</v>
      </c>
      <c r="M49" s="8">
        <f>(0.075*K49)</f>
        <v>0.16650000000000001</v>
      </c>
      <c r="N49" s="8">
        <f>(0.04*K49)</f>
        <v>8.8800000000000004E-2</v>
      </c>
      <c r="O49" s="8" t="s">
        <v>57</v>
      </c>
      <c r="P49" s="8">
        <v>1</v>
      </c>
      <c r="Q49" s="8" t="s">
        <v>57</v>
      </c>
      <c r="R49" s="8" t="s">
        <v>57</v>
      </c>
      <c r="S49" s="8" t="s">
        <v>56</v>
      </c>
      <c r="T49" s="8" t="s">
        <v>56</v>
      </c>
      <c r="U49" s="8">
        <v>22.6</v>
      </c>
      <c r="V49" s="8">
        <v>22.6</v>
      </c>
      <c r="W49" s="9">
        <v>1.9799999999999999E-8</v>
      </c>
      <c r="X49" s="9">
        <v>6.2800000000000006E-8</v>
      </c>
      <c r="Y49" s="8" t="s">
        <v>62</v>
      </c>
      <c r="Z49" s="8" t="s">
        <v>44</v>
      </c>
      <c r="AA49" s="8" t="s">
        <v>44</v>
      </c>
      <c r="AB49" s="8">
        <v>3.16</v>
      </c>
      <c r="AC49" s="8" t="s">
        <v>45</v>
      </c>
      <c r="AD49" s="8" t="s">
        <v>46</v>
      </c>
      <c r="AE49" s="8" t="s">
        <v>56</v>
      </c>
      <c r="AG49" s="8" t="s">
        <v>47</v>
      </c>
      <c r="AI49" s="8" t="s">
        <v>57</v>
      </c>
      <c r="AJ49" s="8" t="s">
        <v>48</v>
      </c>
      <c r="AK49" s="8" t="s">
        <v>49</v>
      </c>
      <c r="AL49" s="8" t="s">
        <v>50</v>
      </c>
      <c r="AM49" s="8" t="s">
        <v>51</v>
      </c>
      <c r="AN49" s="8" t="s">
        <v>44</v>
      </c>
      <c r="AO49" s="8" t="s">
        <v>44</v>
      </c>
      <c r="AP49" s="8" t="s">
        <v>44</v>
      </c>
      <c r="AQ49" s="8" t="s">
        <v>52</v>
      </c>
      <c r="AR49" s="8" t="s">
        <v>53</v>
      </c>
      <c r="AS49" s="8" t="s">
        <v>54</v>
      </c>
    </row>
    <row r="50" spans="1:45" x14ac:dyDescent="0.25">
      <c r="A50" s="10" t="s">
        <v>675</v>
      </c>
      <c r="B50" s="10" t="s">
        <v>676</v>
      </c>
      <c r="C50" s="8">
        <v>28.01</v>
      </c>
      <c r="D50" s="8">
        <v>134</v>
      </c>
      <c r="E50" s="8">
        <v>11.43</v>
      </c>
      <c r="F50" s="9">
        <v>49700</v>
      </c>
      <c r="G50" s="9">
        <v>5.6300000000000002E-4</v>
      </c>
      <c r="H50" s="9">
        <v>0.17299999999999999</v>
      </c>
      <c r="I50" s="9">
        <v>1.7900000000000001E-5</v>
      </c>
      <c r="J50" s="8">
        <v>2.5</v>
      </c>
      <c r="K50" s="8">
        <v>2.2200000000000002</v>
      </c>
      <c r="L50" s="8" t="s">
        <v>57</v>
      </c>
      <c r="M50" s="8">
        <f>(0.075*K50)</f>
        <v>0.16650000000000001</v>
      </c>
      <c r="N50" s="8">
        <f>(0.04*K50)</f>
        <v>8.8800000000000004E-2</v>
      </c>
      <c r="O50" s="8" t="s">
        <v>57</v>
      </c>
      <c r="P50" s="8">
        <v>1</v>
      </c>
      <c r="Q50" s="8" t="s">
        <v>57</v>
      </c>
      <c r="R50" s="8" t="s">
        <v>57</v>
      </c>
      <c r="S50" s="8" t="s">
        <v>56</v>
      </c>
      <c r="T50" s="8" t="s">
        <v>56</v>
      </c>
      <c r="U50" s="8">
        <v>22.6</v>
      </c>
      <c r="V50" s="8">
        <v>22.6</v>
      </c>
      <c r="W50" s="9">
        <v>1.9799999999999999E-8</v>
      </c>
      <c r="X50" s="9">
        <v>6.2800000000000006E-8</v>
      </c>
      <c r="Y50" s="8" t="s">
        <v>62</v>
      </c>
      <c r="Z50" s="8" t="s">
        <v>44</v>
      </c>
      <c r="AA50" s="8" t="s">
        <v>44</v>
      </c>
      <c r="AB50" s="8">
        <v>3.16</v>
      </c>
      <c r="AC50" s="8" t="s">
        <v>45</v>
      </c>
      <c r="AD50" s="8" t="s">
        <v>46</v>
      </c>
      <c r="AE50" s="8" t="s">
        <v>56</v>
      </c>
      <c r="AG50" s="8" t="s">
        <v>47</v>
      </c>
      <c r="AI50" s="8" t="s">
        <v>57</v>
      </c>
      <c r="AJ50" s="8" t="s">
        <v>48</v>
      </c>
      <c r="AK50" s="8" t="s">
        <v>49</v>
      </c>
      <c r="AL50" s="8" t="s">
        <v>50</v>
      </c>
      <c r="AM50" s="8" t="s">
        <v>51</v>
      </c>
      <c r="AN50" s="8" t="s">
        <v>44</v>
      </c>
      <c r="AO50" s="8" t="s">
        <v>44</v>
      </c>
      <c r="AP50" s="8" t="s">
        <v>44</v>
      </c>
      <c r="AQ50" s="8" t="s">
        <v>52</v>
      </c>
      <c r="AR50" s="8" t="s">
        <v>53</v>
      </c>
      <c r="AS50" s="8" t="s">
        <v>54</v>
      </c>
    </row>
    <row r="51" spans="1:45" x14ac:dyDescent="0.25">
      <c r="A51" s="8" t="s">
        <v>633</v>
      </c>
      <c r="B51" s="8" t="s">
        <v>164</v>
      </c>
      <c r="C51" s="8">
        <v>154</v>
      </c>
      <c r="D51" s="8">
        <v>250</v>
      </c>
      <c r="E51" s="8">
        <v>0.158</v>
      </c>
      <c r="F51" s="8">
        <v>790</v>
      </c>
      <c r="G51" s="8">
        <v>0.03</v>
      </c>
      <c r="H51" s="8">
        <v>7.8E-2</v>
      </c>
      <c r="I51" s="9">
        <v>8.8000000000000004E-6</v>
      </c>
      <c r="J51" s="8">
        <v>631</v>
      </c>
      <c r="K51" s="8">
        <v>152</v>
      </c>
      <c r="L51" s="8">
        <v>0.35</v>
      </c>
      <c r="M51" s="8">
        <v>11.4</v>
      </c>
      <c r="N51" s="8">
        <v>6.08</v>
      </c>
      <c r="O51" s="8">
        <v>0.7</v>
      </c>
      <c r="P51" s="8">
        <v>1</v>
      </c>
      <c r="Q51" s="8">
        <v>33.299999999999997</v>
      </c>
      <c r="R51" s="8">
        <v>95.1</v>
      </c>
      <c r="S51" s="8">
        <v>0.93200000000000005</v>
      </c>
      <c r="T51" s="8">
        <v>0.93200000000000005</v>
      </c>
      <c r="U51" s="8">
        <v>1.7899999999999999E-3</v>
      </c>
      <c r="V51" s="8">
        <v>1.7899999999999999E-3</v>
      </c>
      <c r="W51" s="8">
        <v>1.83E-3</v>
      </c>
      <c r="X51" s="8">
        <v>8.6800000000000002E-3</v>
      </c>
      <c r="Y51" s="8">
        <v>1.0500000000000001E-2</v>
      </c>
      <c r="Z51" s="8">
        <v>4.1399999999999996E-3</v>
      </c>
      <c r="AA51" s="8" t="s">
        <v>44</v>
      </c>
      <c r="AB51" s="8">
        <v>28.6</v>
      </c>
      <c r="AC51" s="8" t="s">
        <v>45</v>
      </c>
      <c r="AD51" s="8" t="s">
        <v>46</v>
      </c>
      <c r="AE51" s="8">
        <v>4.0000000000000001E-3</v>
      </c>
      <c r="AF51" s="8" t="s">
        <v>639</v>
      </c>
      <c r="AG51" s="8">
        <v>7.0000000000000007E-2</v>
      </c>
      <c r="AH51" s="8" t="s">
        <v>639</v>
      </c>
      <c r="AI51" s="8">
        <v>0.1</v>
      </c>
      <c r="AJ51" s="9">
        <v>6.0000000000000002E-6</v>
      </c>
      <c r="AK51" s="8" t="s">
        <v>49</v>
      </c>
      <c r="AL51" s="8" t="s">
        <v>50</v>
      </c>
      <c r="AM51" s="8" t="s">
        <v>51</v>
      </c>
      <c r="AN51" s="8">
        <v>0.93200000000000005</v>
      </c>
      <c r="AO51" s="8">
        <v>3.6600000000000001E-3</v>
      </c>
      <c r="AP51" s="8">
        <v>6.4000000000000003E-3</v>
      </c>
      <c r="AQ51" s="8" t="s">
        <v>52</v>
      </c>
      <c r="AR51" s="8" t="s">
        <v>53</v>
      </c>
      <c r="AS51" s="8" t="s">
        <v>54</v>
      </c>
    </row>
    <row r="52" spans="1:45" x14ac:dyDescent="0.25">
      <c r="A52" s="10" t="s">
        <v>593</v>
      </c>
      <c r="B52" s="10" t="s">
        <v>165</v>
      </c>
      <c r="C52" s="8">
        <v>60.07</v>
      </c>
      <c r="D52" s="8">
        <v>171.29</v>
      </c>
      <c r="E52" s="8">
        <v>10.79</v>
      </c>
      <c r="F52" s="9">
        <v>1000000</v>
      </c>
      <c r="G52" s="9">
        <v>4.9200000000000001E-2</v>
      </c>
      <c r="H52" s="8" t="s">
        <v>44</v>
      </c>
      <c r="I52" s="8" t="s">
        <v>44</v>
      </c>
      <c r="J52" s="8">
        <v>4.6800000000000001E-2</v>
      </c>
      <c r="K52" s="8">
        <v>0.9123</v>
      </c>
      <c r="L52" s="8" t="s">
        <v>57</v>
      </c>
      <c r="M52" s="8">
        <f>(0.075*K52)</f>
        <v>6.8422499999999997E-2</v>
      </c>
      <c r="N52" s="8">
        <f>(0.04*K52)</f>
        <v>3.6492000000000004E-2</v>
      </c>
      <c r="O52" s="8" t="s">
        <v>57</v>
      </c>
      <c r="P52" s="8">
        <v>1</v>
      </c>
      <c r="Q52" s="8" t="s">
        <v>57</v>
      </c>
      <c r="R52" s="8" t="s">
        <v>57</v>
      </c>
      <c r="S52" s="8" t="s">
        <v>56</v>
      </c>
      <c r="T52" s="8" t="s">
        <v>56</v>
      </c>
      <c r="U52" s="8" t="s">
        <v>57</v>
      </c>
      <c r="V52" s="8" t="s">
        <v>57</v>
      </c>
      <c r="W52" s="8" t="s">
        <v>62</v>
      </c>
      <c r="X52" s="8" t="s">
        <v>62</v>
      </c>
      <c r="Y52" s="8" t="s">
        <v>62</v>
      </c>
      <c r="Z52" s="8" t="s">
        <v>44</v>
      </c>
      <c r="AA52" s="8" t="s">
        <v>44</v>
      </c>
      <c r="AB52" s="8" t="s">
        <v>63</v>
      </c>
      <c r="AC52" s="8" t="s">
        <v>45</v>
      </c>
      <c r="AD52" s="8" t="s">
        <v>46</v>
      </c>
      <c r="AE52" s="8" t="s">
        <v>56</v>
      </c>
      <c r="AG52" s="8" t="s">
        <v>47</v>
      </c>
      <c r="AI52" s="8" t="s">
        <v>57</v>
      </c>
      <c r="AJ52" s="8" t="s">
        <v>48</v>
      </c>
      <c r="AK52" s="8" t="s">
        <v>49</v>
      </c>
      <c r="AL52" s="8" t="s">
        <v>50</v>
      </c>
      <c r="AM52" s="8" t="s">
        <v>51</v>
      </c>
      <c r="AN52" s="8" t="s">
        <v>44</v>
      </c>
      <c r="AO52" s="8" t="s">
        <v>44</v>
      </c>
      <c r="AP52" s="8" t="s">
        <v>44</v>
      </c>
      <c r="AQ52" s="8" t="s">
        <v>52</v>
      </c>
      <c r="AR52" s="8" t="s">
        <v>53</v>
      </c>
      <c r="AS52" s="8" t="s">
        <v>54</v>
      </c>
    </row>
    <row r="53" spans="1:45" x14ac:dyDescent="0.25">
      <c r="A53" s="8" t="s">
        <v>594</v>
      </c>
      <c r="B53" s="8" t="s">
        <v>166</v>
      </c>
      <c r="C53" s="8">
        <v>110</v>
      </c>
      <c r="D53" s="8">
        <v>378</v>
      </c>
      <c r="E53" s="9">
        <v>3.9499999999999998E-5</v>
      </c>
      <c r="F53" s="8">
        <v>461000</v>
      </c>
      <c r="G53" s="9">
        <v>9.4300000000000007E-9</v>
      </c>
      <c r="H53" s="8">
        <v>8.2699999999999996E-2</v>
      </c>
      <c r="I53" s="9">
        <v>9.5799999999999998E-6</v>
      </c>
      <c r="J53" s="8">
        <v>7.59</v>
      </c>
      <c r="K53" s="8">
        <v>7.33</v>
      </c>
      <c r="L53" s="8">
        <v>7.3300000000000004E-2</v>
      </c>
      <c r="M53" s="8">
        <v>0.55000000000000004</v>
      </c>
      <c r="N53" s="8">
        <v>0.29299999999999998</v>
      </c>
      <c r="O53" s="8">
        <v>36.1</v>
      </c>
      <c r="P53" s="8">
        <v>1</v>
      </c>
      <c r="Q53" s="8">
        <v>7.41</v>
      </c>
      <c r="R53" s="8">
        <v>101</v>
      </c>
      <c r="S53" s="8">
        <v>12</v>
      </c>
      <c r="T53" s="8">
        <v>12</v>
      </c>
      <c r="U53" s="8">
        <v>51.3</v>
      </c>
      <c r="V53" s="8">
        <v>51.3</v>
      </c>
      <c r="W53" s="9">
        <v>8.0699999999999996E-5</v>
      </c>
      <c r="X53" s="8">
        <v>3.8299999999999999E-4</v>
      </c>
      <c r="Y53" s="8">
        <v>4.64E-4</v>
      </c>
      <c r="Z53" s="8" t="s">
        <v>44</v>
      </c>
      <c r="AA53" s="8" t="s">
        <v>44</v>
      </c>
      <c r="AB53" s="8">
        <v>3.16</v>
      </c>
      <c r="AC53" s="8" t="s">
        <v>45</v>
      </c>
      <c r="AD53" s="8" t="s">
        <v>46</v>
      </c>
      <c r="AE53" s="8" t="s">
        <v>56</v>
      </c>
      <c r="AH53" s="8" t="s">
        <v>712</v>
      </c>
      <c r="AI53" s="8" t="s">
        <v>57</v>
      </c>
      <c r="AJ53" s="8" t="s">
        <v>48</v>
      </c>
      <c r="AK53" s="8" t="s">
        <v>49</v>
      </c>
      <c r="AL53" s="8" t="s">
        <v>50</v>
      </c>
      <c r="AM53" s="8" t="s">
        <v>51</v>
      </c>
      <c r="AN53" s="8">
        <v>12</v>
      </c>
      <c r="AO53" s="8">
        <v>1.6100000000000001E-4</v>
      </c>
      <c r="AP53" s="8">
        <v>2.8299999999999999E-4</v>
      </c>
      <c r="AQ53" s="8" t="s">
        <v>52</v>
      </c>
      <c r="AR53" s="8" t="s">
        <v>53</v>
      </c>
      <c r="AS53" s="8" t="s">
        <v>54</v>
      </c>
    </row>
    <row r="54" spans="1:45" x14ac:dyDescent="0.25">
      <c r="A54" s="8" t="s">
        <v>595</v>
      </c>
      <c r="B54" s="8" t="s">
        <v>167</v>
      </c>
      <c r="C54" s="8">
        <v>90.1</v>
      </c>
      <c r="D54" s="8">
        <v>203</v>
      </c>
      <c r="E54" s="8">
        <v>6.9899999999999997E-3</v>
      </c>
      <c r="F54" s="8">
        <v>1000000</v>
      </c>
      <c r="G54" s="9">
        <v>6.3E-7</v>
      </c>
      <c r="H54" s="8">
        <v>9.4500000000000001E-2</v>
      </c>
      <c r="I54" s="9">
        <v>1.0900000000000001E-5</v>
      </c>
      <c r="J54" s="8">
        <v>0.47899999999999998</v>
      </c>
      <c r="K54" s="8">
        <v>0.48499999999999999</v>
      </c>
      <c r="L54" s="8">
        <v>4.8500000000000001E-3</v>
      </c>
      <c r="M54" s="8">
        <v>3.6400000000000002E-2</v>
      </c>
      <c r="N54" s="8">
        <v>1.9400000000000001E-2</v>
      </c>
      <c r="O54" s="8">
        <v>8.43</v>
      </c>
      <c r="P54" s="8">
        <v>1</v>
      </c>
      <c r="Q54" s="8">
        <v>6.44</v>
      </c>
      <c r="R54" s="8">
        <v>1330</v>
      </c>
      <c r="S54" s="8">
        <v>59.3</v>
      </c>
      <c r="T54" s="8">
        <v>59.3</v>
      </c>
      <c r="U54" s="8">
        <v>4.0500000000000001E-2</v>
      </c>
      <c r="V54" s="8">
        <v>4.0500000000000001E-2</v>
      </c>
      <c r="W54" s="9">
        <v>4.8899999999999998E-6</v>
      </c>
      <c r="X54" s="9">
        <v>2.3200000000000001E-5</v>
      </c>
      <c r="Y54" s="9">
        <v>2.8099999999999999E-5</v>
      </c>
      <c r="Z54" s="8" t="s">
        <v>44</v>
      </c>
      <c r="AA54" s="8" t="s">
        <v>44</v>
      </c>
      <c r="AB54" s="8">
        <v>3.16</v>
      </c>
      <c r="AC54" s="8" t="s">
        <v>45</v>
      </c>
      <c r="AD54" s="8" t="s">
        <v>46</v>
      </c>
      <c r="AE54" s="9">
        <v>0.09</v>
      </c>
      <c r="AF54" s="9" t="s">
        <v>644</v>
      </c>
      <c r="AG54" s="8" t="s">
        <v>47</v>
      </c>
      <c r="AI54" s="8">
        <v>0.2</v>
      </c>
      <c r="AJ54" s="8" t="s">
        <v>48</v>
      </c>
      <c r="AK54" s="8" t="s">
        <v>49</v>
      </c>
      <c r="AL54" s="8" t="s">
        <v>50</v>
      </c>
      <c r="AM54" s="8" t="s">
        <v>51</v>
      </c>
      <c r="AN54" s="8">
        <v>59.3</v>
      </c>
      <c r="AO54" s="9">
        <v>9.7799999999999995E-6</v>
      </c>
      <c r="AP54" s="9">
        <v>1.7099999999999999E-5</v>
      </c>
      <c r="AQ54" s="8" t="s">
        <v>52</v>
      </c>
      <c r="AR54" s="8" t="s">
        <v>53</v>
      </c>
      <c r="AS54" s="8" t="s">
        <v>54</v>
      </c>
    </row>
    <row r="55" spans="1:45" x14ac:dyDescent="0.25">
      <c r="A55" s="8" t="s">
        <v>169</v>
      </c>
      <c r="B55" s="8" t="s">
        <v>170</v>
      </c>
      <c r="C55" s="8">
        <v>70.900000000000006</v>
      </c>
      <c r="D55" s="8">
        <v>172</v>
      </c>
      <c r="E55" s="8">
        <v>7.7</v>
      </c>
      <c r="F55" s="8">
        <v>6300</v>
      </c>
      <c r="G55" s="8">
        <v>1.17E-2</v>
      </c>
      <c r="H55" s="8">
        <v>1E-3</v>
      </c>
      <c r="I55" s="9">
        <v>1.0000000000000001E-5</v>
      </c>
      <c r="J55" s="8">
        <v>7.08</v>
      </c>
      <c r="K55" s="8">
        <v>13.22</v>
      </c>
      <c r="L55" s="8" t="s">
        <v>57</v>
      </c>
      <c r="M55" s="8">
        <f>(0.075*K55)</f>
        <v>0.99150000000000005</v>
      </c>
      <c r="N55" s="8">
        <f>(0.04*K55)</f>
        <v>0.52880000000000005</v>
      </c>
      <c r="O55" s="8" t="s">
        <v>57</v>
      </c>
      <c r="P55" s="8">
        <v>1</v>
      </c>
      <c r="Q55" s="8">
        <v>7.36</v>
      </c>
      <c r="R55" s="8" t="s">
        <v>57</v>
      </c>
      <c r="S55" s="8">
        <v>8.3800000000000008</v>
      </c>
      <c r="T55" s="8">
        <v>8.3800000000000008</v>
      </c>
      <c r="U55" s="8" t="s">
        <v>57</v>
      </c>
      <c r="V55" s="8" t="s">
        <v>57</v>
      </c>
      <c r="W55" s="9">
        <v>7.5900000000000002E-5</v>
      </c>
      <c r="X55" s="8">
        <v>3.6000000000000002E-4</v>
      </c>
      <c r="Y55" s="8">
        <v>4.3600000000000003E-4</v>
      </c>
      <c r="Z55" s="8" t="s">
        <v>44</v>
      </c>
      <c r="AA55" s="8" t="s">
        <v>44</v>
      </c>
      <c r="AB55" s="8">
        <v>3.16</v>
      </c>
      <c r="AC55" s="8" t="s">
        <v>45</v>
      </c>
      <c r="AD55" s="8" t="s">
        <v>46</v>
      </c>
      <c r="AE55" s="8">
        <v>0.1</v>
      </c>
      <c r="AF55" s="8" t="s">
        <v>639</v>
      </c>
      <c r="AG55" s="8" t="s">
        <v>47</v>
      </c>
      <c r="AI55" s="8">
        <v>2.0000000000000001E-4</v>
      </c>
      <c r="AJ55" s="8" t="s">
        <v>48</v>
      </c>
      <c r="AK55" s="8" t="s">
        <v>49</v>
      </c>
      <c r="AL55" s="8" t="s">
        <v>110</v>
      </c>
      <c r="AM55" s="8" t="s">
        <v>51</v>
      </c>
      <c r="AN55" s="8">
        <v>8.3800000000000008</v>
      </c>
      <c r="AO55" s="8">
        <v>1.5200000000000001E-4</v>
      </c>
      <c r="AP55" s="8">
        <v>2.6600000000000001E-4</v>
      </c>
      <c r="AQ55" s="8" t="s">
        <v>52</v>
      </c>
      <c r="AR55" s="8" t="s">
        <v>53</v>
      </c>
      <c r="AS55" s="8" t="s">
        <v>54</v>
      </c>
    </row>
    <row r="56" spans="1:45" x14ac:dyDescent="0.25">
      <c r="A56" s="8" t="s">
        <v>558</v>
      </c>
      <c r="B56" s="8" t="s">
        <v>69</v>
      </c>
      <c r="C56" s="8">
        <v>155</v>
      </c>
      <c r="D56" s="8">
        <v>330</v>
      </c>
      <c r="E56" s="9">
        <v>7.1099999999999997E-6</v>
      </c>
      <c r="F56" s="8">
        <v>1640</v>
      </c>
      <c r="G56" s="9">
        <v>6.7000000000000004E-7</v>
      </c>
      <c r="H56" s="8">
        <v>6.6000000000000003E-2</v>
      </c>
      <c r="I56" s="9">
        <v>7.6399999999999997E-6</v>
      </c>
      <c r="J56" s="8">
        <v>85.1</v>
      </c>
      <c r="K56" s="8">
        <v>79</v>
      </c>
      <c r="L56" s="8">
        <v>0.79</v>
      </c>
      <c r="M56" s="8">
        <v>5.92</v>
      </c>
      <c r="N56" s="8">
        <v>3.16</v>
      </c>
      <c r="O56" s="8">
        <v>3.37</v>
      </c>
      <c r="P56" s="8">
        <v>1</v>
      </c>
      <c r="Q56" s="8">
        <v>13.4</v>
      </c>
      <c r="R56" s="8">
        <v>17</v>
      </c>
      <c r="S56" s="8">
        <v>2.97</v>
      </c>
      <c r="T56" s="8">
        <v>2.97</v>
      </c>
      <c r="U56" s="8">
        <v>9.48</v>
      </c>
      <c r="V56" s="8">
        <v>9.48</v>
      </c>
      <c r="W56" s="8">
        <v>5.4799999999999998E-4</v>
      </c>
      <c r="X56" s="8">
        <v>2.5999999999999999E-3</v>
      </c>
      <c r="Y56" s="8">
        <v>3.15E-3</v>
      </c>
      <c r="Z56" s="8" t="s">
        <v>44</v>
      </c>
      <c r="AA56" s="8" t="s">
        <v>44</v>
      </c>
      <c r="AB56" s="8">
        <v>6.11</v>
      </c>
      <c r="AC56" s="8" t="s">
        <v>45</v>
      </c>
      <c r="AD56" s="8" t="s">
        <v>46</v>
      </c>
      <c r="AE56" s="8" t="s">
        <v>56</v>
      </c>
      <c r="AG56" s="8" t="s">
        <v>47</v>
      </c>
      <c r="AI56" s="9">
        <v>3.0000000000000001E-5</v>
      </c>
      <c r="AJ56" s="8" t="s">
        <v>48</v>
      </c>
      <c r="AK56" s="8" t="s">
        <v>49</v>
      </c>
      <c r="AL56" s="8" t="s">
        <v>50</v>
      </c>
      <c r="AM56" s="8" t="s">
        <v>51</v>
      </c>
      <c r="AN56" s="8">
        <v>2.97</v>
      </c>
      <c r="AO56" s="8">
        <v>1.1000000000000001E-3</v>
      </c>
      <c r="AP56" s="8">
        <v>1.92E-3</v>
      </c>
      <c r="AQ56" s="8" t="s">
        <v>52</v>
      </c>
      <c r="AR56" s="8" t="s">
        <v>53</v>
      </c>
      <c r="AS56" s="8" t="s">
        <v>54</v>
      </c>
    </row>
    <row r="57" spans="1:45" x14ac:dyDescent="0.25">
      <c r="A57" s="8" t="s">
        <v>173</v>
      </c>
      <c r="B57" s="8" t="s">
        <v>174</v>
      </c>
      <c r="C57" s="8">
        <v>113</v>
      </c>
      <c r="D57" s="8">
        <v>228</v>
      </c>
      <c r="E57" s="8">
        <v>1.5800000000000002E-2</v>
      </c>
      <c r="F57" s="8">
        <v>470</v>
      </c>
      <c r="G57" s="8">
        <v>3.7000000000000002E-3</v>
      </c>
      <c r="H57" s="8">
        <v>7.2999999999999995E-2</v>
      </c>
      <c r="I57" s="9">
        <v>8.6999999999999997E-6</v>
      </c>
      <c r="J57" s="8">
        <v>631</v>
      </c>
      <c r="K57" s="8">
        <v>224</v>
      </c>
      <c r="L57" s="8">
        <v>0.44</v>
      </c>
      <c r="M57" s="8">
        <v>16.8</v>
      </c>
      <c r="N57" s="8">
        <v>8.9600000000000009</v>
      </c>
      <c r="O57" s="8">
        <v>1.69</v>
      </c>
      <c r="P57" s="8">
        <v>1</v>
      </c>
      <c r="Q57" s="8">
        <v>33.299999999999997</v>
      </c>
      <c r="R57" s="8">
        <v>75.599999999999994</v>
      </c>
      <c r="S57" s="8">
        <v>0.93200000000000005</v>
      </c>
      <c r="T57" s="8">
        <v>0.93200000000000005</v>
      </c>
      <c r="U57" s="8">
        <v>1.4500000000000001E-2</v>
      </c>
      <c r="V57" s="8">
        <v>1.4500000000000001E-2</v>
      </c>
      <c r="W57" s="8">
        <v>1.83E-3</v>
      </c>
      <c r="X57" s="8">
        <v>8.6800000000000002E-3</v>
      </c>
      <c r="Y57" s="8">
        <v>1.0500000000000001E-2</v>
      </c>
      <c r="Z57" s="8">
        <v>4.8900000000000002E-3</v>
      </c>
      <c r="AA57" s="8" t="s">
        <v>44</v>
      </c>
      <c r="AB57" s="8">
        <v>28.6</v>
      </c>
      <c r="AC57" s="8" t="s">
        <v>45</v>
      </c>
      <c r="AD57" s="8" t="s">
        <v>46</v>
      </c>
      <c r="AE57" s="8">
        <v>0.02</v>
      </c>
      <c r="AF57" s="8" t="s">
        <v>639</v>
      </c>
      <c r="AG57" s="8" t="s">
        <v>47</v>
      </c>
      <c r="AI57" s="8">
        <v>1</v>
      </c>
      <c r="AJ57" s="8" t="s">
        <v>48</v>
      </c>
      <c r="AK57" s="8" t="s">
        <v>49</v>
      </c>
      <c r="AL57" s="8" t="s">
        <v>50</v>
      </c>
      <c r="AM57" s="8" t="s">
        <v>51</v>
      </c>
      <c r="AN57" s="8">
        <v>0.93200000000000005</v>
      </c>
      <c r="AO57" s="8">
        <v>3.6600000000000001E-3</v>
      </c>
      <c r="AP57" s="8">
        <v>6.4000000000000003E-3</v>
      </c>
      <c r="AQ57" s="8" t="s">
        <v>52</v>
      </c>
      <c r="AR57" s="8" t="s">
        <v>53</v>
      </c>
      <c r="AS57" s="8" t="s">
        <v>54</v>
      </c>
    </row>
    <row r="58" spans="1:45" x14ac:dyDescent="0.25">
      <c r="A58" s="8" t="s">
        <v>175</v>
      </c>
      <c r="B58" s="8" t="s">
        <v>176</v>
      </c>
      <c r="C58" s="8">
        <v>64.5</v>
      </c>
      <c r="D58" s="8">
        <v>133</v>
      </c>
      <c r="E58" s="8">
        <v>1.32</v>
      </c>
      <c r="F58" s="8">
        <v>5700</v>
      </c>
      <c r="G58" s="8">
        <v>8.8000000000000005E-3</v>
      </c>
      <c r="H58" s="8">
        <v>0.27100000000000002</v>
      </c>
      <c r="I58" s="9">
        <v>1.15E-5</v>
      </c>
      <c r="J58" s="8">
        <v>25.1</v>
      </c>
      <c r="K58" s="8">
        <v>15.4</v>
      </c>
      <c r="L58" s="8">
        <v>3.2000000000000001E-2</v>
      </c>
      <c r="M58" s="8">
        <v>1.1499999999999999</v>
      </c>
      <c r="N58" s="8">
        <v>0.62</v>
      </c>
      <c r="O58" s="8">
        <v>9.0299999999999994</v>
      </c>
      <c r="P58" s="8">
        <v>1</v>
      </c>
      <c r="Q58" s="8">
        <v>9.09</v>
      </c>
      <c r="R58" s="8">
        <v>284</v>
      </c>
      <c r="S58" s="8">
        <v>6.01</v>
      </c>
      <c r="T58" s="8">
        <v>6.01</v>
      </c>
      <c r="U58" s="8">
        <v>1.9699999999999999E-4</v>
      </c>
      <c r="V58" s="8">
        <v>1.9699999999999999E-4</v>
      </c>
      <c r="W58" s="8">
        <v>2.22E-4</v>
      </c>
      <c r="X58" s="8">
        <v>1.0499999999999999E-3</v>
      </c>
      <c r="Y58" s="8">
        <v>1.2800000000000001E-3</v>
      </c>
      <c r="Z58" s="8">
        <v>0.01</v>
      </c>
      <c r="AA58" s="8" t="s">
        <v>44</v>
      </c>
      <c r="AB58" s="8">
        <v>2.39</v>
      </c>
      <c r="AC58" s="8" t="s">
        <v>45</v>
      </c>
      <c r="AD58" s="8" t="s">
        <v>46</v>
      </c>
      <c r="AE58" s="8" t="s">
        <v>56</v>
      </c>
      <c r="AG58" s="8" t="s">
        <v>47</v>
      </c>
      <c r="AI58" s="8">
        <v>10</v>
      </c>
      <c r="AJ58" s="8" t="s">
        <v>48</v>
      </c>
      <c r="AK58" s="8" t="s">
        <v>49</v>
      </c>
      <c r="AL58" s="8" t="s">
        <v>50</v>
      </c>
      <c r="AM58" s="8" t="s">
        <v>51</v>
      </c>
      <c r="AN58" s="8">
        <v>6.01</v>
      </c>
      <c r="AO58" s="8">
        <v>4.44E-4</v>
      </c>
      <c r="AP58" s="8">
        <v>7.76E-4</v>
      </c>
      <c r="AQ58" s="8" t="s">
        <v>52</v>
      </c>
      <c r="AR58" s="8" t="s">
        <v>53</v>
      </c>
      <c r="AS58" s="8" t="s">
        <v>54</v>
      </c>
    </row>
    <row r="59" spans="1:45" x14ac:dyDescent="0.25">
      <c r="A59" s="8" t="s">
        <v>177</v>
      </c>
      <c r="B59" s="8" t="s">
        <v>178</v>
      </c>
      <c r="C59" s="8">
        <v>119</v>
      </c>
      <c r="D59" s="8">
        <v>209</v>
      </c>
      <c r="E59" s="8">
        <v>0.26300000000000001</v>
      </c>
      <c r="F59" s="8">
        <v>7900</v>
      </c>
      <c r="G59" s="8">
        <v>3.7000000000000002E-3</v>
      </c>
      <c r="H59" s="8">
        <v>0.104</v>
      </c>
      <c r="I59" s="9">
        <v>1.0000000000000001E-5</v>
      </c>
      <c r="J59" s="8">
        <v>100</v>
      </c>
      <c r="K59" s="8">
        <v>52.5</v>
      </c>
      <c r="L59" s="8">
        <v>0.08</v>
      </c>
      <c r="M59" s="8">
        <v>3.94</v>
      </c>
      <c r="N59" s="8">
        <v>2.1</v>
      </c>
      <c r="O59" s="8">
        <v>1.41</v>
      </c>
      <c r="P59" s="8">
        <v>1</v>
      </c>
      <c r="Q59" s="8">
        <v>8.0500000000000007</v>
      </c>
      <c r="R59" s="8">
        <v>101</v>
      </c>
      <c r="S59" s="8">
        <v>2.7</v>
      </c>
      <c r="T59" s="8">
        <v>2.7</v>
      </c>
      <c r="U59" s="8">
        <v>2.0400000000000001E-3</v>
      </c>
      <c r="V59" s="8">
        <v>2.0400000000000001E-3</v>
      </c>
      <c r="W59" s="8">
        <v>6.11E-4</v>
      </c>
      <c r="X59" s="8">
        <v>2.8999999999999998E-3</v>
      </c>
      <c r="Y59" s="8">
        <v>3.5100000000000001E-3</v>
      </c>
      <c r="Z59" s="8">
        <v>7.0699999999999995E-4</v>
      </c>
      <c r="AA59" s="8" t="s">
        <v>44</v>
      </c>
      <c r="AB59" s="8">
        <v>6.92</v>
      </c>
      <c r="AC59" s="8" t="s">
        <v>45</v>
      </c>
      <c r="AD59" s="8" t="s">
        <v>46</v>
      </c>
      <c r="AE59" s="8">
        <v>0.01</v>
      </c>
      <c r="AF59" s="8" t="s">
        <v>639</v>
      </c>
      <c r="AG59" s="8">
        <v>3.2000000000000001E-2</v>
      </c>
      <c r="AH59" s="8" t="s">
        <v>640</v>
      </c>
      <c r="AI59" s="8">
        <v>0.3</v>
      </c>
      <c r="AJ59" s="9">
        <v>2.3E-5</v>
      </c>
      <c r="AK59" s="8" t="s">
        <v>49</v>
      </c>
      <c r="AL59" s="8" t="s">
        <v>50</v>
      </c>
      <c r="AM59" s="8" t="s">
        <v>51</v>
      </c>
      <c r="AN59" s="8">
        <v>2.7</v>
      </c>
      <c r="AO59" s="8">
        <v>1.2199999999999999E-3</v>
      </c>
      <c r="AP59" s="8">
        <v>2.14E-3</v>
      </c>
      <c r="AQ59" s="8" t="s">
        <v>52</v>
      </c>
      <c r="AR59" s="8" t="s">
        <v>53</v>
      </c>
      <c r="AS59" s="8" t="s">
        <v>54</v>
      </c>
    </row>
    <row r="60" spans="1:45" x14ac:dyDescent="0.25">
      <c r="A60" s="8" t="s">
        <v>179</v>
      </c>
      <c r="B60" s="8" t="s">
        <v>180</v>
      </c>
      <c r="C60" s="8">
        <v>163</v>
      </c>
      <c r="D60" s="8">
        <v>333</v>
      </c>
      <c r="E60" s="9">
        <v>1.0499999999999999E-5</v>
      </c>
      <c r="F60" s="8">
        <v>11.7</v>
      </c>
      <c r="G60" s="8">
        <v>3.1399999999999999E-4</v>
      </c>
      <c r="H60" s="8">
        <v>1E-3</v>
      </c>
      <c r="I60" s="9">
        <v>1.0000000000000001E-5</v>
      </c>
      <c r="J60" s="8">
        <v>2400</v>
      </c>
      <c r="K60" s="8">
        <v>2100</v>
      </c>
      <c r="L60" s="8">
        <v>21</v>
      </c>
      <c r="M60" s="8">
        <v>158</v>
      </c>
      <c r="N60" s="8">
        <v>84.1</v>
      </c>
      <c r="O60" s="8">
        <v>5.27</v>
      </c>
      <c r="P60" s="8">
        <v>1</v>
      </c>
      <c r="Q60" s="8">
        <v>93</v>
      </c>
      <c r="R60" s="8">
        <v>4.42</v>
      </c>
      <c r="S60" s="8">
        <v>0.43099999999999999</v>
      </c>
      <c r="T60" s="8">
        <v>0.43099999999999999</v>
      </c>
      <c r="U60" s="8">
        <v>0.70799999999999996</v>
      </c>
      <c r="V60" s="8">
        <v>0.70799999999999996</v>
      </c>
      <c r="W60" s="8">
        <v>3.3700000000000002E-3</v>
      </c>
      <c r="X60" s="8">
        <v>1.6E-2</v>
      </c>
      <c r="Y60" s="8">
        <v>1.9400000000000001E-2</v>
      </c>
      <c r="Z60" s="8">
        <v>9.3299999999999994E-2</v>
      </c>
      <c r="AA60" s="8" t="s">
        <v>44</v>
      </c>
      <c r="AB60" s="8">
        <v>79.900000000000006</v>
      </c>
      <c r="AC60" s="8">
        <v>69.3</v>
      </c>
      <c r="AD60" s="8" t="s">
        <v>46</v>
      </c>
      <c r="AE60" s="8">
        <v>0.08</v>
      </c>
      <c r="AF60" s="8" t="s">
        <v>639</v>
      </c>
      <c r="AG60" s="8" t="s">
        <v>47</v>
      </c>
      <c r="AI60" s="8" t="s">
        <v>57</v>
      </c>
      <c r="AJ60" s="8" t="s">
        <v>48</v>
      </c>
      <c r="AK60" s="8" t="s">
        <v>49</v>
      </c>
      <c r="AL60" s="8" t="s">
        <v>50</v>
      </c>
      <c r="AM60" s="8" t="s">
        <v>72</v>
      </c>
      <c r="AN60" s="8">
        <v>0.43099999999999999</v>
      </c>
      <c r="AO60" s="8">
        <v>6.7400000000000003E-3</v>
      </c>
      <c r="AP60" s="8">
        <v>1.18E-2</v>
      </c>
      <c r="AQ60" s="8" t="s">
        <v>52</v>
      </c>
      <c r="AR60" s="8" t="s">
        <v>53</v>
      </c>
      <c r="AS60" s="8" t="s">
        <v>54</v>
      </c>
    </row>
    <row r="61" spans="1:45" x14ac:dyDescent="0.25">
      <c r="A61" s="8" t="s">
        <v>596</v>
      </c>
      <c r="B61" s="8" t="s">
        <v>181</v>
      </c>
      <c r="C61" s="8">
        <v>88.5</v>
      </c>
      <c r="D61" s="8">
        <v>143</v>
      </c>
      <c r="E61" s="8">
        <v>0.28399999999999997</v>
      </c>
      <c r="F61" s="8">
        <v>875</v>
      </c>
      <c r="G61" s="8">
        <v>2.8799999999999999E-2</v>
      </c>
      <c r="H61" s="8">
        <v>9.5600000000000004E-2</v>
      </c>
      <c r="I61" s="9">
        <v>1.11E-5</v>
      </c>
      <c r="J61" s="8">
        <v>339</v>
      </c>
      <c r="K61" s="8">
        <v>121</v>
      </c>
      <c r="L61" s="8">
        <v>1.21</v>
      </c>
      <c r="M61" s="8">
        <v>9.06</v>
      </c>
      <c r="N61" s="8">
        <v>4.83</v>
      </c>
      <c r="O61" s="8">
        <v>8.43</v>
      </c>
      <c r="P61" s="8">
        <v>1</v>
      </c>
      <c r="Q61" s="8">
        <v>20.6</v>
      </c>
      <c r="R61" s="8">
        <v>17.100000000000001</v>
      </c>
      <c r="S61" s="8">
        <v>1.34</v>
      </c>
      <c r="T61" s="8">
        <v>1.34</v>
      </c>
      <c r="U61" s="8">
        <v>9.6199999999999996E-4</v>
      </c>
      <c r="V61" s="8">
        <v>9.6199999999999996E-4</v>
      </c>
      <c r="W61" s="8">
        <v>1.2999999999999999E-3</v>
      </c>
      <c r="X61" s="8">
        <v>6.1999999999999998E-3</v>
      </c>
      <c r="Y61" s="8">
        <v>7.4999999999999997E-3</v>
      </c>
      <c r="Z61" s="8" t="s">
        <v>44</v>
      </c>
      <c r="AA61" s="8" t="s">
        <v>44</v>
      </c>
      <c r="AB61" s="8">
        <v>17.7</v>
      </c>
      <c r="AC61" s="8" t="s">
        <v>45</v>
      </c>
      <c r="AD61" s="8" t="s">
        <v>46</v>
      </c>
      <c r="AF61" s="8" t="s">
        <v>646</v>
      </c>
      <c r="AG61" s="8" t="s">
        <v>47</v>
      </c>
      <c r="AI61" s="8">
        <v>0.02</v>
      </c>
      <c r="AJ61" s="8">
        <v>2.9999999999999997E-4</v>
      </c>
      <c r="AK61" s="8" t="s">
        <v>49</v>
      </c>
      <c r="AL61" s="8" t="s">
        <v>50</v>
      </c>
      <c r="AM61" s="8" t="s">
        <v>51</v>
      </c>
      <c r="AN61" s="8">
        <v>1.34</v>
      </c>
      <c r="AO61" s="8">
        <v>2.6099999999999999E-3</v>
      </c>
      <c r="AP61" s="8">
        <v>4.5700000000000003E-3</v>
      </c>
      <c r="AQ61" s="8" t="s">
        <v>52</v>
      </c>
      <c r="AR61" s="8" t="s">
        <v>53</v>
      </c>
      <c r="AS61" s="8" t="s">
        <v>54</v>
      </c>
    </row>
    <row r="62" spans="1:45" x14ac:dyDescent="0.25">
      <c r="A62" s="8" t="s">
        <v>597</v>
      </c>
      <c r="B62" s="8" t="s">
        <v>187</v>
      </c>
      <c r="C62" s="8">
        <v>52</v>
      </c>
      <c r="D62" s="8">
        <v>2170</v>
      </c>
      <c r="E62" s="8">
        <v>0</v>
      </c>
      <c r="F62" s="8" t="s">
        <v>46</v>
      </c>
      <c r="G62" s="8">
        <v>0</v>
      </c>
      <c r="H62" s="8">
        <v>0.13600000000000001</v>
      </c>
      <c r="I62" s="9">
        <v>1.5800000000000001E-5</v>
      </c>
      <c r="J62" s="8">
        <v>0</v>
      </c>
      <c r="K62" s="8" t="s">
        <v>44</v>
      </c>
      <c r="L62" s="8">
        <v>19</v>
      </c>
      <c r="M62" s="8">
        <v>19</v>
      </c>
      <c r="N62" s="8">
        <v>19</v>
      </c>
      <c r="O62" s="9">
        <v>2.5299999999999999E-6</v>
      </c>
      <c r="P62" s="8">
        <v>0</v>
      </c>
      <c r="Q62" s="8" t="s">
        <v>57</v>
      </c>
      <c r="R62" s="8">
        <v>4.4999999999999997E-3</v>
      </c>
      <c r="S62" s="8">
        <v>4.8799999999999998E-3</v>
      </c>
      <c r="T62" s="8">
        <v>7.4999999999999997E-3</v>
      </c>
      <c r="U62" s="8" t="s">
        <v>57</v>
      </c>
      <c r="V62" s="8" t="s">
        <v>57</v>
      </c>
      <c r="W62" s="8">
        <v>1.5E-3</v>
      </c>
      <c r="X62" s="8">
        <v>5.4999999999999997E-3</v>
      </c>
      <c r="Y62" s="8" t="s">
        <v>62</v>
      </c>
      <c r="Z62" s="8" t="s">
        <v>44</v>
      </c>
      <c r="AA62" s="8" t="s">
        <v>44</v>
      </c>
      <c r="AB62" s="8">
        <v>3</v>
      </c>
      <c r="AC62" s="8" t="s">
        <v>45</v>
      </c>
      <c r="AD62" s="8" t="s">
        <v>46</v>
      </c>
      <c r="AE62" s="8">
        <v>1.5</v>
      </c>
      <c r="AF62" s="8" t="s">
        <v>639</v>
      </c>
      <c r="AG62" s="8" t="s">
        <v>47</v>
      </c>
      <c r="AI62" s="8" t="s">
        <v>57</v>
      </c>
      <c r="AJ62" s="8" t="s">
        <v>48</v>
      </c>
      <c r="AK62" s="8" t="s">
        <v>49</v>
      </c>
      <c r="AL62" s="8" t="s">
        <v>110</v>
      </c>
      <c r="AM62" s="8" t="s">
        <v>111</v>
      </c>
      <c r="AN62" s="8">
        <v>7.4999999999999997E-3</v>
      </c>
      <c r="AO62" s="8" t="s">
        <v>44</v>
      </c>
      <c r="AP62" s="8" t="s">
        <v>44</v>
      </c>
      <c r="AQ62" s="8" t="s">
        <v>52</v>
      </c>
      <c r="AR62" s="8" t="s">
        <v>53</v>
      </c>
      <c r="AS62" s="8" t="s">
        <v>54</v>
      </c>
    </row>
    <row r="63" spans="1:45" x14ac:dyDescent="0.25">
      <c r="A63" s="8" t="s">
        <v>711</v>
      </c>
      <c r="B63" s="8" t="s">
        <v>189</v>
      </c>
      <c r="C63" s="8">
        <v>52</v>
      </c>
      <c r="D63" s="8">
        <v>2170</v>
      </c>
      <c r="E63" s="8">
        <v>0</v>
      </c>
      <c r="F63" s="8" t="s">
        <v>46</v>
      </c>
      <c r="G63" s="8">
        <v>0</v>
      </c>
      <c r="H63" s="8">
        <v>0.13600000000000001</v>
      </c>
      <c r="I63" s="8">
        <v>0</v>
      </c>
      <c r="J63" s="8">
        <v>1</v>
      </c>
      <c r="K63" s="8" t="s">
        <v>44</v>
      </c>
      <c r="L63" s="8">
        <v>19</v>
      </c>
      <c r="M63" s="8">
        <v>19</v>
      </c>
      <c r="N63" s="8">
        <v>19</v>
      </c>
      <c r="O63" s="9">
        <v>2.5299999999999999E-6</v>
      </c>
      <c r="P63" s="8">
        <v>0</v>
      </c>
      <c r="Q63" s="8" t="s">
        <v>57</v>
      </c>
      <c r="R63" s="8">
        <v>4.4999999999999997E-3</v>
      </c>
      <c r="S63" s="8">
        <v>4.8799999999999998E-3</v>
      </c>
      <c r="T63" s="8">
        <v>7.4999999999999997E-3</v>
      </c>
      <c r="U63" s="8" t="s">
        <v>57</v>
      </c>
      <c r="V63" s="8" t="s">
        <v>57</v>
      </c>
      <c r="W63" s="8">
        <v>1.5E-3</v>
      </c>
      <c r="X63" s="8">
        <v>5.4999999999999997E-3</v>
      </c>
      <c r="Y63" s="8" t="s">
        <v>62</v>
      </c>
      <c r="Z63" s="8" t="s">
        <v>44</v>
      </c>
      <c r="AA63" s="8" t="s">
        <v>44</v>
      </c>
      <c r="AB63" s="8">
        <v>3.16</v>
      </c>
      <c r="AC63" s="8" t="s">
        <v>45</v>
      </c>
      <c r="AD63" s="8" t="s">
        <v>46</v>
      </c>
      <c r="AE63" s="8">
        <v>3.0000000000000001E-3</v>
      </c>
      <c r="AF63" s="8" t="s">
        <v>639</v>
      </c>
      <c r="AG63" s="8">
        <v>0.5</v>
      </c>
      <c r="AH63" s="8" t="s">
        <v>647</v>
      </c>
      <c r="AI63" s="9">
        <v>7.9999999999999996E-6</v>
      </c>
      <c r="AJ63" s="8">
        <v>1.2E-2</v>
      </c>
      <c r="AK63" s="8" t="s">
        <v>49</v>
      </c>
      <c r="AL63" s="8" t="s">
        <v>110</v>
      </c>
      <c r="AM63" s="8" t="s">
        <v>111</v>
      </c>
      <c r="AN63" s="8">
        <v>4.4999999999999997E-3</v>
      </c>
      <c r="AO63" s="8" t="s">
        <v>44</v>
      </c>
      <c r="AP63" s="8" t="s">
        <v>44</v>
      </c>
      <c r="AQ63" s="8" t="s">
        <v>52</v>
      </c>
      <c r="AR63" s="8" t="s">
        <v>53</v>
      </c>
      <c r="AS63" s="8" t="s">
        <v>54</v>
      </c>
    </row>
    <row r="64" spans="1:45" x14ac:dyDescent="0.25">
      <c r="A64" s="8" t="s">
        <v>190</v>
      </c>
      <c r="B64" s="8" t="s">
        <v>191</v>
      </c>
      <c r="C64" s="8">
        <v>228</v>
      </c>
      <c r="D64" s="8">
        <v>533</v>
      </c>
      <c r="E64" s="9">
        <v>8.1600000000000008E-12</v>
      </c>
      <c r="F64" s="8">
        <v>6.3E-3</v>
      </c>
      <c r="G64" s="9">
        <v>9.5000000000000005E-5</v>
      </c>
      <c r="H64" s="8">
        <v>1E-3</v>
      </c>
      <c r="I64" s="9">
        <v>1.0000000000000001E-5</v>
      </c>
      <c r="J64" s="8">
        <v>501000</v>
      </c>
      <c r="K64" s="8">
        <v>401000</v>
      </c>
      <c r="L64" s="8">
        <v>60000</v>
      </c>
      <c r="M64" s="8">
        <v>30100</v>
      </c>
      <c r="N64" s="8">
        <v>16000</v>
      </c>
      <c r="O64" s="8">
        <v>0.25</v>
      </c>
      <c r="P64" s="8">
        <v>0.74399999999999999</v>
      </c>
      <c r="Q64" s="8">
        <v>5690</v>
      </c>
      <c r="R64" s="8">
        <v>9.4799999999999995E-2</v>
      </c>
      <c r="S64" s="8">
        <v>1.9699999999999999E-2</v>
      </c>
      <c r="T64" s="8">
        <v>1.9699999999999999E-2</v>
      </c>
      <c r="U64" s="8">
        <v>692</v>
      </c>
      <c r="V64" s="8">
        <v>692</v>
      </c>
      <c r="W64" s="8">
        <v>8.4100000000000008E-3</v>
      </c>
      <c r="X64" s="8">
        <v>3.9899999999999998E-2</v>
      </c>
      <c r="Y64" s="8">
        <v>4.8300000000000003E-2</v>
      </c>
      <c r="Z64" s="8">
        <v>4.3600000000000003</v>
      </c>
      <c r="AA64" s="8" t="s">
        <v>44</v>
      </c>
      <c r="AB64" s="8">
        <v>4890</v>
      </c>
      <c r="AC64" s="8">
        <v>49900</v>
      </c>
      <c r="AD64" s="8" t="s">
        <v>46</v>
      </c>
      <c r="AE64" s="8" t="s">
        <v>56</v>
      </c>
      <c r="AG64" s="8">
        <v>0.17</v>
      </c>
      <c r="AH64" s="8" t="s">
        <v>645</v>
      </c>
      <c r="AI64" s="8" t="s">
        <v>57</v>
      </c>
      <c r="AJ64" s="9">
        <v>1.8000000000000001E-4</v>
      </c>
      <c r="AK64" s="8" t="s">
        <v>49</v>
      </c>
      <c r="AL64" s="8" t="s">
        <v>50</v>
      </c>
      <c r="AM64" s="8" t="s">
        <v>72</v>
      </c>
      <c r="AN64" s="8">
        <v>1.9699999999999999E-2</v>
      </c>
      <c r="AO64" s="8">
        <v>1.6799999999999999E-2</v>
      </c>
      <c r="AP64" s="8">
        <v>2.9399999999999999E-2</v>
      </c>
      <c r="AQ64" s="8" t="s">
        <v>52</v>
      </c>
      <c r="AR64" s="8" t="s">
        <v>53</v>
      </c>
      <c r="AS64" s="8" t="s">
        <v>54</v>
      </c>
    </row>
    <row r="65" spans="1:45" x14ac:dyDescent="0.25">
      <c r="A65" s="8" t="s">
        <v>731</v>
      </c>
      <c r="B65" s="11" t="s">
        <v>732</v>
      </c>
      <c r="C65" s="8">
        <v>242.32</v>
      </c>
      <c r="D65" s="8">
        <v>422.4</v>
      </c>
      <c r="E65" s="9">
        <v>7.1400000000000002E-10</v>
      </c>
      <c r="F65" s="8">
        <v>1.3299999999999999E-2</v>
      </c>
      <c r="G65" s="9">
        <v>5.5300000000000004E-6</v>
      </c>
      <c r="H65" s="8">
        <v>4.8899999999999999E-2</v>
      </c>
      <c r="I65" s="9">
        <v>5.66E-6</v>
      </c>
      <c r="J65" s="9">
        <v>1170000</v>
      </c>
      <c r="K65" s="9">
        <v>290000</v>
      </c>
      <c r="L65" s="8">
        <v>9270</v>
      </c>
      <c r="M65" s="8">
        <v>69500</v>
      </c>
      <c r="N65" s="8">
        <v>37100</v>
      </c>
      <c r="O65" s="8">
        <v>2.11</v>
      </c>
      <c r="P65" s="8">
        <f>(1-0.152)</f>
        <v>0.84799999999999998</v>
      </c>
      <c r="Q65" s="8">
        <v>11000</v>
      </c>
      <c r="R65" s="8">
        <v>1.18</v>
      </c>
      <c r="S65" s="8">
        <v>1.2E-2</v>
      </c>
      <c r="T65" s="8">
        <v>1.2E-2</v>
      </c>
      <c r="U65" s="8">
        <v>125000</v>
      </c>
      <c r="V65" s="8">
        <v>125000</v>
      </c>
      <c r="W65" s="8">
        <v>7.7499999999999999E-3</v>
      </c>
      <c r="X65" s="8">
        <v>3.6799999999999999E-2</v>
      </c>
      <c r="Y65" s="8">
        <v>4.4600000000000001E-2</v>
      </c>
      <c r="Z65" s="8">
        <v>4.3600000000000003</v>
      </c>
      <c r="AB65" s="8">
        <v>764.6</v>
      </c>
      <c r="AC65" s="8">
        <v>1002</v>
      </c>
      <c r="AG65" s="8">
        <v>1.7</v>
      </c>
      <c r="AH65" s="8" t="s">
        <v>645</v>
      </c>
      <c r="AJ65" s="9">
        <v>1.8E-3</v>
      </c>
      <c r="AK65" s="8" t="s">
        <v>49</v>
      </c>
      <c r="AL65" s="8" t="s">
        <v>50</v>
      </c>
      <c r="AM65" s="8" t="s">
        <v>72</v>
      </c>
      <c r="AN65" s="8">
        <v>1.2E-2</v>
      </c>
      <c r="AO65" s="8">
        <v>1.55E-2</v>
      </c>
      <c r="AP65" s="8">
        <v>2.7099999999999999E-2</v>
      </c>
      <c r="AQ65" s="8" t="s">
        <v>52</v>
      </c>
      <c r="AR65" s="8" t="s">
        <v>53</v>
      </c>
      <c r="AS65" s="8" t="s">
        <v>54</v>
      </c>
    </row>
    <row r="66" spans="1:45" x14ac:dyDescent="0.25">
      <c r="A66" s="8" t="s">
        <v>598</v>
      </c>
      <c r="B66" s="8" t="s">
        <v>192</v>
      </c>
      <c r="C66" s="8">
        <v>58.9</v>
      </c>
      <c r="D66" s="8">
        <v>1770</v>
      </c>
      <c r="E66" s="9">
        <v>5.5000000000000004E-12</v>
      </c>
      <c r="F66" s="8">
        <v>87500</v>
      </c>
      <c r="G66" s="8">
        <v>0</v>
      </c>
      <c r="H66" s="8">
        <v>0.126</v>
      </c>
      <c r="I66" s="8">
        <v>0</v>
      </c>
      <c r="J66" s="8">
        <v>1.7</v>
      </c>
      <c r="K66" s="8">
        <v>13.2</v>
      </c>
      <c r="L66" s="8" t="s">
        <v>57</v>
      </c>
      <c r="M66" s="8">
        <f>(0.075*K66)</f>
        <v>0.98999999999999988</v>
      </c>
      <c r="N66" s="8">
        <f>(0.04*K66)</f>
        <v>0.52800000000000002</v>
      </c>
      <c r="O66" s="9">
        <v>2.5299999999999999E-6</v>
      </c>
      <c r="P66" s="8">
        <v>0</v>
      </c>
      <c r="Q66" s="8" t="s">
        <v>57</v>
      </c>
      <c r="R66" s="8">
        <v>7.0000000000000001E-3</v>
      </c>
      <c r="S66" s="8" t="s">
        <v>56</v>
      </c>
      <c r="T66" s="8">
        <v>0.02</v>
      </c>
      <c r="U66" s="9">
        <v>0.02</v>
      </c>
      <c r="V66" s="9">
        <v>0.02</v>
      </c>
      <c r="W66" s="8" t="s">
        <v>62</v>
      </c>
      <c r="X66" s="9">
        <v>0.02</v>
      </c>
      <c r="Y66" s="8" t="s">
        <v>62</v>
      </c>
      <c r="Z66" s="8" t="s">
        <v>44</v>
      </c>
      <c r="AA66" s="8" t="s">
        <v>44</v>
      </c>
      <c r="AB66" s="9">
        <v>0.98119999999999996</v>
      </c>
      <c r="AC66" s="9">
        <v>0.98119999999999996</v>
      </c>
      <c r="AD66" s="8" t="s">
        <v>46</v>
      </c>
      <c r="AE66" s="8">
        <v>2.9999999999999997E-4</v>
      </c>
      <c r="AF66" s="8" t="s">
        <v>644</v>
      </c>
      <c r="AG66" s="8" t="s">
        <v>47</v>
      </c>
      <c r="AI66" s="9">
        <v>6.0000000000000002E-6</v>
      </c>
      <c r="AJ66" s="8">
        <v>8.9999999999999993E-3</v>
      </c>
      <c r="AK66" s="8" t="s">
        <v>49</v>
      </c>
      <c r="AL66" s="8" t="s">
        <v>110</v>
      </c>
      <c r="AM66" s="8" t="s">
        <v>111</v>
      </c>
      <c r="AN66" s="8" t="s">
        <v>44</v>
      </c>
      <c r="AO66" s="8" t="s">
        <v>44</v>
      </c>
      <c r="AP66" s="8" t="s">
        <v>44</v>
      </c>
      <c r="AQ66" s="8" t="s">
        <v>52</v>
      </c>
      <c r="AR66" s="8" t="s">
        <v>53</v>
      </c>
      <c r="AS66" s="8" t="s">
        <v>54</v>
      </c>
    </row>
    <row r="67" spans="1:45" x14ac:dyDescent="0.25">
      <c r="A67" s="8" t="s">
        <v>599</v>
      </c>
      <c r="B67" s="8" t="s">
        <v>193</v>
      </c>
      <c r="C67" s="8">
        <v>64</v>
      </c>
      <c r="D67" s="8">
        <v>1370</v>
      </c>
      <c r="E67" s="8">
        <v>0</v>
      </c>
      <c r="F67" s="8">
        <v>10000</v>
      </c>
      <c r="G67" s="8">
        <v>0</v>
      </c>
      <c r="H67" s="8">
        <v>0.11899999999999999</v>
      </c>
      <c r="I67" s="8">
        <v>0</v>
      </c>
      <c r="J67" s="8">
        <v>0.26900000000000002</v>
      </c>
      <c r="K67" s="8">
        <v>13.2</v>
      </c>
      <c r="L67" s="8" t="s">
        <v>57</v>
      </c>
      <c r="M67" s="8">
        <f>(0.075*K67)</f>
        <v>0.98999999999999988</v>
      </c>
      <c r="N67" s="8">
        <f>(0.04*K67)</f>
        <v>0.52800000000000002</v>
      </c>
      <c r="O67" s="9">
        <v>2.5299999999999999E-6</v>
      </c>
      <c r="P67" s="8">
        <v>0</v>
      </c>
      <c r="Q67" s="8" t="s">
        <v>57</v>
      </c>
      <c r="R67" s="8" t="s">
        <v>57</v>
      </c>
      <c r="S67" s="8" t="s">
        <v>56</v>
      </c>
      <c r="T67" s="8" t="s">
        <v>56</v>
      </c>
      <c r="U67" s="8" t="s">
        <v>57</v>
      </c>
      <c r="V67" s="8" t="s">
        <v>57</v>
      </c>
      <c r="W67" s="8" t="s">
        <v>62</v>
      </c>
      <c r="X67" s="8" t="s">
        <v>62</v>
      </c>
      <c r="Y67" s="8" t="s">
        <v>62</v>
      </c>
      <c r="Z67" s="8" t="s">
        <v>44</v>
      </c>
      <c r="AA67" s="8" t="s">
        <v>44</v>
      </c>
      <c r="AB67" s="8" t="s">
        <v>63</v>
      </c>
      <c r="AC67" s="8" t="s">
        <v>45</v>
      </c>
      <c r="AD67" s="8" t="s">
        <v>46</v>
      </c>
      <c r="AF67" s="8" t="s">
        <v>646</v>
      </c>
      <c r="AG67" s="8" t="s">
        <v>47</v>
      </c>
      <c r="AI67" s="8" t="s">
        <v>57</v>
      </c>
      <c r="AJ67" s="8" t="s">
        <v>48</v>
      </c>
      <c r="AK67" s="8" t="s">
        <v>49</v>
      </c>
      <c r="AL67" s="8" t="s">
        <v>110</v>
      </c>
      <c r="AM67" s="8" t="s">
        <v>111</v>
      </c>
      <c r="AN67" s="8" t="s">
        <v>44</v>
      </c>
      <c r="AO67" s="8" t="s">
        <v>44</v>
      </c>
      <c r="AP67" s="8" t="s">
        <v>44</v>
      </c>
      <c r="AQ67" s="8" t="s">
        <v>52</v>
      </c>
      <c r="AR67" s="8" t="s">
        <v>53</v>
      </c>
      <c r="AS67" s="8" t="s">
        <v>54</v>
      </c>
    </row>
    <row r="68" spans="1:45" x14ac:dyDescent="0.25">
      <c r="A68" s="8" t="s">
        <v>600</v>
      </c>
      <c r="B68" s="8" t="s">
        <v>195</v>
      </c>
      <c r="C68" s="8">
        <v>109</v>
      </c>
      <c r="D68" s="8">
        <v>294</v>
      </c>
      <c r="E68" s="8">
        <v>2.24E-4</v>
      </c>
      <c r="F68" s="8">
        <v>9070</v>
      </c>
      <c r="G68" s="9">
        <v>2.6900000000000001E-6</v>
      </c>
      <c r="H68" s="8">
        <v>8.3199999999999996E-2</v>
      </c>
      <c r="I68" s="9">
        <v>9.6299999999999993E-6</v>
      </c>
      <c r="J68" s="8">
        <v>89.1</v>
      </c>
      <c r="K68" s="8">
        <v>82.6</v>
      </c>
      <c r="L68" s="8">
        <v>0.82599999999999996</v>
      </c>
      <c r="M68" s="8">
        <v>6.2</v>
      </c>
      <c r="N68" s="8">
        <v>3.31</v>
      </c>
      <c r="O68" s="8">
        <v>8.43</v>
      </c>
      <c r="P68" s="8">
        <v>1</v>
      </c>
      <c r="Q68" s="8">
        <v>13.7</v>
      </c>
      <c r="R68" s="8">
        <v>16.600000000000001</v>
      </c>
      <c r="S68" s="8">
        <v>2.89</v>
      </c>
      <c r="T68" s="8">
        <v>2.89</v>
      </c>
      <c r="U68" s="8">
        <v>2.48</v>
      </c>
      <c r="V68" s="8">
        <v>2.48</v>
      </c>
      <c r="W68" s="8">
        <v>5.6499999999999996E-4</v>
      </c>
      <c r="X68" s="8">
        <v>2.6800000000000001E-3</v>
      </c>
      <c r="Y68" s="8">
        <v>3.2499999999999999E-3</v>
      </c>
      <c r="Z68" s="8" t="s">
        <v>44</v>
      </c>
      <c r="AA68" s="8" t="s">
        <v>44</v>
      </c>
      <c r="AB68" s="8">
        <v>6.33</v>
      </c>
      <c r="AC68" s="8" t="s">
        <v>45</v>
      </c>
      <c r="AD68" s="8" t="s">
        <v>46</v>
      </c>
      <c r="AF68" s="8" t="s">
        <v>646</v>
      </c>
      <c r="AG68" s="8" t="s">
        <v>47</v>
      </c>
      <c r="AI68" s="8">
        <v>0.6</v>
      </c>
      <c r="AJ68" s="8" t="s">
        <v>48</v>
      </c>
      <c r="AK68" s="8" t="s">
        <v>49</v>
      </c>
      <c r="AL68" s="8" t="s">
        <v>50</v>
      </c>
      <c r="AM68" s="8" t="s">
        <v>51</v>
      </c>
      <c r="AN68" s="8">
        <v>2.89</v>
      </c>
      <c r="AO68" s="8">
        <v>1.1299999999999999E-3</v>
      </c>
      <c r="AP68" s="8">
        <v>1.98E-3</v>
      </c>
      <c r="AQ68" s="8" t="s">
        <v>52</v>
      </c>
      <c r="AR68" s="8" t="s">
        <v>53</v>
      </c>
      <c r="AS68" s="8" t="s">
        <v>54</v>
      </c>
    </row>
    <row r="69" spans="1:45" x14ac:dyDescent="0.25">
      <c r="A69" s="8" t="s">
        <v>204</v>
      </c>
      <c r="B69" s="8" t="s">
        <v>205</v>
      </c>
      <c r="C69" s="8">
        <v>120</v>
      </c>
      <c r="D69" s="8">
        <v>177</v>
      </c>
      <c r="E69" s="8">
        <v>5.9199999999999999E-3</v>
      </c>
      <c r="F69" s="8">
        <v>61</v>
      </c>
      <c r="G69" s="8">
        <v>1.2</v>
      </c>
      <c r="H69" s="8">
        <v>6.5000000000000002E-2</v>
      </c>
      <c r="I69" s="9">
        <v>7.0999999999999998E-6</v>
      </c>
      <c r="J69" s="8">
        <v>5010</v>
      </c>
      <c r="K69" s="8">
        <v>1020</v>
      </c>
      <c r="L69" s="8">
        <v>600</v>
      </c>
      <c r="M69" s="8">
        <v>76.5</v>
      </c>
      <c r="N69" s="8">
        <v>40.799999999999997</v>
      </c>
      <c r="O69" s="8">
        <v>31.6</v>
      </c>
      <c r="P69" s="8">
        <v>1</v>
      </c>
      <c r="Q69" s="8">
        <v>164</v>
      </c>
      <c r="R69" s="8">
        <v>0.27300000000000002</v>
      </c>
      <c r="S69" s="8">
        <v>0.28100000000000003</v>
      </c>
      <c r="T69" s="8">
        <v>0.28100000000000003</v>
      </c>
      <c r="U69" s="8">
        <v>4.06E-4</v>
      </c>
      <c r="V69" s="8">
        <v>4.06E-4</v>
      </c>
      <c r="W69" s="8">
        <v>4.4200000000000003E-3</v>
      </c>
      <c r="X69" s="8">
        <v>2.1000000000000001E-2</v>
      </c>
      <c r="Y69" s="8">
        <v>2.5399999999999999E-2</v>
      </c>
      <c r="Z69" s="8">
        <v>3.2599999999999997E-2</v>
      </c>
      <c r="AA69" s="8" t="s">
        <v>44</v>
      </c>
      <c r="AB69" s="8">
        <v>141</v>
      </c>
      <c r="AC69" s="8" t="s">
        <v>45</v>
      </c>
      <c r="AD69" s="8" t="s">
        <v>46</v>
      </c>
      <c r="AE69" s="8">
        <v>0.1</v>
      </c>
      <c r="AF69" s="8" t="s">
        <v>639</v>
      </c>
      <c r="AG69" s="8" t="s">
        <v>47</v>
      </c>
      <c r="AI69" s="8">
        <v>0.4</v>
      </c>
      <c r="AJ69" s="8" t="s">
        <v>48</v>
      </c>
      <c r="AK69" s="8" t="s">
        <v>49</v>
      </c>
      <c r="AL69" s="8" t="s">
        <v>50</v>
      </c>
      <c r="AM69" s="8" t="s">
        <v>51</v>
      </c>
      <c r="AN69" s="8">
        <v>0.28100000000000003</v>
      </c>
      <c r="AO69" s="8">
        <v>8.8500000000000002E-3</v>
      </c>
      <c r="AP69" s="8">
        <v>1.55E-2</v>
      </c>
      <c r="AQ69" s="8" t="s">
        <v>52</v>
      </c>
      <c r="AR69" s="8" t="s">
        <v>53</v>
      </c>
      <c r="AS69" s="8" t="s">
        <v>54</v>
      </c>
    </row>
    <row r="70" spans="1:45" x14ac:dyDescent="0.25">
      <c r="A70" s="8" t="s">
        <v>601</v>
      </c>
      <c r="B70" s="8" t="s">
        <v>206</v>
      </c>
      <c r="C70" s="8">
        <v>26.02</v>
      </c>
      <c r="D70" s="8" t="s">
        <v>60</v>
      </c>
      <c r="E70" s="8">
        <v>0.40799999999999997</v>
      </c>
      <c r="F70" s="8">
        <v>95400</v>
      </c>
      <c r="G70" s="8">
        <v>2.4E-2</v>
      </c>
      <c r="H70" s="8">
        <v>1E-3</v>
      </c>
      <c r="I70" s="9">
        <v>1.0000000000000001E-5</v>
      </c>
      <c r="J70" s="8">
        <v>0.20417379399999999</v>
      </c>
      <c r="K70" s="8">
        <v>0.34</v>
      </c>
      <c r="L70" s="8">
        <v>9.9</v>
      </c>
      <c r="M70" s="8">
        <v>0.03</v>
      </c>
      <c r="N70" s="8">
        <v>1.4E-2</v>
      </c>
      <c r="O70" s="8" t="s">
        <v>57</v>
      </c>
      <c r="P70" s="8">
        <v>1</v>
      </c>
      <c r="Q70" s="8">
        <v>6.39</v>
      </c>
      <c r="R70" s="8">
        <v>0.64600000000000002</v>
      </c>
      <c r="S70" s="8">
        <v>8.3800000000000008</v>
      </c>
      <c r="T70" s="8">
        <v>8.3800000000000008</v>
      </c>
      <c r="U70" s="9">
        <v>4.2899999999999999E-7</v>
      </c>
      <c r="V70" s="9">
        <v>4.2899999999999999E-7</v>
      </c>
      <c r="W70" s="9">
        <v>1.9099999999999999E-6</v>
      </c>
      <c r="X70" s="9">
        <v>9.0699999999999996E-6</v>
      </c>
      <c r="Y70" s="9">
        <v>1.1E-5</v>
      </c>
      <c r="Z70" s="8" t="s">
        <v>44</v>
      </c>
      <c r="AA70" s="8" t="s">
        <v>44</v>
      </c>
      <c r="AB70" s="8">
        <v>3.16</v>
      </c>
      <c r="AC70" s="8" t="s">
        <v>45</v>
      </c>
      <c r="AD70" s="8" t="s">
        <v>46</v>
      </c>
      <c r="AE70" s="8">
        <v>5.9999999999999995E-4</v>
      </c>
      <c r="AF70" s="8" t="s">
        <v>639</v>
      </c>
      <c r="AG70" s="8" t="s">
        <v>47</v>
      </c>
      <c r="AI70" s="8">
        <v>3.0000000000000001E-3</v>
      </c>
      <c r="AJ70" s="8" t="s">
        <v>48</v>
      </c>
      <c r="AK70" s="8" t="s">
        <v>49</v>
      </c>
      <c r="AL70" s="8" t="s">
        <v>50</v>
      </c>
      <c r="AM70" s="8" t="s">
        <v>51</v>
      </c>
      <c r="AN70" s="8">
        <v>8.3800000000000008</v>
      </c>
      <c r="AO70" s="9">
        <v>3.8199999999999998E-6</v>
      </c>
      <c r="AP70" s="9">
        <v>6.6800000000000004E-6</v>
      </c>
      <c r="AQ70" s="8" t="s">
        <v>52</v>
      </c>
      <c r="AR70" s="8" t="s">
        <v>53</v>
      </c>
      <c r="AS70" s="8" t="s">
        <v>54</v>
      </c>
    </row>
    <row r="71" spans="1:45" x14ac:dyDescent="0.25">
      <c r="A71" s="10" t="s">
        <v>488</v>
      </c>
      <c r="B71" s="10" t="s">
        <v>489</v>
      </c>
      <c r="C71" s="8">
        <v>84.16</v>
      </c>
      <c r="D71" s="8">
        <v>191.28</v>
      </c>
      <c r="E71" s="8">
        <v>0.123</v>
      </c>
      <c r="F71" s="8">
        <v>43.02</v>
      </c>
      <c r="G71" s="9">
        <v>0.255</v>
      </c>
      <c r="H71" s="9">
        <v>0.08</v>
      </c>
      <c r="I71" s="9">
        <v>9.1099999999999992E-6</v>
      </c>
      <c r="J71" s="8">
        <v>1513.6</v>
      </c>
      <c r="K71" s="9">
        <v>145.80000000000001</v>
      </c>
      <c r="M71" s="8">
        <f>(0.075*K71)</f>
        <v>10.935</v>
      </c>
      <c r="N71" s="8">
        <f>(0.04*K71)</f>
        <v>5.8320000000000007</v>
      </c>
      <c r="P71" s="8">
        <v>1</v>
      </c>
      <c r="U71" s="9">
        <v>0.38900000000000001</v>
      </c>
      <c r="V71" s="9">
        <v>0.38900000000000001</v>
      </c>
      <c r="W71" s="9">
        <v>2.1800000000000001E-5</v>
      </c>
      <c r="X71" s="9">
        <v>6.8899999999999994E-5</v>
      </c>
      <c r="Y71" s="9"/>
      <c r="AB71" s="8">
        <v>0.83</v>
      </c>
      <c r="AO71" s="9"/>
      <c r="AP71" s="9"/>
    </row>
    <row r="72" spans="1:45" x14ac:dyDescent="0.25">
      <c r="A72" s="10" t="s">
        <v>522</v>
      </c>
      <c r="B72" s="10" t="s">
        <v>523</v>
      </c>
      <c r="C72" s="8">
        <v>498.66</v>
      </c>
      <c r="D72" s="8">
        <v>473.37</v>
      </c>
      <c r="E72" s="9">
        <v>1.3400000000000001E-13</v>
      </c>
      <c r="F72" s="9">
        <v>6.3200000000000005E-5</v>
      </c>
      <c r="G72" s="9">
        <v>1.9999999999999999E-6</v>
      </c>
      <c r="I72" s="9"/>
      <c r="J72" s="9">
        <v>186000000</v>
      </c>
      <c r="K72" s="9">
        <v>440000</v>
      </c>
      <c r="M72" s="8">
        <f>(0.075*K72)</f>
        <v>33000</v>
      </c>
      <c r="N72" s="8">
        <f>(0.04*K72)</f>
        <v>17600</v>
      </c>
      <c r="P72" s="8">
        <f>(1-0.0126)</f>
        <v>0.98740000000000006</v>
      </c>
      <c r="U72" s="9"/>
      <c r="V72" s="9"/>
      <c r="W72" s="9"/>
      <c r="X72" s="9"/>
      <c r="Y72" s="9"/>
      <c r="AM72" s="8" t="s">
        <v>65</v>
      </c>
      <c r="AO72" s="9"/>
      <c r="AP72" s="9"/>
    </row>
    <row r="73" spans="1:45" x14ac:dyDescent="0.25">
      <c r="A73" s="8" t="s">
        <v>609</v>
      </c>
      <c r="B73" s="8" t="s">
        <v>207</v>
      </c>
      <c r="C73" s="8">
        <v>278</v>
      </c>
      <c r="D73" s="8">
        <v>543</v>
      </c>
      <c r="E73" s="9">
        <v>1.3199999999999999E-13</v>
      </c>
      <c r="F73" s="8">
        <v>2.5000000000000001E-3</v>
      </c>
      <c r="G73" s="9">
        <v>1.4999999999999999E-8</v>
      </c>
      <c r="H73" s="8">
        <v>1E-3</v>
      </c>
      <c r="I73" s="9">
        <v>1.0000000000000001E-5</v>
      </c>
      <c r="J73" s="8">
        <v>3160000</v>
      </c>
      <c r="K73" s="8">
        <v>1790000</v>
      </c>
      <c r="L73" s="8">
        <v>580000</v>
      </c>
      <c r="M73" s="8">
        <v>134000</v>
      </c>
      <c r="N73" s="8">
        <v>71600</v>
      </c>
      <c r="O73" s="8">
        <v>0.27</v>
      </c>
      <c r="P73" s="8">
        <v>5.5E-2</v>
      </c>
      <c r="Q73" s="8">
        <v>23500</v>
      </c>
      <c r="R73" s="8">
        <v>4.0500000000000001E-2</v>
      </c>
      <c r="S73" s="8">
        <v>6.7799999999999996E-3</v>
      </c>
      <c r="T73" s="8">
        <v>6.7799999999999996E-3</v>
      </c>
      <c r="U73" s="8">
        <v>31200000</v>
      </c>
      <c r="V73" s="8">
        <v>31200000</v>
      </c>
      <c r="W73" s="8">
        <v>6.5199999999999998E-3</v>
      </c>
      <c r="X73" s="8">
        <v>3.1E-2</v>
      </c>
      <c r="Y73" s="8">
        <v>3.7499999999999999E-2</v>
      </c>
      <c r="Z73" s="8">
        <v>28</v>
      </c>
      <c r="AA73" s="8" t="s">
        <v>44</v>
      </c>
      <c r="AB73" s="8">
        <v>20200</v>
      </c>
      <c r="AC73" s="8">
        <v>497000</v>
      </c>
      <c r="AD73" s="8" t="s">
        <v>46</v>
      </c>
      <c r="AE73" s="8" t="s">
        <v>56</v>
      </c>
      <c r="AG73" s="8">
        <v>17</v>
      </c>
      <c r="AH73" s="8" t="s">
        <v>645</v>
      </c>
      <c r="AI73" s="8" t="s">
        <v>57</v>
      </c>
      <c r="AJ73" s="9">
        <v>1.7999999999999999E-2</v>
      </c>
      <c r="AK73" s="8" t="s">
        <v>49</v>
      </c>
      <c r="AL73" s="8" t="s">
        <v>50</v>
      </c>
      <c r="AM73" s="8" t="s">
        <v>72</v>
      </c>
      <c r="AN73" s="8">
        <v>6.7799999999999996E-3</v>
      </c>
      <c r="AO73" s="8">
        <v>1.2999999999999999E-2</v>
      </c>
      <c r="AP73" s="8">
        <v>2.2800000000000001E-2</v>
      </c>
      <c r="AQ73" s="8" t="s">
        <v>52</v>
      </c>
      <c r="AR73" s="8" t="s">
        <v>53</v>
      </c>
      <c r="AS73" s="8" t="s">
        <v>54</v>
      </c>
    </row>
    <row r="74" spans="1:45" x14ac:dyDescent="0.25">
      <c r="A74" s="8" t="s">
        <v>602</v>
      </c>
      <c r="B74" s="8" t="s">
        <v>209</v>
      </c>
      <c r="C74" s="8">
        <v>302.38</v>
      </c>
      <c r="D74" s="8">
        <v>489.15</v>
      </c>
      <c r="E74" s="9">
        <v>9.2999999999999995E-14</v>
      </c>
      <c r="F74" s="8">
        <v>2.4000000000000001E-4</v>
      </c>
      <c r="G74" s="9">
        <v>1.4E-8</v>
      </c>
      <c r="H74" s="8">
        <v>4.2200000000000001E-2</v>
      </c>
      <c r="I74" s="9">
        <v>4.9300000000000002E-6</v>
      </c>
      <c r="J74" s="8">
        <v>19054607.18</v>
      </c>
      <c r="K74" s="8">
        <v>4910000</v>
      </c>
      <c r="L74" s="8">
        <v>49100</v>
      </c>
      <c r="M74" s="8">
        <v>368250</v>
      </c>
      <c r="N74" s="8">
        <v>196400</v>
      </c>
      <c r="O74" s="8">
        <v>0.48</v>
      </c>
      <c r="P74" s="8">
        <v>1.2E-2</v>
      </c>
      <c r="Q74" s="8">
        <v>93682.106530000005</v>
      </c>
      <c r="R74" s="8">
        <v>1.9079858759999999</v>
      </c>
      <c r="S74" s="8">
        <v>2.399717E-3</v>
      </c>
      <c r="T74" s="8">
        <v>2.399717E-3</v>
      </c>
      <c r="U74" s="8">
        <v>226192136.59999999</v>
      </c>
      <c r="V74" s="8">
        <v>226192136.59999999</v>
      </c>
      <c r="W74" s="8">
        <v>3.8443100000000001E-3</v>
      </c>
      <c r="X74" s="8">
        <v>1.8260472E-2</v>
      </c>
      <c r="Y74" s="8">
        <v>2.2104782E-2</v>
      </c>
      <c r="Z74" s="8">
        <v>3.79</v>
      </c>
      <c r="AA74" s="8" t="s">
        <v>44</v>
      </c>
      <c r="AB74" s="8">
        <v>26693.160639999998</v>
      </c>
      <c r="AC74" s="8">
        <v>133000</v>
      </c>
      <c r="AD74" s="8" t="s">
        <v>46</v>
      </c>
      <c r="AE74" s="8" t="s">
        <v>56</v>
      </c>
      <c r="AG74" s="8">
        <v>0.68</v>
      </c>
      <c r="AH74" s="8" t="s">
        <v>645</v>
      </c>
      <c r="AI74" s="8" t="s">
        <v>57</v>
      </c>
      <c r="AJ74" s="9">
        <v>7.2000000000000005E-4</v>
      </c>
      <c r="AK74" s="8" t="s">
        <v>49</v>
      </c>
      <c r="AL74" s="8" t="s">
        <v>61</v>
      </c>
      <c r="AM74" s="8" t="s">
        <v>72</v>
      </c>
      <c r="AN74" s="8">
        <v>1.32E-2</v>
      </c>
      <c r="AO74" s="8">
        <v>1.5800000000000002E-2</v>
      </c>
      <c r="AP74" s="8">
        <v>2.7699999999999999E-2</v>
      </c>
      <c r="AQ74" s="8" t="s">
        <v>52</v>
      </c>
      <c r="AR74" s="8" t="s">
        <v>53</v>
      </c>
      <c r="AS74" s="8" t="s">
        <v>54</v>
      </c>
    </row>
    <row r="75" spans="1:45" x14ac:dyDescent="0.25">
      <c r="A75" s="10" t="s">
        <v>603</v>
      </c>
      <c r="B75" s="10" t="s">
        <v>552</v>
      </c>
      <c r="C75" s="8">
        <v>279.33999999999997</v>
      </c>
      <c r="D75" s="8">
        <v>469</v>
      </c>
      <c r="E75" s="9">
        <v>1.04E-12</v>
      </c>
      <c r="F75" s="8">
        <v>1.6E-2</v>
      </c>
      <c r="G75" s="9">
        <v>427000</v>
      </c>
      <c r="H75" s="9">
        <v>4.4499999999999998E-2</v>
      </c>
      <c r="I75" s="9">
        <v>5.2000000000000002E-6</v>
      </c>
      <c r="J75" s="9">
        <v>537000</v>
      </c>
      <c r="K75" s="9">
        <v>1910000</v>
      </c>
      <c r="L75" s="8">
        <v>939</v>
      </c>
      <c r="M75" s="8">
        <f>(0.075*K75)</f>
        <v>143250</v>
      </c>
      <c r="N75" s="8">
        <f>(0.04*K75)</f>
        <v>76400</v>
      </c>
      <c r="O75" s="8">
        <v>0.48</v>
      </c>
      <c r="P75" s="8">
        <f>(1-0.878)</f>
        <v>0.122</v>
      </c>
      <c r="Q75" s="8">
        <v>5394.5676999999996</v>
      </c>
      <c r="R75" s="8">
        <v>5.7450135250000001</v>
      </c>
      <c r="S75" s="8">
        <v>2.0452199000000001E-2</v>
      </c>
      <c r="T75" s="8">
        <v>2.0452199000000001E-2</v>
      </c>
      <c r="U75" s="9">
        <v>1.83E-2</v>
      </c>
      <c r="V75" s="9">
        <v>3.6600000000000001E-3</v>
      </c>
      <c r="W75" s="9">
        <v>4.2399999999999998E-3</v>
      </c>
      <c r="X75" s="9">
        <v>1.34E-2</v>
      </c>
      <c r="Y75" s="8">
        <v>4.5499999999999999E-2</v>
      </c>
      <c r="Z75" s="8">
        <v>10.7</v>
      </c>
      <c r="AB75" s="9">
        <v>107</v>
      </c>
      <c r="AC75" s="8">
        <v>133000</v>
      </c>
      <c r="AJ75" s="9">
        <v>1.8000000000000001E-4</v>
      </c>
      <c r="AL75" s="8" t="s">
        <v>50</v>
      </c>
      <c r="AM75" s="8" t="s">
        <v>72</v>
      </c>
      <c r="AN75" s="8">
        <v>1.32E-2</v>
      </c>
      <c r="AO75" s="8">
        <v>1.5800000000000002E-2</v>
      </c>
      <c r="AP75" s="8">
        <v>2.7699999999999999E-2</v>
      </c>
    </row>
    <row r="76" spans="1:45" x14ac:dyDescent="0.25">
      <c r="A76" s="8" t="s">
        <v>604</v>
      </c>
      <c r="B76" s="8" t="s">
        <v>211</v>
      </c>
      <c r="C76" s="8">
        <v>302.38</v>
      </c>
      <c r="D76" s="8">
        <v>489.15</v>
      </c>
      <c r="E76" s="9">
        <v>8.4399999999999999E-15</v>
      </c>
      <c r="F76" s="8">
        <v>5.5400000000000002E-4</v>
      </c>
      <c r="G76" s="9">
        <v>1.4100000000000001E-8</v>
      </c>
      <c r="H76" s="8">
        <v>4.2200000000000001E-2</v>
      </c>
      <c r="I76" s="9">
        <v>4.9300000000000002E-6</v>
      </c>
      <c r="J76" s="8">
        <v>19054607.18</v>
      </c>
      <c r="K76" s="8">
        <v>2080000</v>
      </c>
      <c r="L76" s="8">
        <v>20800</v>
      </c>
      <c r="M76" s="8">
        <v>156000</v>
      </c>
      <c r="N76" s="8">
        <v>83200</v>
      </c>
      <c r="O76" s="8">
        <v>0.48</v>
      </c>
      <c r="P76" s="8">
        <v>1.1000000000000001E-3</v>
      </c>
      <c r="Q76" s="8">
        <v>93682.106530000005</v>
      </c>
      <c r="R76" s="8">
        <v>4.5039474290000001</v>
      </c>
      <c r="S76" s="8">
        <v>2.399717E-3</v>
      </c>
      <c r="T76" s="8">
        <v>2.399717E-3</v>
      </c>
      <c r="U76" s="8">
        <v>224587937</v>
      </c>
      <c r="V76" s="8">
        <v>224587937</v>
      </c>
      <c r="W76" s="8">
        <v>3.8443100000000001E-3</v>
      </c>
      <c r="X76" s="8">
        <v>1.8260472E-2</v>
      </c>
      <c r="Y76" s="8">
        <v>2.2104782E-2</v>
      </c>
      <c r="Z76" s="8">
        <v>10.7</v>
      </c>
      <c r="AA76" s="8" t="s">
        <v>44</v>
      </c>
      <c r="AB76" s="8">
        <v>26693.160639999998</v>
      </c>
      <c r="AC76" s="8">
        <v>133000</v>
      </c>
      <c r="AD76" s="8" t="s">
        <v>46</v>
      </c>
      <c r="AE76" s="8" t="s">
        <v>56</v>
      </c>
      <c r="AG76" s="8">
        <v>1.5</v>
      </c>
      <c r="AH76" s="8" t="s">
        <v>645</v>
      </c>
      <c r="AI76" s="8" t="s">
        <v>57</v>
      </c>
      <c r="AJ76" s="9">
        <v>1.6000000000000001E-3</v>
      </c>
      <c r="AK76" s="8" t="s">
        <v>49</v>
      </c>
      <c r="AL76" s="8" t="s">
        <v>61</v>
      </c>
      <c r="AM76" s="8" t="s">
        <v>72</v>
      </c>
      <c r="AN76" s="8">
        <v>1.32E-2</v>
      </c>
      <c r="AO76" s="8">
        <v>1.5800000000000002E-2</v>
      </c>
      <c r="AP76" s="8">
        <v>2.7699999999999999E-2</v>
      </c>
      <c r="AQ76" s="8" t="s">
        <v>52</v>
      </c>
      <c r="AR76" s="8" t="s">
        <v>53</v>
      </c>
      <c r="AS76" s="8" t="s">
        <v>54</v>
      </c>
    </row>
    <row r="77" spans="1:45" x14ac:dyDescent="0.25">
      <c r="A77" s="8" t="s">
        <v>605</v>
      </c>
      <c r="B77" s="8" t="s">
        <v>213</v>
      </c>
      <c r="C77" s="8">
        <v>302.38</v>
      </c>
      <c r="D77" s="8">
        <v>489.15</v>
      </c>
      <c r="E77" s="9">
        <v>8.3999999999999992E-15</v>
      </c>
      <c r="F77" s="8">
        <v>5.5400000000000002E-4</v>
      </c>
      <c r="G77" s="9">
        <v>1.4100000000000001E-8</v>
      </c>
      <c r="H77" s="8">
        <v>4.2200000000000001E-2</v>
      </c>
      <c r="I77" s="9">
        <v>4.9300000000000002E-6</v>
      </c>
      <c r="J77" s="8">
        <v>19054607.18</v>
      </c>
      <c r="K77" s="8">
        <v>2080000</v>
      </c>
      <c r="L77" s="8">
        <v>20800</v>
      </c>
      <c r="M77" s="8">
        <v>156000</v>
      </c>
      <c r="N77" s="8">
        <v>83200</v>
      </c>
      <c r="O77" s="8">
        <v>0.48</v>
      </c>
      <c r="P77" s="8">
        <v>1.1000000000000001E-3</v>
      </c>
      <c r="Q77" s="8">
        <v>93682.106530000005</v>
      </c>
      <c r="R77" s="8">
        <v>4.5039474290000001</v>
      </c>
      <c r="S77" s="8">
        <v>2.399717E-3</v>
      </c>
      <c r="T77" s="8">
        <v>2.399717E-3</v>
      </c>
      <c r="U77" s="8">
        <v>224587937</v>
      </c>
      <c r="V77" s="8">
        <v>224587937</v>
      </c>
      <c r="W77" s="8">
        <v>3.8443100000000001E-3</v>
      </c>
      <c r="X77" s="8">
        <v>1.8260472E-2</v>
      </c>
      <c r="Y77" s="8">
        <v>2.2104782E-2</v>
      </c>
      <c r="Z77" s="8">
        <v>10.7</v>
      </c>
      <c r="AA77" s="8" t="s">
        <v>44</v>
      </c>
      <c r="AB77" s="8">
        <v>26693.160639999998</v>
      </c>
      <c r="AC77" s="8">
        <v>133000</v>
      </c>
      <c r="AD77" s="8" t="s">
        <v>46</v>
      </c>
      <c r="AE77" s="8" t="s">
        <v>56</v>
      </c>
      <c r="AG77" s="8">
        <v>1</v>
      </c>
      <c r="AH77" s="8" t="s">
        <v>645</v>
      </c>
      <c r="AI77" s="8" t="s">
        <v>57</v>
      </c>
      <c r="AJ77" s="9">
        <v>5.3999999999999999E-2</v>
      </c>
      <c r="AK77" s="8" t="s">
        <v>49</v>
      </c>
      <c r="AL77" s="8" t="s">
        <v>61</v>
      </c>
      <c r="AM77" s="8" t="s">
        <v>72</v>
      </c>
      <c r="AN77" s="8">
        <v>1.32E-2</v>
      </c>
      <c r="AO77" s="8">
        <v>1.5800000000000002E-2</v>
      </c>
      <c r="AP77" s="8">
        <v>2.7699999999999999E-2</v>
      </c>
      <c r="AQ77" s="8" t="s">
        <v>52</v>
      </c>
      <c r="AR77" s="8" t="s">
        <v>53</v>
      </c>
      <c r="AS77" s="8" t="s">
        <v>54</v>
      </c>
    </row>
    <row r="78" spans="1:45" x14ac:dyDescent="0.25">
      <c r="A78" s="8" t="s">
        <v>606</v>
      </c>
      <c r="B78" s="8" t="s">
        <v>215</v>
      </c>
      <c r="C78" s="8">
        <v>279.33999999999997</v>
      </c>
      <c r="D78" s="8">
        <v>468.15</v>
      </c>
      <c r="E78" s="9">
        <v>9.9999999999999998E-13</v>
      </c>
      <c r="F78" s="8">
        <v>1.6E-2</v>
      </c>
      <c r="G78" s="9">
        <v>1.9000000000000001E-9</v>
      </c>
      <c r="H78" s="8">
        <v>4.4499999999999998E-2</v>
      </c>
      <c r="I78" s="9">
        <v>5.2000000000000002E-6</v>
      </c>
      <c r="J78" s="8">
        <v>467735.14130000002</v>
      </c>
      <c r="K78" s="8">
        <v>93900</v>
      </c>
      <c r="L78" s="8">
        <v>939</v>
      </c>
      <c r="M78" s="8">
        <v>7042.5</v>
      </c>
      <c r="N78" s="8">
        <v>3756</v>
      </c>
      <c r="O78" s="8">
        <v>0.48</v>
      </c>
      <c r="P78" s="8">
        <v>7.4800000000000005E-2</v>
      </c>
      <c r="Q78" s="8">
        <v>5394.5676999999996</v>
      </c>
      <c r="R78" s="8">
        <v>5.7450135250000001</v>
      </c>
      <c r="S78" s="8">
        <v>2.0452199000000001E-2</v>
      </c>
      <c r="T78" s="8">
        <v>2.0452199000000001E-2</v>
      </c>
      <c r="U78" s="8">
        <v>32151551.690000001</v>
      </c>
      <c r="V78" s="8">
        <v>32151551.690000001</v>
      </c>
      <c r="W78" s="8">
        <v>8.4375990000000005E-3</v>
      </c>
      <c r="X78" s="8">
        <v>4.0078596000000001E-2</v>
      </c>
      <c r="Y78" s="8">
        <v>4.8516194999999998E-2</v>
      </c>
      <c r="Z78" s="8">
        <v>10.7</v>
      </c>
      <c r="AA78" s="8" t="s">
        <v>44</v>
      </c>
      <c r="AB78" s="8">
        <v>4633.4021940000002</v>
      </c>
      <c r="AC78" s="8">
        <v>133000</v>
      </c>
      <c r="AD78" s="8" t="s">
        <v>46</v>
      </c>
      <c r="AE78" s="8" t="s">
        <v>56</v>
      </c>
      <c r="AG78" s="8">
        <v>0.17</v>
      </c>
      <c r="AH78" s="8" t="s">
        <v>645</v>
      </c>
      <c r="AI78" s="8" t="s">
        <v>57</v>
      </c>
      <c r="AJ78" s="9">
        <v>1.8000000000000001E-4</v>
      </c>
      <c r="AK78" s="8" t="s">
        <v>49</v>
      </c>
      <c r="AL78" s="8" t="s">
        <v>50</v>
      </c>
      <c r="AM78" s="8" t="s">
        <v>72</v>
      </c>
      <c r="AN78" s="8">
        <v>1.32E-2</v>
      </c>
      <c r="AO78" s="8">
        <v>1.5800000000000002E-2</v>
      </c>
      <c r="AP78" s="8">
        <v>2.7699999999999999E-2</v>
      </c>
      <c r="AQ78" s="8" t="s">
        <v>52</v>
      </c>
      <c r="AR78" s="8" t="s">
        <v>53</v>
      </c>
      <c r="AS78" s="8" t="s">
        <v>54</v>
      </c>
    </row>
    <row r="79" spans="1:45" x14ac:dyDescent="0.25">
      <c r="A79" s="8" t="s">
        <v>607</v>
      </c>
      <c r="B79" s="8" t="s">
        <v>217</v>
      </c>
      <c r="C79" s="8">
        <v>302.27999999999997</v>
      </c>
      <c r="D79" s="8">
        <v>498.15</v>
      </c>
      <c r="E79" s="9">
        <v>9.2999999999999995E-14</v>
      </c>
      <c r="F79" s="8">
        <v>2.4000000000000001E-4</v>
      </c>
      <c r="G79" s="9">
        <v>1.4100000000000001E-8</v>
      </c>
      <c r="H79" s="8">
        <v>4.2200000000000001E-2</v>
      </c>
      <c r="I79" s="9">
        <v>4.9300000000000002E-6</v>
      </c>
      <c r="J79" s="8">
        <v>19054607.18</v>
      </c>
      <c r="K79" s="8">
        <v>4910000</v>
      </c>
      <c r="L79" s="8">
        <v>49100</v>
      </c>
      <c r="M79" s="8">
        <v>368250</v>
      </c>
      <c r="N79" s="8">
        <v>196400</v>
      </c>
      <c r="O79" s="8">
        <v>0.48</v>
      </c>
      <c r="P79" s="8">
        <v>1.2E-2</v>
      </c>
      <c r="Q79" s="8">
        <v>93682.106530000005</v>
      </c>
      <c r="R79" s="8">
        <v>1.9079858759999999</v>
      </c>
      <c r="S79" s="8">
        <v>2.399717E-3</v>
      </c>
      <c r="T79" s="8">
        <v>2.399717E-3</v>
      </c>
      <c r="U79" s="8">
        <v>224587937</v>
      </c>
      <c r="V79" s="8">
        <v>224587937</v>
      </c>
      <c r="W79" s="8">
        <v>3.8443100000000001E-3</v>
      </c>
      <c r="X79" s="8">
        <v>1.8260472E-2</v>
      </c>
      <c r="Y79" s="8">
        <v>2.2104782E-2</v>
      </c>
      <c r="Z79" s="8">
        <v>10.7</v>
      </c>
      <c r="AA79" s="8" t="s">
        <v>44</v>
      </c>
      <c r="AB79" s="8">
        <v>26693.160639999998</v>
      </c>
      <c r="AC79" s="8">
        <v>133000</v>
      </c>
      <c r="AD79" s="8" t="s">
        <v>46</v>
      </c>
      <c r="AE79" s="8" t="s">
        <v>56</v>
      </c>
      <c r="AG79" s="8">
        <v>51</v>
      </c>
      <c r="AH79" s="8" t="s">
        <v>645</v>
      </c>
      <c r="AI79" s="8" t="s">
        <v>57</v>
      </c>
      <c r="AJ79" s="9">
        <v>5.3999999999999999E-2</v>
      </c>
      <c r="AK79" s="8" t="s">
        <v>49</v>
      </c>
      <c r="AL79" s="8" t="s">
        <v>61</v>
      </c>
      <c r="AM79" s="8" t="s">
        <v>72</v>
      </c>
      <c r="AN79" s="8">
        <v>1.32E-2</v>
      </c>
      <c r="AO79" s="8">
        <v>1.5800000000000002E-2</v>
      </c>
      <c r="AP79" s="8">
        <v>2.7699999999999999E-2</v>
      </c>
      <c r="AQ79" s="8" t="s">
        <v>52</v>
      </c>
      <c r="AR79" s="8" t="s">
        <v>53</v>
      </c>
      <c r="AS79" s="8" t="s">
        <v>54</v>
      </c>
    </row>
    <row r="80" spans="1:45" x14ac:dyDescent="0.25">
      <c r="A80" s="10" t="s">
        <v>608</v>
      </c>
      <c r="B80" s="8" t="s">
        <v>553</v>
      </c>
      <c r="C80" s="8">
        <v>267.33</v>
      </c>
      <c r="D80" s="8">
        <v>470.51</v>
      </c>
      <c r="E80" s="9">
        <v>4.4499999999999998E-12</v>
      </c>
      <c r="F80" s="8">
        <v>5.0270000000000002E-3</v>
      </c>
      <c r="G80" s="9">
        <v>8.2400000000000005E-10</v>
      </c>
      <c r="H80" s="9">
        <v>4.58E-2</v>
      </c>
      <c r="I80" s="9">
        <v>5.3499999999999996E-6</v>
      </c>
      <c r="J80" s="9">
        <v>380000</v>
      </c>
      <c r="K80" s="9">
        <v>358000</v>
      </c>
      <c r="L80" s="8">
        <v>160000</v>
      </c>
      <c r="M80" s="8">
        <f>(0.075*K80)</f>
        <v>26850</v>
      </c>
      <c r="N80" s="8">
        <f>(0.04*K80)</f>
        <v>14320</v>
      </c>
      <c r="O80" s="8">
        <v>0.48</v>
      </c>
      <c r="P80" s="8">
        <v>0.93500000000000005</v>
      </c>
      <c r="Q80" s="8">
        <v>9680</v>
      </c>
      <c r="R80" s="8">
        <v>6.0499999999999998E-2</v>
      </c>
      <c r="S80" s="8">
        <v>1.32E-2</v>
      </c>
      <c r="T80" s="8">
        <v>1.32E-2</v>
      </c>
      <c r="U80" s="9">
        <v>7.4700000000000001E-3</v>
      </c>
      <c r="V80" s="9">
        <v>7.4700000000000001E-3</v>
      </c>
      <c r="W80" s="9">
        <v>1.9800000000000002E-2</v>
      </c>
      <c r="X80" s="9">
        <v>6.2799999999999995E-2</v>
      </c>
      <c r="Y80" s="8">
        <v>4.5499999999999999E-2</v>
      </c>
      <c r="Z80" s="8">
        <v>10.7</v>
      </c>
      <c r="AB80" s="9">
        <v>7760</v>
      </c>
      <c r="AC80" s="8">
        <v>133000</v>
      </c>
      <c r="AJ80" s="9">
        <v>1.8E-3</v>
      </c>
      <c r="AL80" s="8" t="s">
        <v>50</v>
      </c>
      <c r="AM80" s="8" t="s">
        <v>72</v>
      </c>
      <c r="AN80" s="8">
        <v>1.32E-2</v>
      </c>
      <c r="AO80" s="8">
        <v>1.5800000000000002E-2</v>
      </c>
      <c r="AP80" s="8">
        <v>2.7699999999999999E-2</v>
      </c>
    </row>
    <row r="81" spans="1:45" x14ac:dyDescent="0.25">
      <c r="A81" s="8" t="s">
        <v>583</v>
      </c>
      <c r="B81" s="8" t="s">
        <v>218</v>
      </c>
      <c r="C81" s="8">
        <v>168.19</v>
      </c>
      <c r="D81" s="8">
        <v>359.5</v>
      </c>
      <c r="E81" s="9">
        <v>3.2600000000000001E-6</v>
      </c>
      <c r="F81" s="8">
        <v>3.1</v>
      </c>
      <c r="G81" s="8">
        <v>1.7699999999999999E-4</v>
      </c>
      <c r="H81" s="8">
        <v>6.2399999999999997E-2</v>
      </c>
      <c r="I81" s="9">
        <v>7.2200000000000003E-6</v>
      </c>
      <c r="J81" s="8">
        <v>13182.56739</v>
      </c>
      <c r="K81" s="8">
        <v>11226.386759999999</v>
      </c>
      <c r="L81" s="8">
        <v>112.2638676</v>
      </c>
      <c r="M81" s="8">
        <v>841.97900730000003</v>
      </c>
      <c r="N81" s="8">
        <v>449.05547050000001</v>
      </c>
      <c r="O81" s="8" t="s">
        <v>57</v>
      </c>
      <c r="P81" s="8">
        <v>0.99981751799999996</v>
      </c>
      <c r="Q81" s="8">
        <v>345.50683859999998</v>
      </c>
      <c r="R81" s="8">
        <v>3.0776317070000001</v>
      </c>
      <c r="S81" s="8">
        <v>0.16093110699999999</v>
      </c>
      <c r="T81" s="8">
        <v>0.16093110699999999</v>
      </c>
      <c r="U81" s="8">
        <v>7.7187942019999998</v>
      </c>
      <c r="V81" s="8">
        <v>7.7187942019999998</v>
      </c>
      <c r="W81" s="8">
        <v>5.8900000000000003E-3</v>
      </c>
      <c r="X81" s="8">
        <v>2.8000000000000001E-2</v>
      </c>
      <c r="Y81" s="8">
        <v>3.39E-2</v>
      </c>
      <c r="Z81" s="8" t="s">
        <v>44</v>
      </c>
      <c r="AA81" s="8" t="s">
        <v>44</v>
      </c>
      <c r="AB81" s="8">
        <v>296.75633590000001</v>
      </c>
      <c r="AC81" s="8">
        <v>471.93163070000003</v>
      </c>
      <c r="AD81" s="8" t="s">
        <v>46</v>
      </c>
      <c r="AE81" s="8">
        <v>1E-3</v>
      </c>
      <c r="AF81" s="8" t="s">
        <v>644</v>
      </c>
      <c r="AG81" s="8" t="s">
        <v>47</v>
      </c>
      <c r="AI81" s="8" t="s">
        <v>57</v>
      </c>
      <c r="AJ81" s="8" t="s">
        <v>48</v>
      </c>
      <c r="AK81" s="8" t="s">
        <v>49</v>
      </c>
      <c r="AL81" s="8" t="s">
        <v>50</v>
      </c>
      <c r="AM81" s="8" t="s">
        <v>219</v>
      </c>
      <c r="AN81" s="8">
        <v>0.16093110699999999</v>
      </c>
      <c r="AO81" s="8">
        <v>1.18E-2</v>
      </c>
      <c r="AP81" s="8">
        <v>2.06E-2</v>
      </c>
      <c r="AQ81" s="8" t="s">
        <v>52</v>
      </c>
      <c r="AR81" s="8" t="s">
        <v>53</v>
      </c>
      <c r="AS81" s="8" t="s">
        <v>54</v>
      </c>
    </row>
    <row r="82" spans="1:45" x14ac:dyDescent="0.25">
      <c r="A82" s="10" t="s">
        <v>492</v>
      </c>
      <c r="B82" s="10" t="s">
        <v>479</v>
      </c>
      <c r="C82" s="8">
        <v>278.35000000000002</v>
      </c>
      <c r="D82" s="8">
        <v>280</v>
      </c>
      <c r="E82" s="9">
        <v>2.62E-8</v>
      </c>
      <c r="F82" s="8">
        <v>2.351</v>
      </c>
      <c r="G82" s="9">
        <v>1.22E-6</v>
      </c>
      <c r="H82" s="9">
        <v>2.1399999999999999E-2</v>
      </c>
      <c r="I82" s="9">
        <v>5.3299999999999998E-6</v>
      </c>
      <c r="J82" s="9">
        <v>40700</v>
      </c>
      <c r="K82" s="9">
        <v>1919</v>
      </c>
      <c r="M82" s="8">
        <f>(0.075*K82)</f>
        <v>143.92499999999998</v>
      </c>
      <c r="N82" s="8">
        <f>(0.04*K82)</f>
        <v>76.760000000000005</v>
      </c>
      <c r="P82" s="8">
        <f>(1-0.0389)</f>
        <v>0.96109999999999995</v>
      </c>
      <c r="U82" s="9">
        <v>9.4500000000000001E-2</v>
      </c>
      <c r="V82" s="9">
        <v>9.4500000000000001E-2</v>
      </c>
      <c r="W82" s="9">
        <v>2.5000000000000001E-4</v>
      </c>
      <c r="X82" s="9">
        <v>7.9100000000000004E-4</v>
      </c>
      <c r="AB82" s="9">
        <v>167</v>
      </c>
      <c r="AE82" s="8">
        <v>0.1</v>
      </c>
      <c r="AF82" s="8" t="s">
        <v>639</v>
      </c>
      <c r="AM82" s="8" t="s">
        <v>152</v>
      </c>
    </row>
    <row r="83" spans="1:45" x14ac:dyDescent="0.25">
      <c r="A83" s="8" t="s">
        <v>584</v>
      </c>
      <c r="B83" s="8" t="s">
        <v>228</v>
      </c>
      <c r="C83" s="8">
        <v>147</v>
      </c>
      <c r="D83" s="8">
        <v>326</v>
      </c>
      <c r="E83" s="8">
        <v>1.9400000000000001E-3</v>
      </c>
      <c r="F83" s="8">
        <v>80</v>
      </c>
      <c r="G83" s="8">
        <v>3.5500000000000002E-3</v>
      </c>
      <c r="H83" s="8">
        <v>6.8199999999999997E-2</v>
      </c>
      <c r="I83" s="9">
        <v>7.9000000000000006E-6</v>
      </c>
      <c r="J83" s="8">
        <v>1910</v>
      </c>
      <c r="K83" s="8">
        <v>1680</v>
      </c>
      <c r="L83" s="8">
        <v>16.8</v>
      </c>
      <c r="M83" s="8">
        <v>126</v>
      </c>
      <c r="N83" s="8">
        <v>67.099999999999994</v>
      </c>
      <c r="O83" s="8">
        <v>3.37</v>
      </c>
      <c r="P83" s="8">
        <v>1</v>
      </c>
      <c r="Q83" s="8">
        <v>77.900000000000006</v>
      </c>
      <c r="R83" s="8">
        <v>4.6500000000000004</v>
      </c>
      <c r="S83" s="8">
        <v>0.49199999999999999</v>
      </c>
      <c r="T83" s="8">
        <v>0.49199999999999999</v>
      </c>
      <c r="U83" s="8">
        <v>4.9000000000000002E-2</v>
      </c>
      <c r="V83" s="8">
        <v>4.9000000000000002E-2</v>
      </c>
      <c r="W83" s="8">
        <v>3.0699999999999998E-3</v>
      </c>
      <c r="X83" s="8">
        <v>1.46E-2</v>
      </c>
      <c r="Y83" s="8">
        <v>1.7600000000000001E-2</v>
      </c>
      <c r="Z83" s="8" t="s">
        <v>44</v>
      </c>
      <c r="AA83" s="8" t="s">
        <v>44</v>
      </c>
      <c r="AB83" s="8">
        <v>66.900000000000006</v>
      </c>
      <c r="AC83" s="8" t="s">
        <v>45</v>
      </c>
      <c r="AD83" s="8" t="s">
        <v>46</v>
      </c>
      <c r="AE83" s="8">
        <v>7.0000000000000007E-2</v>
      </c>
      <c r="AF83" s="8" t="s">
        <v>649</v>
      </c>
      <c r="AG83" s="8">
        <v>5.4000000000000003E-3</v>
      </c>
      <c r="AH83" s="8" t="s">
        <v>648</v>
      </c>
      <c r="AI83" s="8">
        <v>0.8</v>
      </c>
      <c r="AJ83" s="9">
        <v>1.1E-5</v>
      </c>
      <c r="AK83" s="8" t="s">
        <v>49</v>
      </c>
      <c r="AL83" s="8" t="s">
        <v>50</v>
      </c>
      <c r="AM83" s="8" t="s">
        <v>51</v>
      </c>
      <c r="AN83" s="8">
        <v>0.49199999999999999</v>
      </c>
      <c r="AO83" s="8">
        <v>6.13E-3</v>
      </c>
      <c r="AP83" s="8">
        <v>1.0699999999999999E-2</v>
      </c>
      <c r="AQ83" s="8" t="s">
        <v>52</v>
      </c>
      <c r="AR83" s="8" t="s">
        <v>53</v>
      </c>
      <c r="AS83" s="8" t="s">
        <v>54</v>
      </c>
    </row>
    <row r="84" spans="1:45" x14ac:dyDescent="0.25">
      <c r="A84" s="8" t="s">
        <v>757</v>
      </c>
      <c r="B84" s="11" t="s">
        <v>758</v>
      </c>
      <c r="C84" s="8">
        <v>223.1</v>
      </c>
      <c r="D84" s="8">
        <v>355.47</v>
      </c>
      <c r="E84" s="9">
        <v>5.62E-8</v>
      </c>
      <c r="F84" s="8">
        <v>1.1319999999999999</v>
      </c>
      <c r="G84" s="9">
        <v>2.2699999999999999E-4</v>
      </c>
      <c r="H84" s="9">
        <v>2.5399999999999999E-2</v>
      </c>
      <c r="I84" s="9">
        <v>6.5599999999999999E-6</v>
      </c>
      <c r="J84" s="9">
        <v>112000</v>
      </c>
      <c r="K84" s="9">
        <v>13200</v>
      </c>
      <c r="P84" s="8">
        <v>1</v>
      </c>
      <c r="U84" s="9">
        <v>1.9300000000000001E-2</v>
      </c>
      <c r="V84" s="9">
        <v>1.9300000000000001E-2</v>
      </c>
      <c r="W84" s="9">
        <v>3.8700000000000002E-3</v>
      </c>
      <c r="X84" s="9">
        <v>1.2200000000000001E-2</v>
      </c>
      <c r="AB84" s="9">
        <v>8140</v>
      </c>
      <c r="AC84" s="9">
        <v>70900</v>
      </c>
      <c r="AG84" s="9">
        <v>7.0000000000000007E-2</v>
      </c>
      <c r="AH84" s="8" t="s">
        <v>761</v>
      </c>
      <c r="AJ84" s="9">
        <v>2.0000000000000002E-5</v>
      </c>
      <c r="AM84" s="8" t="s">
        <v>65</v>
      </c>
    </row>
    <row r="85" spans="1:45" x14ac:dyDescent="0.25">
      <c r="A85" s="8" t="s">
        <v>229</v>
      </c>
      <c r="B85" s="8" t="s">
        <v>230</v>
      </c>
      <c r="C85" s="8">
        <v>99</v>
      </c>
      <c r="D85" s="8">
        <v>176</v>
      </c>
      <c r="E85" s="8">
        <v>0.30299999999999999</v>
      </c>
      <c r="F85" s="8">
        <v>5100</v>
      </c>
      <c r="G85" s="8">
        <v>5.5999999999999999E-3</v>
      </c>
      <c r="H85" s="8">
        <v>7.4200000000000002E-2</v>
      </c>
      <c r="I85" s="9">
        <v>1.0499999999999999E-5</v>
      </c>
      <c r="J85" s="8">
        <v>63.1</v>
      </c>
      <c r="K85" s="8">
        <v>53.4</v>
      </c>
      <c r="L85" s="8">
        <v>0.06</v>
      </c>
      <c r="M85" s="8">
        <v>4.01</v>
      </c>
      <c r="N85" s="8">
        <v>2.14</v>
      </c>
      <c r="O85" s="8">
        <v>1.64</v>
      </c>
      <c r="P85" s="8">
        <v>1</v>
      </c>
      <c r="Q85" s="8">
        <v>12</v>
      </c>
      <c r="R85" s="8">
        <v>189</v>
      </c>
      <c r="S85" s="8">
        <v>3.53</v>
      </c>
      <c r="T85" s="8">
        <v>3.53</v>
      </c>
      <c r="U85" s="8">
        <v>8.25E-4</v>
      </c>
      <c r="V85" s="8">
        <v>8.25E-4</v>
      </c>
      <c r="W85" s="8">
        <v>4.44E-4</v>
      </c>
      <c r="X85" s="8">
        <v>2.1099999999999999E-3</v>
      </c>
      <c r="Y85" s="8">
        <v>2.5500000000000002E-3</v>
      </c>
      <c r="Z85" s="8">
        <v>4.9299999999999995E-4</v>
      </c>
      <c r="AA85" s="8" t="s">
        <v>44</v>
      </c>
      <c r="AB85" s="8">
        <v>4.8499999999999996</v>
      </c>
      <c r="AC85" s="8" t="s">
        <v>45</v>
      </c>
      <c r="AD85" s="8" t="s">
        <v>46</v>
      </c>
      <c r="AE85" s="8">
        <v>0.2</v>
      </c>
      <c r="AF85" s="8" t="s">
        <v>644</v>
      </c>
      <c r="AG85" s="8">
        <v>5.7000000000000002E-3</v>
      </c>
      <c r="AH85" s="8" t="s">
        <v>640</v>
      </c>
      <c r="AI85" s="8" t="s">
        <v>57</v>
      </c>
      <c r="AJ85" s="9">
        <v>1.5999999999999999E-6</v>
      </c>
      <c r="AK85" s="8" t="s">
        <v>49</v>
      </c>
      <c r="AL85" s="8" t="s">
        <v>50</v>
      </c>
      <c r="AM85" s="8" t="s">
        <v>51</v>
      </c>
      <c r="AN85" s="8">
        <v>3.53</v>
      </c>
      <c r="AO85" s="8">
        <v>8.8800000000000001E-4</v>
      </c>
      <c r="AP85" s="8">
        <v>1.5499999999999999E-3</v>
      </c>
      <c r="AQ85" s="8" t="s">
        <v>52</v>
      </c>
      <c r="AR85" s="8" t="s">
        <v>53</v>
      </c>
      <c r="AS85" s="8" t="s">
        <v>54</v>
      </c>
    </row>
    <row r="86" spans="1:45" x14ac:dyDescent="0.25">
      <c r="A86" s="8" t="s">
        <v>231</v>
      </c>
      <c r="B86" s="8" t="s">
        <v>232</v>
      </c>
      <c r="C86" s="8">
        <v>99</v>
      </c>
      <c r="D86" s="8">
        <v>237</v>
      </c>
      <c r="E86" s="8">
        <v>0.104</v>
      </c>
      <c r="F86" s="8">
        <v>8500</v>
      </c>
      <c r="G86" s="8">
        <v>9.7999999999999997E-4</v>
      </c>
      <c r="H86" s="8">
        <v>0.104</v>
      </c>
      <c r="I86" s="9">
        <v>9.9000000000000001E-6</v>
      </c>
      <c r="J86" s="8">
        <v>31.6</v>
      </c>
      <c r="K86" s="8">
        <v>38</v>
      </c>
      <c r="L86" s="8">
        <v>3.5000000000000003E-2</v>
      </c>
      <c r="M86" s="8">
        <v>2.85</v>
      </c>
      <c r="N86" s="8">
        <v>1.52</v>
      </c>
      <c r="O86" s="8">
        <v>1.41</v>
      </c>
      <c r="P86" s="8">
        <v>1</v>
      </c>
      <c r="Q86" s="8">
        <v>9.6300000000000008</v>
      </c>
      <c r="R86" s="8">
        <v>275</v>
      </c>
      <c r="S86" s="8">
        <v>5.26</v>
      </c>
      <c r="T86" s="8">
        <v>5.26</v>
      </c>
      <c r="U86" s="8">
        <v>2.2599999999999999E-3</v>
      </c>
      <c r="V86" s="8">
        <v>2.2599999999999999E-3</v>
      </c>
      <c r="W86" s="8">
        <v>2.6600000000000001E-4</v>
      </c>
      <c r="X86" s="8">
        <v>1.2600000000000001E-3</v>
      </c>
      <c r="Y86" s="8">
        <v>1.5299999999999999E-3</v>
      </c>
      <c r="Z86" s="8">
        <v>2.3000000000000001E-4</v>
      </c>
      <c r="AA86" s="8" t="s">
        <v>44</v>
      </c>
      <c r="AB86" s="8">
        <v>2.85</v>
      </c>
      <c r="AC86" s="8" t="s">
        <v>45</v>
      </c>
      <c r="AD86" s="8" t="s">
        <v>46</v>
      </c>
      <c r="AE86" s="9">
        <v>6.0000000000000001E-3</v>
      </c>
      <c r="AF86" s="9" t="s">
        <v>644</v>
      </c>
      <c r="AG86" s="9">
        <v>9.0999999999999998E-2</v>
      </c>
      <c r="AH86" s="9" t="s">
        <v>639</v>
      </c>
      <c r="AI86" s="8">
        <v>0.4</v>
      </c>
      <c r="AJ86" s="9">
        <v>2.5999999999999998E-5</v>
      </c>
      <c r="AK86" s="8" t="s">
        <v>49</v>
      </c>
      <c r="AL86" s="8" t="s">
        <v>50</v>
      </c>
      <c r="AM86" s="8" t="s">
        <v>51</v>
      </c>
      <c r="AN86" s="8">
        <v>5.26</v>
      </c>
      <c r="AO86" s="8">
        <v>5.31E-4</v>
      </c>
      <c r="AP86" s="8">
        <v>9.3000000000000005E-4</v>
      </c>
      <c r="AQ86" s="8" t="s">
        <v>52</v>
      </c>
      <c r="AR86" s="8" t="s">
        <v>53</v>
      </c>
      <c r="AS86" s="8" t="s">
        <v>54</v>
      </c>
    </row>
    <row r="87" spans="1:45" x14ac:dyDescent="0.25">
      <c r="A87" s="8" t="s">
        <v>233</v>
      </c>
      <c r="B87" s="8" t="s">
        <v>234</v>
      </c>
      <c r="C87" s="8">
        <v>99</v>
      </c>
      <c r="D87" s="8">
        <v>153</v>
      </c>
      <c r="E87" s="8">
        <v>0.78900000000000003</v>
      </c>
      <c r="F87" s="8">
        <v>2300</v>
      </c>
      <c r="G87" s="8">
        <v>2.5999999999999999E-2</v>
      </c>
      <c r="H87" s="8">
        <v>0.09</v>
      </c>
      <c r="I87" s="9">
        <v>1.04E-5</v>
      </c>
      <c r="J87" s="8">
        <v>126</v>
      </c>
      <c r="K87" s="8">
        <v>65</v>
      </c>
      <c r="L87" s="8">
        <v>0.12</v>
      </c>
      <c r="M87" s="8">
        <v>4.88</v>
      </c>
      <c r="N87" s="8">
        <v>2.6</v>
      </c>
      <c r="O87" s="8">
        <v>1.41</v>
      </c>
      <c r="P87" s="8">
        <v>1</v>
      </c>
      <c r="Q87" s="8">
        <v>9.6199999999999992</v>
      </c>
      <c r="R87" s="8">
        <v>80.099999999999994</v>
      </c>
      <c r="S87" s="8">
        <v>2.37</v>
      </c>
      <c r="T87" s="8">
        <v>2.37</v>
      </c>
      <c r="U87" s="8">
        <v>3.7100000000000002E-4</v>
      </c>
      <c r="V87" s="8">
        <v>3.7100000000000002E-4</v>
      </c>
      <c r="W87" s="8">
        <v>7.1199999999999996E-4</v>
      </c>
      <c r="X87" s="8">
        <v>3.3800000000000002E-3</v>
      </c>
      <c r="Y87" s="8">
        <v>4.0899999999999999E-3</v>
      </c>
      <c r="Z87" s="8">
        <v>1.0499999999999999E-3</v>
      </c>
      <c r="AA87" s="8" t="s">
        <v>44</v>
      </c>
      <c r="AB87" s="8">
        <v>8.26</v>
      </c>
      <c r="AC87" s="8" t="s">
        <v>45</v>
      </c>
      <c r="AD87" s="8" t="s">
        <v>46</v>
      </c>
      <c r="AE87" s="8">
        <v>0.05</v>
      </c>
      <c r="AF87" s="8" t="s">
        <v>639</v>
      </c>
      <c r="AG87" s="8" t="s">
        <v>47</v>
      </c>
      <c r="AI87" s="8">
        <v>0.2</v>
      </c>
      <c r="AJ87" s="8" t="s">
        <v>48</v>
      </c>
      <c r="AK87" s="8" t="s">
        <v>49</v>
      </c>
      <c r="AL87" s="8" t="s">
        <v>50</v>
      </c>
      <c r="AM87" s="8" t="s">
        <v>51</v>
      </c>
      <c r="AN87" s="8">
        <v>2.37</v>
      </c>
      <c r="AO87" s="8">
        <v>1.42E-3</v>
      </c>
      <c r="AP87" s="8">
        <v>2.49E-3</v>
      </c>
      <c r="AQ87" s="8" t="s">
        <v>52</v>
      </c>
      <c r="AR87" s="8" t="s">
        <v>53</v>
      </c>
      <c r="AS87" s="8" t="s">
        <v>54</v>
      </c>
    </row>
    <row r="88" spans="1:45" x14ac:dyDescent="0.25">
      <c r="A88" s="8" t="s">
        <v>235</v>
      </c>
      <c r="B88" s="8" t="s">
        <v>236</v>
      </c>
      <c r="C88" s="8">
        <v>96.94</v>
      </c>
      <c r="D88" s="8">
        <v>193.15</v>
      </c>
      <c r="E88" s="8">
        <v>0.26300000000000001</v>
      </c>
      <c r="F88" s="8">
        <v>3500</v>
      </c>
      <c r="G88" s="8">
        <v>4.1000000000000003E-3</v>
      </c>
      <c r="H88" s="8">
        <v>1E-3</v>
      </c>
      <c r="I88" s="9">
        <v>1.0000000000000001E-5</v>
      </c>
      <c r="J88" s="8">
        <v>79.432823470000002</v>
      </c>
      <c r="K88" s="8">
        <v>38.28</v>
      </c>
      <c r="L88" s="8">
        <v>7.0999999999999994E-2</v>
      </c>
      <c r="M88" s="8">
        <v>2.87</v>
      </c>
      <c r="N88" s="8">
        <v>1.53</v>
      </c>
      <c r="O88" s="8" t="s">
        <v>57</v>
      </c>
      <c r="P88" s="8">
        <v>1</v>
      </c>
      <c r="Q88" s="8">
        <v>13.1</v>
      </c>
      <c r="R88" s="8">
        <v>184</v>
      </c>
      <c r="S88" s="8">
        <v>3.09</v>
      </c>
      <c r="T88" s="8">
        <v>3.09</v>
      </c>
      <c r="U88" s="8">
        <v>1.4400000000000001E-3</v>
      </c>
      <c r="V88" s="8">
        <v>1.4400000000000001E-3</v>
      </c>
      <c r="W88" s="8">
        <v>5.2199899999999999E-4</v>
      </c>
      <c r="X88" s="8">
        <v>2.4794970000000002E-3</v>
      </c>
      <c r="Y88" s="8">
        <v>3.0014960000000002E-3</v>
      </c>
      <c r="Z88" s="8">
        <v>7.6255500000000005E-4</v>
      </c>
      <c r="AA88" s="8" t="s">
        <v>44</v>
      </c>
      <c r="AB88" s="8">
        <v>5.79</v>
      </c>
      <c r="AC88" s="8" t="s">
        <v>45</v>
      </c>
      <c r="AD88" s="8" t="s">
        <v>46</v>
      </c>
      <c r="AE88" s="9">
        <v>2E-3</v>
      </c>
      <c r="AF88" s="8" t="s">
        <v>639</v>
      </c>
      <c r="AH88" s="8" t="s">
        <v>47</v>
      </c>
      <c r="AI88" s="8" t="s">
        <v>57</v>
      </c>
      <c r="AJ88" s="8" t="s">
        <v>48</v>
      </c>
      <c r="AK88" s="8" t="s">
        <v>49</v>
      </c>
      <c r="AL88" s="8" t="s">
        <v>50</v>
      </c>
      <c r="AM88" s="8" t="s">
        <v>51</v>
      </c>
      <c r="AN88" s="8">
        <v>3.09</v>
      </c>
      <c r="AO88" s="8">
        <v>1.0439990000000001E-3</v>
      </c>
      <c r="AP88" s="8">
        <v>1.826998E-3</v>
      </c>
      <c r="AQ88" s="8" t="s">
        <v>52</v>
      </c>
      <c r="AR88" s="8" t="s">
        <v>53</v>
      </c>
      <c r="AS88" s="8" t="s">
        <v>54</v>
      </c>
    </row>
    <row r="89" spans="1:45" x14ac:dyDescent="0.25">
      <c r="A89" s="7" t="s">
        <v>567</v>
      </c>
      <c r="B89" s="8" t="s">
        <v>66</v>
      </c>
      <c r="C89" s="8">
        <v>221</v>
      </c>
      <c r="D89" s="8">
        <v>414</v>
      </c>
      <c r="E89" s="9">
        <v>1.09E-7</v>
      </c>
      <c r="F89" s="8">
        <v>677</v>
      </c>
      <c r="G89" s="9">
        <v>3.5600000000000001E-8</v>
      </c>
      <c r="H89" s="8">
        <v>5.1999999999999998E-2</v>
      </c>
      <c r="I89" s="9">
        <v>6.02E-6</v>
      </c>
      <c r="J89" s="8">
        <v>646</v>
      </c>
      <c r="K89" s="8">
        <v>579</v>
      </c>
      <c r="L89" s="8">
        <v>5.79</v>
      </c>
      <c r="M89" s="8">
        <v>43.4</v>
      </c>
      <c r="N89" s="8">
        <v>23.2</v>
      </c>
      <c r="O89" s="8">
        <v>5.0599999999999996</v>
      </c>
      <c r="P89" s="8">
        <v>0.995</v>
      </c>
      <c r="Q89" s="8">
        <v>33.9</v>
      </c>
      <c r="R89" s="8">
        <v>5.85</v>
      </c>
      <c r="S89" s="8">
        <v>0.92</v>
      </c>
      <c r="T89" s="8">
        <v>0.92</v>
      </c>
      <c r="U89" s="8">
        <v>1540</v>
      </c>
      <c r="V89" s="8">
        <v>1540</v>
      </c>
      <c r="W89" s="8" t="s">
        <v>62</v>
      </c>
      <c r="X89" s="8" t="s">
        <v>62</v>
      </c>
      <c r="Y89" s="8" t="s">
        <v>62</v>
      </c>
      <c r="Z89" s="8" t="s">
        <v>44</v>
      </c>
      <c r="AA89" s="8" t="s">
        <v>44</v>
      </c>
      <c r="AB89" s="8" t="s">
        <v>63</v>
      </c>
      <c r="AC89" s="8" t="s">
        <v>45</v>
      </c>
      <c r="AD89" s="8" t="s">
        <v>46</v>
      </c>
      <c r="AE89" s="8">
        <v>0.01</v>
      </c>
      <c r="AF89" s="8" t="s">
        <v>639</v>
      </c>
      <c r="AG89" s="8" t="s">
        <v>47</v>
      </c>
      <c r="AI89" s="8" t="s">
        <v>57</v>
      </c>
      <c r="AJ89" s="8" t="s">
        <v>48</v>
      </c>
      <c r="AK89" s="8" t="s">
        <v>49</v>
      </c>
      <c r="AL89" s="8" t="s">
        <v>50</v>
      </c>
      <c r="AM89" s="8" t="s">
        <v>67</v>
      </c>
      <c r="AN89" s="8" t="s">
        <v>44</v>
      </c>
      <c r="AO89" s="8" t="s">
        <v>44</v>
      </c>
      <c r="AP89" s="8" t="s">
        <v>44</v>
      </c>
      <c r="AQ89" s="8" t="s">
        <v>52</v>
      </c>
      <c r="AR89" s="8" t="s">
        <v>53</v>
      </c>
      <c r="AS89" s="8" t="s">
        <v>54</v>
      </c>
    </row>
    <row r="90" spans="1:45" x14ac:dyDescent="0.25">
      <c r="A90" s="8" t="s">
        <v>237</v>
      </c>
      <c r="B90" s="8" t="s">
        <v>238</v>
      </c>
      <c r="C90" s="8">
        <v>113</v>
      </c>
      <c r="D90" s="8">
        <v>203</v>
      </c>
      <c r="E90" s="8">
        <v>6.8400000000000002E-2</v>
      </c>
      <c r="F90" s="8">
        <v>2800</v>
      </c>
      <c r="G90" s="8">
        <v>2.8E-3</v>
      </c>
      <c r="H90" s="8">
        <v>7.8200000000000006E-2</v>
      </c>
      <c r="I90" s="9">
        <v>8.7299999999999994E-6</v>
      </c>
      <c r="J90" s="8">
        <v>100</v>
      </c>
      <c r="K90" s="8">
        <v>47</v>
      </c>
      <c r="L90" s="8">
        <v>0.09</v>
      </c>
      <c r="M90" s="8">
        <v>3.53</v>
      </c>
      <c r="N90" s="8">
        <v>1.88</v>
      </c>
      <c r="O90" s="8">
        <v>0.2</v>
      </c>
      <c r="P90" s="8">
        <v>1</v>
      </c>
      <c r="Q90" s="8">
        <v>8.0500000000000007</v>
      </c>
      <c r="R90" s="8">
        <v>92.6</v>
      </c>
      <c r="S90" s="8">
        <v>2.7</v>
      </c>
      <c r="T90" s="8">
        <v>2.7</v>
      </c>
      <c r="U90" s="8">
        <v>2.6900000000000001E-3</v>
      </c>
      <c r="V90" s="8">
        <v>2.6900000000000001E-3</v>
      </c>
      <c r="W90" s="8">
        <v>6.11E-4</v>
      </c>
      <c r="X90" s="8">
        <v>2.8999999999999998E-3</v>
      </c>
      <c r="Y90" s="8">
        <v>3.5100000000000001E-3</v>
      </c>
      <c r="Z90" s="8">
        <v>1.41E-3</v>
      </c>
      <c r="AA90" s="8" t="s">
        <v>44</v>
      </c>
      <c r="AB90" s="8">
        <v>6.92</v>
      </c>
      <c r="AC90" s="8" t="s">
        <v>45</v>
      </c>
      <c r="AD90" s="8" t="s">
        <v>46</v>
      </c>
      <c r="AE90" s="8">
        <v>0.09</v>
      </c>
      <c r="AF90" s="8" t="s">
        <v>642</v>
      </c>
      <c r="AG90" s="8">
        <v>3.5999999999999997E-2</v>
      </c>
      <c r="AH90" s="8" t="s">
        <v>640</v>
      </c>
      <c r="AI90" s="8">
        <v>4.0000000000000001E-3</v>
      </c>
      <c r="AJ90" s="8" t="s">
        <v>48</v>
      </c>
      <c r="AK90" s="8" t="s">
        <v>49</v>
      </c>
      <c r="AL90" s="8" t="s">
        <v>50</v>
      </c>
      <c r="AM90" s="8" t="s">
        <v>51</v>
      </c>
      <c r="AN90" s="8">
        <v>2.7</v>
      </c>
      <c r="AO90" s="8">
        <v>1.2199999999999999E-3</v>
      </c>
      <c r="AP90" s="8">
        <v>2.14E-3</v>
      </c>
      <c r="AQ90" s="8" t="s">
        <v>52</v>
      </c>
      <c r="AR90" s="8" t="s">
        <v>53</v>
      </c>
      <c r="AS90" s="8" t="s">
        <v>54</v>
      </c>
    </row>
    <row r="91" spans="1:45" x14ac:dyDescent="0.25">
      <c r="A91" s="8" t="s">
        <v>575</v>
      </c>
      <c r="B91" s="8" t="s">
        <v>243</v>
      </c>
      <c r="C91" s="8">
        <v>111</v>
      </c>
      <c r="D91" s="8">
        <v>225</v>
      </c>
      <c r="E91" s="8">
        <v>4.4699999999999997E-2</v>
      </c>
      <c r="F91" s="8">
        <v>2800</v>
      </c>
      <c r="G91" s="8">
        <v>1.7999999999999999E-2</v>
      </c>
      <c r="H91" s="8">
        <v>6.2600000000000003E-2</v>
      </c>
      <c r="I91" s="9">
        <v>1.0000000000000001E-5</v>
      </c>
      <c r="J91" s="8">
        <v>39.799999999999997</v>
      </c>
      <c r="K91" s="8">
        <v>27.1</v>
      </c>
      <c r="L91" s="8">
        <v>9.0999999999999998E-2</v>
      </c>
      <c r="M91" s="8">
        <v>2.0299999999999998</v>
      </c>
      <c r="N91" s="8">
        <v>1.08</v>
      </c>
      <c r="O91" s="8">
        <v>22.4</v>
      </c>
      <c r="P91" s="8">
        <v>1</v>
      </c>
      <c r="Q91" s="8">
        <v>10.3</v>
      </c>
      <c r="R91" s="8">
        <v>113</v>
      </c>
      <c r="S91" s="8">
        <v>4.6100000000000003</v>
      </c>
      <c r="T91" s="8">
        <v>4.5999999999999996</v>
      </c>
      <c r="U91" s="8">
        <v>1.5699999999999999E-4</v>
      </c>
      <c r="V91" s="8">
        <v>1.5699999999999999E-4</v>
      </c>
      <c r="W91" s="8">
        <v>3.1700000000000001E-4</v>
      </c>
      <c r="X91" s="8">
        <v>1.5E-3</v>
      </c>
      <c r="Y91" s="8">
        <v>1.82E-3</v>
      </c>
      <c r="Z91" s="8">
        <v>4.4499999999999997E-4</v>
      </c>
      <c r="AA91" s="8" t="s">
        <v>44</v>
      </c>
      <c r="AB91" s="8">
        <v>3.4</v>
      </c>
      <c r="AC91" s="8" t="s">
        <v>45</v>
      </c>
      <c r="AD91" s="8" t="s">
        <v>46</v>
      </c>
      <c r="AE91" s="8">
        <v>0.03</v>
      </c>
      <c r="AF91" s="8" t="s">
        <v>639</v>
      </c>
      <c r="AG91" s="8">
        <v>0.1</v>
      </c>
      <c r="AH91" s="8" t="s">
        <v>639</v>
      </c>
      <c r="AI91" s="8">
        <v>0.02</v>
      </c>
      <c r="AJ91" s="9">
        <v>3.9999999999999998E-6</v>
      </c>
      <c r="AK91" s="8" t="s">
        <v>49</v>
      </c>
      <c r="AL91" s="8" t="s">
        <v>50</v>
      </c>
      <c r="AM91" s="8" t="s">
        <v>51</v>
      </c>
      <c r="AN91" s="8">
        <v>4.5999999999999996</v>
      </c>
      <c r="AO91" s="8">
        <v>6.3299999999999999E-4</v>
      </c>
      <c r="AP91" s="8">
        <v>1.1100000000000001E-3</v>
      </c>
      <c r="AQ91" s="8" t="s">
        <v>52</v>
      </c>
      <c r="AR91" s="8" t="s">
        <v>53</v>
      </c>
      <c r="AS91" s="8" t="s">
        <v>54</v>
      </c>
    </row>
    <row r="92" spans="1:45" x14ac:dyDescent="0.25">
      <c r="A92" s="8" t="s">
        <v>733</v>
      </c>
      <c r="B92" s="8" t="s">
        <v>722</v>
      </c>
      <c r="C92" s="8">
        <v>111</v>
      </c>
      <c r="D92" s="8">
        <v>225</v>
      </c>
      <c r="E92" s="8">
        <v>4.4699999999999997E-2</v>
      </c>
      <c r="F92" s="8">
        <v>2800</v>
      </c>
      <c r="G92" s="8">
        <v>1.7999999999999999E-2</v>
      </c>
      <c r="H92" s="8">
        <v>6.2600000000000003E-2</v>
      </c>
      <c r="I92" s="9">
        <v>1.0000000000000001E-5</v>
      </c>
      <c r="J92" s="8">
        <v>39.799999999999997</v>
      </c>
      <c r="K92" s="8">
        <v>27.1</v>
      </c>
      <c r="L92" s="8">
        <v>9.0999999999999998E-2</v>
      </c>
      <c r="M92" s="8">
        <v>2.0299999999999998</v>
      </c>
      <c r="N92" s="8">
        <v>1.08</v>
      </c>
      <c r="O92" s="8">
        <v>22.4</v>
      </c>
      <c r="P92" s="8">
        <v>1</v>
      </c>
      <c r="Q92" s="8">
        <v>10.3</v>
      </c>
      <c r="R92" s="8">
        <v>113</v>
      </c>
      <c r="S92" s="8">
        <v>4.6100000000000003</v>
      </c>
      <c r="T92" s="8">
        <v>4.5999999999999996</v>
      </c>
      <c r="U92" s="8">
        <v>1.5699999999999999E-4</v>
      </c>
      <c r="V92" s="8">
        <v>1.5699999999999999E-4</v>
      </c>
      <c r="W92" s="8">
        <v>3.1700000000000001E-4</v>
      </c>
      <c r="X92" s="8">
        <v>1.5E-3</v>
      </c>
      <c r="Y92" s="8">
        <v>1.82E-3</v>
      </c>
      <c r="Z92" s="8">
        <v>4.4499999999999997E-4</v>
      </c>
      <c r="AA92" s="8" t="s">
        <v>44</v>
      </c>
      <c r="AB92" s="8">
        <v>3.4</v>
      </c>
      <c r="AC92" s="8" t="s">
        <v>45</v>
      </c>
      <c r="AD92" s="8" t="s">
        <v>46</v>
      </c>
      <c r="AE92" s="8">
        <v>0.03</v>
      </c>
      <c r="AF92" s="8" t="s">
        <v>639</v>
      </c>
      <c r="AG92" s="8">
        <v>0.1</v>
      </c>
      <c r="AH92" s="8" t="s">
        <v>639</v>
      </c>
      <c r="AI92" s="8">
        <v>0.02</v>
      </c>
      <c r="AJ92" s="9">
        <v>3.9999999999999998E-6</v>
      </c>
      <c r="AK92" s="8" t="s">
        <v>49</v>
      </c>
      <c r="AL92" s="8" t="s">
        <v>50</v>
      </c>
      <c r="AM92" s="8" t="s">
        <v>51</v>
      </c>
      <c r="AN92" s="8">
        <v>4.5999999999999996</v>
      </c>
      <c r="AO92" s="8">
        <v>6.3299999999999999E-4</v>
      </c>
      <c r="AP92" s="8">
        <v>1.1100000000000001E-3</v>
      </c>
      <c r="AQ92" s="8" t="s">
        <v>52</v>
      </c>
      <c r="AR92" s="8" t="s">
        <v>53</v>
      </c>
      <c r="AS92" s="8" t="s">
        <v>54</v>
      </c>
    </row>
    <row r="93" spans="1:45" x14ac:dyDescent="0.25">
      <c r="A93" s="8" t="s">
        <v>576</v>
      </c>
      <c r="B93" s="8" t="s">
        <v>244</v>
      </c>
      <c r="C93" s="8">
        <v>105</v>
      </c>
      <c r="D93" s="8">
        <v>301</v>
      </c>
      <c r="E93" s="9">
        <v>3.6800000000000001E-7</v>
      </c>
      <c r="F93" s="8">
        <v>1000000</v>
      </c>
      <c r="G93" s="9">
        <v>3.8699999999999999E-11</v>
      </c>
      <c r="H93" s="8">
        <v>8.5300000000000001E-2</v>
      </c>
      <c r="I93" s="9">
        <v>9.8800000000000003E-6</v>
      </c>
      <c r="J93" s="8">
        <v>3.7199999999999997E-2</v>
      </c>
      <c r="K93" s="8">
        <v>3.9300000000000002E-2</v>
      </c>
      <c r="L93" s="8">
        <v>3.9300000000000001E-4</v>
      </c>
      <c r="M93" s="8">
        <v>2.9499999999999999E-3</v>
      </c>
      <c r="N93" s="8">
        <v>1.57E-3</v>
      </c>
      <c r="O93" s="8">
        <v>14.9</v>
      </c>
      <c r="P93" s="8">
        <v>0.998</v>
      </c>
      <c r="Q93" s="8">
        <v>6.39</v>
      </c>
      <c r="R93" s="8">
        <v>16300</v>
      </c>
      <c r="S93" s="8">
        <v>260</v>
      </c>
      <c r="T93" s="8">
        <v>260</v>
      </c>
      <c r="U93" s="8">
        <v>43.3</v>
      </c>
      <c r="V93" s="8">
        <v>43.3</v>
      </c>
      <c r="W93" s="9">
        <v>1.9099999999999999E-6</v>
      </c>
      <c r="X93" s="9">
        <v>9.0699999999999996E-6</v>
      </c>
      <c r="Y93" s="9">
        <v>1.1E-5</v>
      </c>
      <c r="Z93" s="8" t="s">
        <v>44</v>
      </c>
      <c r="AA93" s="8" t="s">
        <v>44</v>
      </c>
      <c r="AB93" s="8">
        <v>3.16</v>
      </c>
      <c r="AC93" s="8" t="s">
        <v>45</v>
      </c>
      <c r="AD93" s="8" t="s">
        <v>46</v>
      </c>
      <c r="AE93" s="8">
        <v>0.02</v>
      </c>
      <c r="AF93" s="8" t="s">
        <v>644</v>
      </c>
      <c r="AG93" s="8" t="s">
        <v>47</v>
      </c>
      <c r="AI93" s="8">
        <v>3.0000000000000001E-3</v>
      </c>
      <c r="AJ93" s="8" t="s">
        <v>48</v>
      </c>
      <c r="AK93" s="8" t="s">
        <v>49</v>
      </c>
      <c r="AL93" s="8" t="s">
        <v>50</v>
      </c>
      <c r="AM93" s="8" t="s">
        <v>51</v>
      </c>
      <c r="AN93" s="8">
        <v>260</v>
      </c>
      <c r="AO93" s="9">
        <v>3.8199999999999998E-6</v>
      </c>
      <c r="AP93" s="9">
        <v>6.6800000000000004E-6</v>
      </c>
      <c r="AQ93" s="8" t="s">
        <v>52</v>
      </c>
      <c r="AR93" s="8" t="s">
        <v>53</v>
      </c>
      <c r="AS93" s="8" t="s">
        <v>54</v>
      </c>
    </row>
    <row r="94" spans="1:45" x14ac:dyDescent="0.25">
      <c r="A94" s="8" t="s">
        <v>577</v>
      </c>
      <c r="B94" s="8" t="s">
        <v>245</v>
      </c>
      <c r="C94" s="8">
        <v>154.185</v>
      </c>
      <c r="D94" s="8">
        <v>249.15</v>
      </c>
      <c r="E94" s="8">
        <v>2.7899199999999999E-4</v>
      </c>
      <c r="F94" s="8">
        <v>7000</v>
      </c>
      <c r="G94" s="9">
        <v>6.1500000000000004E-6</v>
      </c>
      <c r="H94" s="8">
        <v>6.6100000000000006E-2</v>
      </c>
      <c r="I94" s="9">
        <v>7.6499999999999996E-6</v>
      </c>
      <c r="J94" s="8">
        <v>13.80384265</v>
      </c>
      <c r="K94" s="8">
        <v>13.209914299999999</v>
      </c>
      <c r="L94" s="8">
        <v>0.132099143</v>
      </c>
      <c r="M94" s="8">
        <v>0.99074357300000004</v>
      </c>
      <c r="N94" s="8">
        <v>0.52839657200000001</v>
      </c>
      <c r="O94" s="8">
        <v>505.89</v>
      </c>
      <c r="P94" s="8">
        <v>0.99999786700000004</v>
      </c>
      <c r="Q94" s="8">
        <v>8.0609939829999995</v>
      </c>
      <c r="R94" s="8">
        <v>61.022303399999998</v>
      </c>
      <c r="S94" s="8">
        <v>8.4933691410000005</v>
      </c>
      <c r="T94" s="8">
        <v>8.4933691410000005</v>
      </c>
      <c r="U94" s="8">
        <v>0.14892571800000001</v>
      </c>
      <c r="V94" s="8">
        <v>0.14892571800000001</v>
      </c>
      <c r="W94" s="8">
        <v>1.36E-4</v>
      </c>
      <c r="X94" s="8">
        <v>6.4499999999999996E-4</v>
      </c>
      <c r="Y94" s="8">
        <v>7.8100000000000001E-4</v>
      </c>
      <c r="Z94" s="8" t="s">
        <v>44</v>
      </c>
      <c r="AA94" s="8" t="s">
        <v>44</v>
      </c>
      <c r="AB94" s="8">
        <v>1.5059134080000001</v>
      </c>
      <c r="AC94" s="8" t="s">
        <v>45</v>
      </c>
      <c r="AD94" s="8" t="s">
        <v>46</v>
      </c>
      <c r="AE94" s="8" t="s">
        <v>56</v>
      </c>
      <c r="AG94" s="8">
        <v>1.2</v>
      </c>
      <c r="AH94" s="8" t="s">
        <v>650</v>
      </c>
      <c r="AI94" s="8" t="s">
        <v>57</v>
      </c>
      <c r="AJ94" s="8" t="s">
        <v>48</v>
      </c>
      <c r="AK94" s="8" t="s">
        <v>49</v>
      </c>
      <c r="AL94" s="8" t="s">
        <v>50</v>
      </c>
      <c r="AM94" s="8" t="s">
        <v>51</v>
      </c>
      <c r="AN94" s="8">
        <v>8.4933691410000005</v>
      </c>
      <c r="AO94" s="8">
        <v>2.72E-4</v>
      </c>
      <c r="AP94" s="8">
        <v>4.7600000000000002E-4</v>
      </c>
      <c r="AQ94" s="8" t="s">
        <v>52</v>
      </c>
      <c r="AR94" s="8" t="s">
        <v>53</v>
      </c>
      <c r="AS94" s="8" t="s">
        <v>54</v>
      </c>
    </row>
    <row r="95" spans="1:45" x14ac:dyDescent="0.25">
      <c r="A95" s="8" t="s">
        <v>634</v>
      </c>
      <c r="B95" s="8" t="s">
        <v>59</v>
      </c>
      <c r="C95" s="8">
        <v>162</v>
      </c>
      <c r="D95" s="8">
        <v>205</v>
      </c>
      <c r="E95" s="9">
        <v>2.8799999999999999E-5</v>
      </c>
      <c r="F95" s="8">
        <v>1000000</v>
      </c>
      <c r="G95" s="9">
        <v>4.6699999999999998E-9</v>
      </c>
      <c r="H95" s="8">
        <v>6.3899999999999998E-2</v>
      </c>
      <c r="I95" s="9">
        <v>7.4000000000000003E-6</v>
      </c>
      <c r="J95" s="8">
        <v>3.63</v>
      </c>
      <c r="K95" s="8">
        <v>3.55</v>
      </c>
      <c r="L95" s="8">
        <v>3.5499999999999997E-2</v>
      </c>
      <c r="M95" s="8">
        <v>0.26700000000000002</v>
      </c>
      <c r="N95" s="8">
        <v>0.14199999999999999</v>
      </c>
      <c r="O95" s="8">
        <v>14.9</v>
      </c>
      <c r="P95" s="8">
        <v>1</v>
      </c>
      <c r="Q95" s="8">
        <v>6.94</v>
      </c>
      <c r="R95" s="8">
        <v>195</v>
      </c>
      <c r="S95" s="8">
        <v>18.399999999999999</v>
      </c>
      <c r="T95" s="8">
        <v>18.399999999999999</v>
      </c>
      <c r="U95" s="8">
        <v>47.2</v>
      </c>
      <c r="V95" s="8">
        <v>47.2</v>
      </c>
      <c r="W95" s="9">
        <v>4.0800000000000002E-5</v>
      </c>
      <c r="X95" s="8">
        <v>1.94E-4</v>
      </c>
      <c r="Y95" s="8">
        <v>2.34E-4</v>
      </c>
      <c r="Z95" s="8" t="s">
        <v>44</v>
      </c>
      <c r="AA95" s="8" t="s">
        <v>44</v>
      </c>
      <c r="AB95" s="8">
        <v>3.16</v>
      </c>
      <c r="AC95" s="8" t="s">
        <v>45</v>
      </c>
      <c r="AD95" s="8" t="s">
        <v>46</v>
      </c>
      <c r="AE95" s="8">
        <v>0.03</v>
      </c>
      <c r="AF95" s="8" t="s">
        <v>644</v>
      </c>
      <c r="AG95" s="8" t="s">
        <v>47</v>
      </c>
      <c r="AI95" s="8">
        <v>1E-4</v>
      </c>
      <c r="AJ95" s="8" t="s">
        <v>48</v>
      </c>
      <c r="AK95" s="8" t="s">
        <v>49</v>
      </c>
      <c r="AL95" s="8" t="s">
        <v>50</v>
      </c>
      <c r="AM95" s="8" t="s">
        <v>51</v>
      </c>
      <c r="AN95" s="8">
        <v>18.399999999999999</v>
      </c>
      <c r="AO95" s="9">
        <v>8.1500000000000002E-5</v>
      </c>
      <c r="AP95" s="8">
        <v>1.4300000000000001E-4</v>
      </c>
      <c r="AQ95" s="8" t="s">
        <v>52</v>
      </c>
      <c r="AR95" s="8" t="s">
        <v>53</v>
      </c>
      <c r="AS95" s="8" t="s">
        <v>54</v>
      </c>
    </row>
    <row r="96" spans="1:45" x14ac:dyDescent="0.25">
      <c r="A96" s="10" t="s">
        <v>493</v>
      </c>
      <c r="B96" s="10" t="s">
        <v>494</v>
      </c>
      <c r="C96" s="8">
        <v>134.18</v>
      </c>
      <c r="D96" s="8">
        <v>235.04</v>
      </c>
      <c r="E96" s="8">
        <v>3.8999999999999998E-3</v>
      </c>
      <c r="F96" s="9">
        <v>179600</v>
      </c>
      <c r="G96" s="9">
        <v>2.0800000000000001E-7</v>
      </c>
      <c r="I96" s="9"/>
      <c r="J96" s="9">
        <v>0.33100000000000002</v>
      </c>
      <c r="K96" s="8">
        <v>1.9330000000000001</v>
      </c>
      <c r="M96" s="8">
        <f t="shared" ref="M96:M103" si="1">(0.075*K96)</f>
        <v>0.14497499999999999</v>
      </c>
      <c r="N96" s="8">
        <f t="shared" ref="N96:N103" si="2">(0.04*K96)</f>
        <v>7.732E-2</v>
      </c>
      <c r="P96" s="9">
        <v>1</v>
      </c>
      <c r="AB96" s="8">
        <v>0.92030000000000001</v>
      </c>
      <c r="AC96" s="8">
        <v>0.92030000000000001</v>
      </c>
    </row>
    <row r="97" spans="1:45" x14ac:dyDescent="0.25">
      <c r="A97" s="10" t="s">
        <v>735</v>
      </c>
      <c r="B97" s="11" t="s">
        <v>734</v>
      </c>
      <c r="C97" s="8">
        <v>366.46</v>
      </c>
      <c r="D97" s="8">
        <v>365.28</v>
      </c>
      <c r="E97" s="9">
        <v>2.8399999999999999E-6</v>
      </c>
      <c r="F97" s="8">
        <v>1.65</v>
      </c>
      <c r="G97" s="9">
        <v>2.9600000000000001E-10</v>
      </c>
      <c r="I97" s="9"/>
      <c r="J97" s="9">
        <v>11500</v>
      </c>
      <c r="K97" s="9">
        <v>765.9</v>
      </c>
      <c r="M97" s="8">
        <f t="shared" si="1"/>
        <v>57.442499999999995</v>
      </c>
      <c r="N97" s="8">
        <f t="shared" si="2"/>
        <v>30.635999999999999</v>
      </c>
      <c r="P97" s="9">
        <v>1</v>
      </c>
      <c r="AB97" s="8">
        <v>19.7</v>
      </c>
      <c r="AC97" s="8">
        <v>19.7</v>
      </c>
    </row>
    <row r="98" spans="1:45" x14ac:dyDescent="0.25">
      <c r="A98" s="10" t="s">
        <v>496</v>
      </c>
      <c r="B98" s="10" t="s">
        <v>495</v>
      </c>
      <c r="C98" s="8">
        <v>134.18</v>
      </c>
      <c r="D98" s="8">
        <v>270.95</v>
      </c>
      <c r="E98" s="9">
        <v>1.2300000000000001E-4</v>
      </c>
      <c r="F98" s="9">
        <v>828000</v>
      </c>
      <c r="G98" s="9">
        <v>8.6300000000000002E-10</v>
      </c>
      <c r="H98" s="9">
        <v>5.62E-2</v>
      </c>
      <c r="I98" s="9">
        <v>7.9699999999999999E-6</v>
      </c>
      <c r="J98" s="8">
        <v>0.20399999999999999</v>
      </c>
      <c r="K98" s="9">
        <v>1</v>
      </c>
      <c r="M98" s="8">
        <f t="shared" si="1"/>
        <v>7.4999999999999997E-2</v>
      </c>
      <c r="N98" s="8">
        <f t="shared" si="2"/>
        <v>0.04</v>
      </c>
      <c r="P98" s="9">
        <v>1</v>
      </c>
      <c r="U98" s="9">
        <v>79.2</v>
      </c>
      <c r="V98" s="9">
        <v>79.2</v>
      </c>
      <c r="W98" s="9">
        <v>2.28E-9</v>
      </c>
      <c r="X98" s="9">
        <v>7.2099999999999997E-9</v>
      </c>
      <c r="AB98" s="8">
        <v>0.90510000000000002</v>
      </c>
      <c r="AC98" s="8">
        <v>0.90510000000000002</v>
      </c>
    </row>
    <row r="99" spans="1:45" x14ac:dyDescent="0.25">
      <c r="A99" s="12" t="s">
        <v>497</v>
      </c>
      <c r="B99" s="12" t="s">
        <v>498</v>
      </c>
      <c r="C99" s="8">
        <v>120.15</v>
      </c>
      <c r="D99" s="8">
        <v>259.39999999999998</v>
      </c>
      <c r="E99" s="9">
        <v>1.47E-4</v>
      </c>
      <c r="F99" s="9">
        <v>1000000</v>
      </c>
      <c r="G99" s="9"/>
      <c r="I99" s="9"/>
      <c r="J99" s="9">
        <v>6.6100000000000006E-2</v>
      </c>
      <c r="K99" s="8">
        <v>1</v>
      </c>
      <c r="M99" s="8">
        <f t="shared" si="1"/>
        <v>7.4999999999999997E-2</v>
      </c>
      <c r="N99" s="8">
        <f t="shared" si="2"/>
        <v>0.04</v>
      </c>
      <c r="P99" s="9">
        <v>1</v>
      </c>
      <c r="AB99" s="8">
        <v>0.89510000000000001</v>
      </c>
      <c r="AC99" s="8">
        <v>0.89510000000000001</v>
      </c>
    </row>
    <row r="100" spans="1:45" x14ac:dyDescent="0.25">
      <c r="A100" s="10" t="s">
        <v>508</v>
      </c>
      <c r="B100" s="10" t="s">
        <v>511</v>
      </c>
      <c r="C100" s="8">
        <v>66.05</v>
      </c>
      <c r="D100" s="8">
        <v>115.89</v>
      </c>
      <c r="E100" s="9">
        <v>5.0599999999999996</v>
      </c>
      <c r="F100" s="9">
        <v>5656</v>
      </c>
      <c r="G100" s="9">
        <v>0.38700000000000001</v>
      </c>
      <c r="H100" s="9">
        <v>0.10199999999999999</v>
      </c>
      <c r="I100" s="9">
        <v>1.15E-5</v>
      </c>
      <c r="J100" s="9">
        <v>13.5</v>
      </c>
      <c r="K100" s="9">
        <v>31.82</v>
      </c>
      <c r="M100" s="8">
        <f t="shared" si="1"/>
        <v>2.3864999999999998</v>
      </c>
      <c r="N100" s="8">
        <f t="shared" si="2"/>
        <v>1.2727999999999999</v>
      </c>
      <c r="P100" s="9">
        <v>1</v>
      </c>
      <c r="U100" s="9">
        <v>14.1</v>
      </c>
      <c r="V100" s="9">
        <v>14.1</v>
      </c>
      <c r="W100" s="9">
        <v>4.4400000000000001E-8</v>
      </c>
      <c r="X100" s="9">
        <v>1.4100000000000001E-7</v>
      </c>
      <c r="Y100" s="9"/>
      <c r="AB100" s="8">
        <v>1.3959999999999999</v>
      </c>
      <c r="AC100" s="8">
        <v>1.3959999999999999</v>
      </c>
      <c r="AE100" s="8">
        <v>40</v>
      </c>
      <c r="AF100" s="9" t="s">
        <v>639</v>
      </c>
      <c r="AM100" s="8" t="s">
        <v>713</v>
      </c>
      <c r="AO100" s="9"/>
      <c r="AP100" s="9"/>
    </row>
    <row r="101" spans="1:45" x14ac:dyDescent="0.25">
      <c r="A101" s="10" t="s">
        <v>509</v>
      </c>
      <c r="B101" s="10" t="s">
        <v>510</v>
      </c>
      <c r="C101" s="8">
        <v>52.02</v>
      </c>
      <c r="D101" s="8">
        <v>114.36</v>
      </c>
      <c r="E101" s="9">
        <v>9.94</v>
      </c>
      <c r="F101" s="9">
        <v>16620</v>
      </c>
      <c r="G101" s="9">
        <v>0.29199999999999998</v>
      </c>
      <c r="I101" s="9"/>
      <c r="J101" s="9">
        <v>5.13</v>
      </c>
      <c r="K101" s="9">
        <v>21.73</v>
      </c>
      <c r="M101" s="8">
        <f t="shared" si="1"/>
        <v>1.62975</v>
      </c>
      <c r="N101" s="8">
        <f t="shared" si="2"/>
        <v>0.86920000000000008</v>
      </c>
      <c r="P101" s="9">
        <v>1</v>
      </c>
      <c r="W101" s="9"/>
      <c r="X101" s="9"/>
      <c r="Y101" s="9"/>
      <c r="AB101" s="8">
        <v>1.026</v>
      </c>
      <c r="AC101" s="8">
        <v>1.026</v>
      </c>
      <c r="AJ101" s="9"/>
      <c r="AM101" s="8" t="s">
        <v>713</v>
      </c>
      <c r="AO101" s="9"/>
      <c r="AP101" s="9"/>
    </row>
    <row r="102" spans="1:45" x14ac:dyDescent="0.25">
      <c r="A102" s="10" t="s">
        <v>501</v>
      </c>
      <c r="B102" s="10" t="s">
        <v>502</v>
      </c>
      <c r="C102" s="8">
        <v>90.12</v>
      </c>
      <c r="D102" s="8">
        <v>191.69</v>
      </c>
      <c r="E102" s="9">
        <v>0.104</v>
      </c>
      <c r="F102" s="9">
        <v>188000</v>
      </c>
      <c r="G102" s="9">
        <v>1.34E-5</v>
      </c>
      <c r="I102" s="9"/>
      <c r="J102" s="9">
        <v>0.61699999999999999</v>
      </c>
      <c r="K102" s="9">
        <v>2.3759999999999999</v>
      </c>
      <c r="M102" s="8">
        <f t="shared" si="1"/>
        <v>0.1782</v>
      </c>
      <c r="N102" s="8">
        <f t="shared" si="2"/>
        <v>9.5039999999999999E-2</v>
      </c>
      <c r="P102" s="9">
        <v>1</v>
      </c>
      <c r="AB102" s="8">
        <v>0.9355</v>
      </c>
      <c r="AC102" s="8">
        <v>0.9355</v>
      </c>
      <c r="AJ102" s="9"/>
    </row>
    <row r="103" spans="1:45" x14ac:dyDescent="0.25">
      <c r="A103" s="10" t="s">
        <v>515</v>
      </c>
      <c r="B103" s="10" t="s">
        <v>516</v>
      </c>
      <c r="C103" s="8">
        <v>107.54</v>
      </c>
      <c r="D103" s="8">
        <v>258.13</v>
      </c>
      <c r="E103" s="9">
        <v>2.3600000000000001E-3</v>
      </c>
      <c r="F103" s="9">
        <v>458500</v>
      </c>
      <c r="G103" s="9">
        <v>7.23E-7</v>
      </c>
      <c r="H103" s="9">
        <v>7.7299999999999994E-2</v>
      </c>
      <c r="I103" s="9">
        <v>1.01E-5</v>
      </c>
      <c r="J103" s="9">
        <v>0.191</v>
      </c>
      <c r="K103" s="9">
        <v>1</v>
      </c>
      <c r="M103" s="8">
        <f t="shared" si="1"/>
        <v>7.4999999999999997E-2</v>
      </c>
      <c r="N103" s="8">
        <f t="shared" si="2"/>
        <v>0.04</v>
      </c>
      <c r="P103" s="9">
        <v>1</v>
      </c>
      <c r="U103" s="9">
        <v>101</v>
      </c>
      <c r="V103" s="9">
        <v>101</v>
      </c>
      <c r="W103" s="9">
        <v>1.51E-9</v>
      </c>
      <c r="X103" s="9">
        <v>4.7600000000000001E-9</v>
      </c>
      <c r="AB103" s="8">
        <v>0.90380000000000005</v>
      </c>
      <c r="AC103" s="8">
        <v>0.90380000000000005</v>
      </c>
    </row>
    <row r="104" spans="1:45" x14ac:dyDescent="0.25">
      <c r="A104" s="8" t="s">
        <v>686</v>
      </c>
      <c r="B104" s="8" t="s">
        <v>246</v>
      </c>
      <c r="C104" s="8">
        <v>194</v>
      </c>
      <c r="D104" s="8">
        <v>274</v>
      </c>
      <c r="E104" s="9">
        <v>2.17E-6</v>
      </c>
      <c r="F104" s="8">
        <v>4000</v>
      </c>
      <c r="G104" s="9">
        <v>1.05E-7</v>
      </c>
      <c r="H104" s="8">
        <v>5.6800000000000003E-2</v>
      </c>
      <c r="I104" s="9">
        <v>6.2899999999999999E-6</v>
      </c>
      <c r="J104" s="8">
        <v>36.299999999999997</v>
      </c>
      <c r="K104" s="8">
        <v>34.200000000000003</v>
      </c>
      <c r="L104" s="8">
        <v>0.34</v>
      </c>
      <c r="M104" s="8">
        <v>2.56</v>
      </c>
      <c r="N104" s="8">
        <v>1.37</v>
      </c>
      <c r="O104" s="8">
        <v>36.1</v>
      </c>
      <c r="P104" s="8">
        <v>1</v>
      </c>
      <c r="Q104" s="8">
        <v>10</v>
      </c>
      <c r="R104" s="8">
        <v>29.3</v>
      </c>
      <c r="S104" s="8">
        <v>4.8600000000000003</v>
      </c>
      <c r="T104" s="8">
        <v>4.8600000000000003</v>
      </c>
      <c r="U104" s="8">
        <v>24.4</v>
      </c>
      <c r="V104" s="8">
        <v>24.4</v>
      </c>
      <c r="W104" s="8">
        <v>2.9500000000000001E-4</v>
      </c>
      <c r="X104" s="8">
        <v>1.4E-3</v>
      </c>
      <c r="Y104" s="8">
        <v>1.6999999999999999E-3</v>
      </c>
      <c r="Z104" s="8">
        <v>3.4200000000000002E-4</v>
      </c>
      <c r="AA104" s="8" t="s">
        <v>44</v>
      </c>
      <c r="AB104" s="8">
        <v>3.17</v>
      </c>
      <c r="AC104" s="8" t="s">
        <v>45</v>
      </c>
      <c r="AD104" s="8" t="s">
        <v>46</v>
      </c>
      <c r="AF104" s="8" t="s">
        <v>646</v>
      </c>
      <c r="AG104" s="8" t="s">
        <v>47</v>
      </c>
      <c r="AI104" s="8" t="s">
        <v>57</v>
      </c>
      <c r="AJ104" s="8" t="s">
        <v>48</v>
      </c>
      <c r="AK104" s="8" t="s">
        <v>49</v>
      </c>
      <c r="AL104" s="8" t="s">
        <v>50</v>
      </c>
      <c r="AM104" s="8" t="s">
        <v>714</v>
      </c>
      <c r="AN104" s="8">
        <v>4.8600000000000003</v>
      </c>
      <c r="AO104" s="8">
        <v>5.9100000000000005E-4</v>
      </c>
      <c r="AP104" s="8">
        <v>1.0300000000000001E-3</v>
      </c>
      <c r="AQ104" s="8" t="s">
        <v>52</v>
      </c>
      <c r="AR104" s="8" t="s">
        <v>53</v>
      </c>
      <c r="AS104" s="8" t="s">
        <v>54</v>
      </c>
    </row>
    <row r="105" spans="1:45" x14ac:dyDescent="0.25">
      <c r="A105" s="10" t="s">
        <v>573</v>
      </c>
      <c r="B105" s="10" t="s">
        <v>247</v>
      </c>
      <c r="C105" s="8">
        <v>126.13</v>
      </c>
      <c r="D105" s="8">
        <v>289.12</v>
      </c>
      <c r="E105" s="9">
        <v>8.1700000000000002E-4</v>
      </c>
      <c r="F105" s="9">
        <v>69440</v>
      </c>
      <c r="G105" s="9">
        <v>2.6000000000000001E-6</v>
      </c>
      <c r="H105" s="9">
        <v>6.9199999999999998E-2</v>
      </c>
      <c r="I105" s="9">
        <v>9.9000000000000001E-6</v>
      </c>
      <c r="J105" s="8">
        <v>1.45</v>
      </c>
      <c r="K105" s="8">
        <v>8.4909999999999997</v>
      </c>
      <c r="L105" s="8" t="s">
        <v>57</v>
      </c>
      <c r="M105" s="8">
        <f t="shared" ref="M105:M106" si="3">(0.075*K105)</f>
        <v>0.63682499999999997</v>
      </c>
      <c r="N105" s="8">
        <f t="shared" ref="N105:N106" si="4">(0.04*K105)</f>
        <v>0.33964</v>
      </c>
      <c r="O105" s="8" t="s">
        <v>57</v>
      </c>
      <c r="P105" s="9">
        <v>1</v>
      </c>
      <c r="Q105" s="8" t="s">
        <v>57</v>
      </c>
      <c r="R105" s="8" t="s">
        <v>57</v>
      </c>
      <c r="S105" s="8" t="s">
        <v>56</v>
      </c>
      <c r="T105" s="8" t="s">
        <v>56</v>
      </c>
      <c r="U105" s="8" t="s">
        <v>57</v>
      </c>
      <c r="V105" s="8" t="s">
        <v>57</v>
      </c>
      <c r="W105" s="9">
        <v>1.14E-7</v>
      </c>
      <c r="X105" s="9">
        <v>3.6100000000000002E-7</v>
      </c>
      <c r="Y105" s="8" t="s">
        <v>62</v>
      </c>
      <c r="Z105" s="8" t="s">
        <v>44</v>
      </c>
      <c r="AA105" s="8" t="s">
        <v>44</v>
      </c>
      <c r="AB105" s="8">
        <v>0.99409999999999998</v>
      </c>
      <c r="AC105" s="8">
        <v>0.99409999999999998</v>
      </c>
      <c r="AD105" s="8" t="s">
        <v>46</v>
      </c>
      <c r="AE105" s="8" t="s">
        <v>56</v>
      </c>
      <c r="AG105" s="8" t="s">
        <v>47</v>
      </c>
      <c r="AI105" s="8" t="s">
        <v>57</v>
      </c>
      <c r="AJ105" s="8" t="s">
        <v>48</v>
      </c>
      <c r="AK105" s="8" t="s">
        <v>49</v>
      </c>
      <c r="AL105" s="8" t="s">
        <v>50</v>
      </c>
      <c r="AM105" s="8" t="s">
        <v>51</v>
      </c>
      <c r="AN105" s="8" t="s">
        <v>44</v>
      </c>
      <c r="AO105" s="8" t="s">
        <v>44</v>
      </c>
      <c r="AP105" s="8" t="s">
        <v>44</v>
      </c>
      <c r="AQ105" s="8" t="s">
        <v>52</v>
      </c>
      <c r="AR105" s="8" t="s">
        <v>53</v>
      </c>
      <c r="AS105" s="8" t="s">
        <v>54</v>
      </c>
    </row>
    <row r="106" spans="1:45" x14ac:dyDescent="0.25">
      <c r="A106" s="10" t="s">
        <v>499</v>
      </c>
      <c r="B106" s="10" t="s">
        <v>500</v>
      </c>
      <c r="C106" s="8">
        <v>225.3</v>
      </c>
      <c r="D106" s="8">
        <v>351.01</v>
      </c>
      <c r="E106" s="9">
        <v>4.8699999999999999E-8</v>
      </c>
      <c r="F106" s="9">
        <v>1.46</v>
      </c>
      <c r="G106" s="9">
        <v>2.34E-7</v>
      </c>
      <c r="H106" s="9">
        <v>5.1299999999999998E-2</v>
      </c>
      <c r="I106" s="9">
        <v>6.0000000000000002E-6</v>
      </c>
      <c r="J106" s="9">
        <v>19500</v>
      </c>
      <c r="K106" s="9">
        <v>2028</v>
      </c>
      <c r="M106" s="8">
        <f t="shared" si="3"/>
        <v>152.1</v>
      </c>
      <c r="N106" s="8">
        <f t="shared" si="4"/>
        <v>81.12</v>
      </c>
      <c r="P106" s="9">
        <v>0.32600000000000001</v>
      </c>
      <c r="U106" s="9">
        <v>8.4900000000000003E-2</v>
      </c>
      <c r="V106" s="9">
        <v>8.4900000000000003E-2</v>
      </c>
      <c r="W106" s="9">
        <v>2.9999999999999997E-4</v>
      </c>
      <c r="X106" s="9">
        <v>9.5E-4</v>
      </c>
      <c r="AB106" s="8">
        <v>334.5</v>
      </c>
      <c r="AC106" s="8">
        <v>335</v>
      </c>
    </row>
    <row r="107" spans="1:45" x14ac:dyDescent="0.25">
      <c r="A107" s="8" t="s">
        <v>574</v>
      </c>
      <c r="B107" s="8" t="s">
        <v>248</v>
      </c>
      <c r="C107" s="8">
        <v>121</v>
      </c>
      <c r="D107" s="8">
        <v>276</v>
      </c>
      <c r="E107" s="8">
        <v>9.2100000000000005E-4</v>
      </c>
      <c r="F107" s="8">
        <v>1450</v>
      </c>
      <c r="G107" s="9">
        <v>7.7000000000000001E-5</v>
      </c>
      <c r="H107" s="8">
        <v>7.7600000000000002E-2</v>
      </c>
      <c r="I107" s="9">
        <v>8.9800000000000004E-6</v>
      </c>
      <c r="J107" s="8">
        <v>204</v>
      </c>
      <c r="K107" s="8">
        <v>187</v>
      </c>
      <c r="L107" s="8">
        <v>1.87</v>
      </c>
      <c r="M107" s="8">
        <v>14</v>
      </c>
      <c r="N107" s="8">
        <v>7.47</v>
      </c>
      <c r="O107" s="8">
        <v>36.1</v>
      </c>
      <c r="P107" s="8">
        <v>1</v>
      </c>
      <c r="Q107" s="8">
        <v>14</v>
      </c>
      <c r="R107" s="8">
        <v>7.48</v>
      </c>
      <c r="S107" s="8">
        <v>1.79</v>
      </c>
      <c r="T107" s="8">
        <v>1.79</v>
      </c>
      <c r="U107" s="8">
        <v>0.21</v>
      </c>
      <c r="V107" s="8">
        <v>0.21</v>
      </c>
      <c r="W107" s="8">
        <v>9.6699999999999998E-4</v>
      </c>
      <c r="X107" s="8">
        <v>4.5900000000000003E-3</v>
      </c>
      <c r="Y107" s="8">
        <v>5.5599999999999998E-3</v>
      </c>
      <c r="Z107" s="8" t="s">
        <v>44</v>
      </c>
      <c r="AA107" s="8" t="s">
        <v>44</v>
      </c>
      <c r="AB107" s="8">
        <v>12</v>
      </c>
      <c r="AC107" s="8" t="s">
        <v>45</v>
      </c>
      <c r="AD107" s="8" t="s">
        <v>46</v>
      </c>
      <c r="AE107" s="8">
        <v>2E-3</v>
      </c>
      <c r="AF107" s="8" t="s">
        <v>639</v>
      </c>
      <c r="AG107" s="8" t="s">
        <v>47</v>
      </c>
      <c r="AI107" s="8" t="s">
        <v>57</v>
      </c>
      <c r="AJ107" s="8" t="s">
        <v>48</v>
      </c>
      <c r="AK107" s="8" t="s">
        <v>49</v>
      </c>
      <c r="AL107" s="8" t="s">
        <v>50</v>
      </c>
      <c r="AM107" s="8" t="s">
        <v>51</v>
      </c>
      <c r="AN107" s="8">
        <v>1.79</v>
      </c>
      <c r="AO107" s="8">
        <v>1.9300000000000001E-3</v>
      </c>
      <c r="AP107" s="8">
        <v>3.3800000000000002E-3</v>
      </c>
      <c r="AQ107" s="8" t="s">
        <v>52</v>
      </c>
      <c r="AR107" s="8" t="s">
        <v>53</v>
      </c>
      <c r="AS107" s="8" t="s">
        <v>54</v>
      </c>
    </row>
    <row r="108" spans="1:45" x14ac:dyDescent="0.25">
      <c r="A108" s="8" t="s">
        <v>582</v>
      </c>
      <c r="B108" s="8" t="s">
        <v>251</v>
      </c>
      <c r="C108" s="8">
        <v>73.099999999999994</v>
      </c>
      <c r="D108" s="8">
        <v>213</v>
      </c>
      <c r="E108" s="8">
        <v>5.0899999999999999E-3</v>
      </c>
      <c r="F108" s="8">
        <v>1000000</v>
      </c>
      <c r="G108" s="9">
        <v>3.72E-7</v>
      </c>
      <c r="H108" s="8">
        <v>0.109</v>
      </c>
      <c r="I108" s="9">
        <v>1.26E-5</v>
      </c>
      <c r="J108" s="8">
        <v>9.7699999999999995E-2</v>
      </c>
      <c r="K108" s="8">
        <v>0.10199999999999999</v>
      </c>
      <c r="L108" s="8">
        <v>1.0200000000000001E-3</v>
      </c>
      <c r="M108" s="8">
        <v>7.6299999999999996E-3</v>
      </c>
      <c r="N108" s="8">
        <v>4.0699999999999998E-3</v>
      </c>
      <c r="O108" s="8">
        <v>8.43</v>
      </c>
      <c r="P108" s="8">
        <v>1</v>
      </c>
      <c r="Q108" s="8">
        <v>6.39</v>
      </c>
      <c r="R108" s="8">
        <v>6280</v>
      </c>
      <c r="S108" s="8">
        <v>149</v>
      </c>
      <c r="T108" s="8">
        <v>149</v>
      </c>
      <c r="U108" s="8">
        <v>1.26E-2</v>
      </c>
      <c r="V108" s="8">
        <v>1.26E-2</v>
      </c>
      <c r="W108" s="9">
        <v>1.9099999999999999E-6</v>
      </c>
      <c r="X108" s="9">
        <v>9.0699999999999996E-6</v>
      </c>
      <c r="Y108" s="9">
        <v>1.1E-5</v>
      </c>
      <c r="Z108" s="8" t="s">
        <v>44</v>
      </c>
      <c r="AA108" s="8" t="s">
        <v>44</v>
      </c>
      <c r="AB108" s="8">
        <v>3.16</v>
      </c>
      <c r="AC108" s="8" t="s">
        <v>45</v>
      </c>
      <c r="AD108" s="8" t="s">
        <v>46</v>
      </c>
      <c r="AE108" s="8">
        <v>0.1</v>
      </c>
      <c r="AF108" s="8" t="s">
        <v>644</v>
      </c>
      <c r="AG108" s="8" t="s">
        <v>47</v>
      </c>
      <c r="AI108" s="8">
        <v>0.03</v>
      </c>
      <c r="AJ108" s="8" t="s">
        <v>48</v>
      </c>
      <c r="AK108" s="8" t="s">
        <v>49</v>
      </c>
      <c r="AL108" s="8" t="s">
        <v>50</v>
      </c>
      <c r="AM108" s="8" t="s">
        <v>51</v>
      </c>
      <c r="AN108" s="8">
        <v>149</v>
      </c>
      <c r="AO108" s="9">
        <v>3.8199999999999998E-6</v>
      </c>
      <c r="AP108" s="9">
        <v>6.6800000000000004E-6</v>
      </c>
      <c r="AQ108" s="8" t="s">
        <v>52</v>
      </c>
      <c r="AR108" s="8" t="s">
        <v>53</v>
      </c>
      <c r="AS108" s="8" t="s">
        <v>54</v>
      </c>
    </row>
    <row r="109" spans="1:45" x14ac:dyDescent="0.25">
      <c r="A109" s="8" t="s">
        <v>736</v>
      </c>
      <c r="B109" s="8" t="s">
        <v>737</v>
      </c>
      <c r="C109" s="8">
        <v>244.32</v>
      </c>
      <c r="D109" s="8">
        <v>410.65</v>
      </c>
      <c r="E109" s="9">
        <v>2.7900000000000002E-10</v>
      </c>
      <c r="F109" s="8">
        <v>60</v>
      </c>
      <c r="G109" s="9">
        <v>1.8100000000000001E-13</v>
      </c>
      <c r="H109" s="8">
        <v>1E-3</v>
      </c>
      <c r="I109" s="9">
        <v>1.0000000000000001E-5</v>
      </c>
      <c r="J109" s="8">
        <v>64.565422900000002</v>
      </c>
      <c r="K109" s="8">
        <v>60.19</v>
      </c>
      <c r="L109" s="8">
        <v>0.6</v>
      </c>
      <c r="M109" s="8">
        <v>4.51</v>
      </c>
      <c r="N109" s="8">
        <v>2.4</v>
      </c>
      <c r="O109" s="8">
        <v>1.41</v>
      </c>
      <c r="P109" s="8">
        <v>0.85899999999999999</v>
      </c>
      <c r="Q109" s="8">
        <v>12.1</v>
      </c>
      <c r="R109" s="8">
        <v>20</v>
      </c>
      <c r="S109" s="8">
        <v>3.48</v>
      </c>
      <c r="T109" s="8">
        <v>3.48</v>
      </c>
      <c r="U109" s="8">
        <v>26144296</v>
      </c>
      <c r="V109" s="8">
        <v>26144296</v>
      </c>
      <c r="W109" s="8">
        <v>4.5125900000000002E-4</v>
      </c>
      <c r="X109" s="8">
        <v>2.143481E-3</v>
      </c>
      <c r="Y109" s="8">
        <v>2.5947409999999998E-3</v>
      </c>
      <c r="Z109" s="8">
        <v>5.1289800000000002E-4</v>
      </c>
      <c r="AA109" s="8" t="s">
        <v>44</v>
      </c>
      <c r="AB109" s="8">
        <v>4.9400000000000004</v>
      </c>
      <c r="AC109" s="8" t="s">
        <v>45</v>
      </c>
      <c r="AD109" s="8" t="s">
        <v>46</v>
      </c>
      <c r="AE109" s="8" t="s">
        <v>56</v>
      </c>
      <c r="AG109" s="8">
        <v>11</v>
      </c>
      <c r="AH109" s="8" t="s">
        <v>644</v>
      </c>
      <c r="AI109" s="8" t="s">
        <v>57</v>
      </c>
      <c r="AJ109" s="9">
        <v>4.0000000000000003E-5</v>
      </c>
      <c r="AK109" s="8" t="s">
        <v>49</v>
      </c>
      <c r="AL109" s="8" t="s">
        <v>50</v>
      </c>
      <c r="AM109" s="8" t="s">
        <v>51</v>
      </c>
      <c r="AN109" s="8">
        <v>3.48</v>
      </c>
      <c r="AO109" s="8">
        <v>9.0251800000000005E-4</v>
      </c>
      <c r="AP109" s="8">
        <v>1.5794069999999999E-3</v>
      </c>
      <c r="AQ109" s="8" t="s">
        <v>52</v>
      </c>
      <c r="AR109" s="8" t="s">
        <v>53</v>
      </c>
      <c r="AS109" s="8" t="s">
        <v>54</v>
      </c>
    </row>
    <row r="110" spans="1:45" x14ac:dyDescent="0.25">
      <c r="A110" s="8" t="s">
        <v>759</v>
      </c>
      <c r="B110" s="8" t="s">
        <v>760</v>
      </c>
      <c r="C110" s="8">
        <v>244.3</v>
      </c>
      <c r="D110" s="8">
        <v>435.6</v>
      </c>
      <c r="E110" s="9">
        <v>9.1999999999999997E-9</v>
      </c>
      <c r="F110" s="8">
        <v>723.9</v>
      </c>
      <c r="G110" s="9">
        <v>1.8100000000000001E-13</v>
      </c>
      <c r="H110" s="9">
        <v>4.8599999999999997E-2</v>
      </c>
      <c r="I110" s="9">
        <v>5.6799999999999998E-6</v>
      </c>
      <c r="J110" s="9">
        <v>120</v>
      </c>
      <c r="K110" s="9">
        <v>508.8</v>
      </c>
      <c r="P110" s="8">
        <f>(1-0.00847)</f>
        <v>0.99153000000000002</v>
      </c>
      <c r="U110" s="8">
        <v>3.43</v>
      </c>
      <c r="V110" s="8">
        <v>3.43</v>
      </c>
      <c r="W110" s="9">
        <v>0.51</v>
      </c>
      <c r="X110" s="9">
        <v>1.61E-6</v>
      </c>
      <c r="AB110" s="8">
        <v>6.4580000000000002</v>
      </c>
      <c r="AC110" s="8">
        <v>6.4580000000000002</v>
      </c>
      <c r="AG110" s="8">
        <v>1.6</v>
      </c>
      <c r="AH110" s="8" t="s">
        <v>644</v>
      </c>
      <c r="AJ110" s="9"/>
    </row>
    <row r="111" spans="1:45" x14ac:dyDescent="0.25">
      <c r="A111" s="8" t="s">
        <v>252</v>
      </c>
      <c r="B111" s="8" t="s">
        <v>253</v>
      </c>
      <c r="C111" s="8">
        <v>184</v>
      </c>
      <c r="D111" s="8">
        <v>386</v>
      </c>
      <c r="E111" s="9">
        <v>6.7100000000000001E-6</v>
      </c>
      <c r="F111" s="8">
        <v>2790</v>
      </c>
      <c r="G111" s="9">
        <v>4.4299999999999998E-7</v>
      </c>
      <c r="H111" s="8">
        <v>2.7300000000000001E-2</v>
      </c>
      <c r="I111" s="9">
        <v>9.0599999999999997E-6</v>
      </c>
      <c r="J111" s="8">
        <v>34.700000000000003</v>
      </c>
      <c r="K111" s="8">
        <v>0.01</v>
      </c>
      <c r="L111" s="8">
        <v>1E-4</v>
      </c>
      <c r="M111" s="8">
        <v>8.0000000000000004E-4</v>
      </c>
      <c r="N111" s="8">
        <v>4.0000000000000002E-4</v>
      </c>
      <c r="O111" s="8">
        <v>0.96</v>
      </c>
      <c r="P111" s="8">
        <v>1</v>
      </c>
      <c r="Q111" s="8">
        <v>9.8699999999999992</v>
      </c>
      <c r="R111" s="8">
        <v>98700</v>
      </c>
      <c r="S111" s="8">
        <v>4.99</v>
      </c>
      <c r="T111" s="8">
        <v>4.99</v>
      </c>
      <c r="U111" s="8">
        <v>5.51</v>
      </c>
      <c r="V111" s="8">
        <v>5.51</v>
      </c>
      <c r="W111" s="9">
        <v>1.17E-5</v>
      </c>
      <c r="X111" s="9">
        <v>5.5600000000000003E-5</v>
      </c>
      <c r="Y111" s="9">
        <v>6.7399999999999998E-5</v>
      </c>
      <c r="Z111" s="8">
        <v>2.6200000000000003E-4</v>
      </c>
      <c r="AA111" s="8" t="s">
        <v>44</v>
      </c>
      <c r="AB111" s="8">
        <v>3.06</v>
      </c>
      <c r="AC111" s="8" t="s">
        <v>45</v>
      </c>
      <c r="AD111" s="8" t="s">
        <v>46</v>
      </c>
      <c r="AE111" s="8">
        <v>2E-3</v>
      </c>
      <c r="AF111" s="8" t="s">
        <v>639</v>
      </c>
      <c r="AG111" s="8" t="s">
        <v>47</v>
      </c>
      <c r="AI111" s="8" t="s">
        <v>57</v>
      </c>
      <c r="AJ111" s="8" t="s">
        <v>48</v>
      </c>
      <c r="AK111" s="8" t="s">
        <v>49</v>
      </c>
      <c r="AL111" s="8" t="s">
        <v>50</v>
      </c>
      <c r="AM111" s="8" t="s">
        <v>67</v>
      </c>
      <c r="AN111" s="8">
        <v>4.99</v>
      </c>
      <c r="AO111" s="9">
        <v>2.34E-5</v>
      </c>
      <c r="AP111" s="9">
        <v>4.1E-5</v>
      </c>
      <c r="AQ111" s="8" t="s">
        <v>52</v>
      </c>
      <c r="AR111" s="8" t="s">
        <v>53</v>
      </c>
      <c r="AS111" s="8" t="s">
        <v>54</v>
      </c>
    </row>
    <row r="112" spans="1:45" x14ac:dyDescent="0.25">
      <c r="A112" s="8" t="s">
        <v>254</v>
      </c>
      <c r="B112" s="8" t="s">
        <v>255</v>
      </c>
      <c r="C112" s="8">
        <v>182</v>
      </c>
      <c r="D112" s="8">
        <v>342</v>
      </c>
      <c r="E112" s="9">
        <v>1.9299999999999999E-7</v>
      </c>
      <c r="F112" s="8">
        <v>270</v>
      </c>
      <c r="G112" s="9">
        <v>9.2599999999999995E-8</v>
      </c>
      <c r="H112" s="8">
        <v>0.20300000000000001</v>
      </c>
      <c r="I112" s="9">
        <v>7.0600000000000002E-6</v>
      </c>
      <c r="J112" s="8">
        <v>95.5</v>
      </c>
      <c r="K112" s="8">
        <v>88.4</v>
      </c>
      <c r="L112" s="8">
        <v>0.88</v>
      </c>
      <c r="M112" s="8">
        <v>6.63</v>
      </c>
      <c r="N112" s="8">
        <v>3.54</v>
      </c>
      <c r="O112" s="8">
        <v>1.41</v>
      </c>
      <c r="P112" s="8">
        <v>0.999</v>
      </c>
      <c r="Q112" s="8">
        <v>14.1</v>
      </c>
      <c r="R112" s="8">
        <v>15.9</v>
      </c>
      <c r="S112" s="8">
        <v>2.78</v>
      </c>
      <c r="T112" s="8">
        <v>2.78</v>
      </c>
      <c r="U112" s="8">
        <v>77.5</v>
      </c>
      <c r="V112" s="8">
        <v>77.5</v>
      </c>
      <c r="W112" s="8">
        <v>5.9199999999999997E-4</v>
      </c>
      <c r="X112" s="8">
        <v>2.81E-3</v>
      </c>
      <c r="Y112" s="8">
        <v>3.4099999999999998E-3</v>
      </c>
      <c r="Z112" s="8">
        <v>7.8600000000000002E-4</v>
      </c>
      <c r="AA112" s="8" t="s">
        <v>44</v>
      </c>
      <c r="AB112" s="8">
        <v>6.68</v>
      </c>
      <c r="AC112" s="8" t="s">
        <v>45</v>
      </c>
      <c r="AD112" s="8" t="s">
        <v>46</v>
      </c>
      <c r="AE112" s="8">
        <v>2E-3</v>
      </c>
      <c r="AF112" s="8" t="s">
        <v>639</v>
      </c>
      <c r="AG112" s="8">
        <v>0.31</v>
      </c>
      <c r="AH112" s="8" t="s">
        <v>640</v>
      </c>
      <c r="AI112" s="8" t="s">
        <v>57</v>
      </c>
      <c r="AJ112" s="9">
        <v>8.8999999999999995E-5</v>
      </c>
      <c r="AK112" s="8" t="s">
        <v>49</v>
      </c>
      <c r="AL112" s="8" t="s">
        <v>50</v>
      </c>
      <c r="AM112" s="8" t="s">
        <v>51</v>
      </c>
      <c r="AN112" s="8">
        <v>2.78</v>
      </c>
      <c r="AO112" s="8">
        <v>1.1900000000000001E-3</v>
      </c>
      <c r="AP112" s="8">
        <v>2.0699999999999998E-3</v>
      </c>
      <c r="AQ112" s="8" t="s">
        <v>52</v>
      </c>
      <c r="AR112" s="8" t="s">
        <v>53</v>
      </c>
      <c r="AS112" s="8" t="s">
        <v>54</v>
      </c>
    </row>
    <row r="113" spans="1:45" x14ac:dyDescent="0.25">
      <c r="A113" s="8" t="s">
        <v>256</v>
      </c>
      <c r="B113" s="8" t="s">
        <v>257</v>
      </c>
      <c r="C113" s="8">
        <v>391</v>
      </c>
      <c r="D113" s="8">
        <v>298</v>
      </c>
      <c r="E113" s="9">
        <v>3.4200000000000002E-9</v>
      </c>
      <c r="F113" s="8">
        <v>0.02</v>
      </c>
      <c r="G113" s="9">
        <v>6.7000000000000002E-5</v>
      </c>
      <c r="H113" s="8">
        <v>1E-3</v>
      </c>
      <c r="I113" s="9">
        <v>1.0000000000000001E-5</v>
      </c>
      <c r="J113" s="8">
        <v>126000000</v>
      </c>
      <c r="K113" s="8">
        <v>91700000</v>
      </c>
      <c r="L113" s="8">
        <v>13000000</v>
      </c>
      <c r="M113" s="8">
        <v>6880000</v>
      </c>
      <c r="N113" s="8">
        <v>3670000</v>
      </c>
      <c r="O113" s="8">
        <v>9.0299999999999994</v>
      </c>
      <c r="P113" s="8">
        <v>0.85199999999999998</v>
      </c>
      <c r="Q113" s="8">
        <v>401000</v>
      </c>
      <c r="R113" s="8">
        <v>3.0800000000000001E-2</v>
      </c>
      <c r="S113" s="8">
        <v>8.0599999999999997E-4</v>
      </c>
      <c r="T113" s="8">
        <v>8.0599999999999997E-4</v>
      </c>
      <c r="U113" s="8">
        <v>353000</v>
      </c>
      <c r="V113" s="8">
        <v>353000</v>
      </c>
      <c r="W113" s="8">
        <v>1.64E-3</v>
      </c>
      <c r="X113" s="8">
        <v>7.77E-3</v>
      </c>
      <c r="Y113" s="8">
        <v>9.41E-3</v>
      </c>
      <c r="Z113" s="8">
        <v>17000</v>
      </c>
      <c r="AA113" s="8" t="s">
        <v>44</v>
      </c>
      <c r="AB113" s="8">
        <v>2.35</v>
      </c>
      <c r="AC113" s="8">
        <v>462</v>
      </c>
      <c r="AD113" s="8" t="s">
        <v>46</v>
      </c>
      <c r="AE113" s="8">
        <v>0.01</v>
      </c>
      <c r="AF113" s="8" t="s">
        <v>644</v>
      </c>
      <c r="AH113" s="8" t="s">
        <v>47</v>
      </c>
      <c r="AI113" s="8" t="s">
        <v>57</v>
      </c>
      <c r="AJ113" s="8" t="s">
        <v>48</v>
      </c>
      <c r="AK113" s="8" t="s">
        <v>49</v>
      </c>
      <c r="AL113" s="8" t="s">
        <v>50</v>
      </c>
      <c r="AM113" s="8" t="s">
        <v>152</v>
      </c>
      <c r="AN113" s="8">
        <v>8.0599999999999997E-4</v>
      </c>
      <c r="AO113" s="8">
        <v>3.2699999999999999E-3</v>
      </c>
      <c r="AP113" s="8">
        <v>5.7299999999999999E-3</v>
      </c>
      <c r="AQ113" s="8" t="s">
        <v>52</v>
      </c>
      <c r="AR113" s="8" t="s">
        <v>53</v>
      </c>
      <c r="AS113" s="8" t="s">
        <v>54</v>
      </c>
    </row>
    <row r="114" spans="1:45" x14ac:dyDescent="0.25">
      <c r="A114" s="8" t="s">
        <v>258</v>
      </c>
      <c r="B114" s="8" t="s">
        <v>259</v>
      </c>
      <c r="C114" s="8">
        <v>88.1</v>
      </c>
      <c r="D114" s="8">
        <v>285</v>
      </c>
      <c r="E114" s="8">
        <v>5.0099999999999999E-2</v>
      </c>
      <c r="F114" s="8">
        <v>1000000</v>
      </c>
      <c r="G114" s="9">
        <v>4.7999999999999998E-6</v>
      </c>
      <c r="H114" s="8">
        <v>0.22900000000000001</v>
      </c>
      <c r="I114" s="9">
        <v>1.0200000000000001E-5</v>
      </c>
      <c r="J114" s="8">
        <v>0.53700000000000003</v>
      </c>
      <c r="K114" s="8">
        <v>0.54</v>
      </c>
      <c r="L114" s="8">
        <v>0.01</v>
      </c>
      <c r="M114" s="8">
        <v>0.04</v>
      </c>
      <c r="N114" s="8">
        <v>0.02</v>
      </c>
      <c r="O114" s="8">
        <v>1.41</v>
      </c>
      <c r="P114" s="8">
        <v>1</v>
      </c>
      <c r="Q114" s="8">
        <v>6.45</v>
      </c>
      <c r="R114" s="8">
        <v>1190</v>
      </c>
      <c r="S114" s="8">
        <v>8.3800000000000008</v>
      </c>
      <c r="T114" s="8">
        <v>8.3800000000000008</v>
      </c>
      <c r="U114" s="8">
        <v>6.0099999999999997E-3</v>
      </c>
      <c r="V114" s="8">
        <v>6.0099999999999997E-3</v>
      </c>
      <c r="W114" s="9">
        <v>5.57E-6</v>
      </c>
      <c r="X114" s="9">
        <v>2.65E-5</v>
      </c>
      <c r="Y114" s="9">
        <v>3.1999999999999999E-5</v>
      </c>
      <c r="Z114" s="9">
        <v>4.2899999999999996E-6</v>
      </c>
      <c r="AA114" s="8" t="s">
        <v>44</v>
      </c>
      <c r="AB114" s="8">
        <v>3.16</v>
      </c>
      <c r="AC114" s="8" t="s">
        <v>45</v>
      </c>
      <c r="AD114" s="8" t="s">
        <v>46</v>
      </c>
      <c r="AE114" s="8">
        <v>0.03</v>
      </c>
      <c r="AF114" s="8" t="s">
        <v>639</v>
      </c>
      <c r="AG114" s="8">
        <v>0.1</v>
      </c>
      <c r="AH114" s="8" t="s">
        <v>639</v>
      </c>
      <c r="AI114" s="8">
        <v>0.03</v>
      </c>
      <c r="AJ114" s="9">
        <v>5.0000000000000004E-6</v>
      </c>
      <c r="AK114" s="8" t="s">
        <v>49</v>
      </c>
      <c r="AL114" s="8" t="s">
        <v>50</v>
      </c>
      <c r="AM114" s="8" t="s">
        <v>51</v>
      </c>
      <c r="AN114" s="8">
        <v>8.3800000000000008</v>
      </c>
      <c r="AO114" s="9">
        <v>1.11E-5</v>
      </c>
      <c r="AP114" s="9">
        <v>1.95E-5</v>
      </c>
      <c r="AQ114" s="8" t="s">
        <v>52</v>
      </c>
      <c r="AR114" s="8" t="s">
        <v>53</v>
      </c>
      <c r="AS114" s="8" t="s">
        <v>54</v>
      </c>
    </row>
    <row r="115" spans="1:45" x14ac:dyDescent="0.25">
      <c r="A115" s="10" t="s">
        <v>688</v>
      </c>
      <c r="B115" s="8" t="s">
        <v>261</v>
      </c>
      <c r="C115" s="8">
        <v>356</v>
      </c>
      <c r="D115" s="8">
        <v>514</v>
      </c>
      <c r="E115" s="9">
        <v>5.7899999999999996E-13</v>
      </c>
      <c r="F115" s="8">
        <v>1.18E-4</v>
      </c>
      <c r="G115" s="9">
        <v>2.6000000000000001E-6</v>
      </c>
      <c r="H115" s="8">
        <v>9.8900000000000002E-2</v>
      </c>
      <c r="I115" s="9">
        <v>7.9999999999999996E-6</v>
      </c>
      <c r="J115" s="8">
        <v>4370000</v>
      </c>
      <c r="K115" s="8">
        <v>2690000</v>
      </c>
      <c r="L115" s="8">
        <v>26900</v>
      </c>
      <c r="M115" s="8">
        <v>202000</v>
      </c>
      <c r="N115" s="8">
        <v>108000</v>
      </c>
      <c r="O115" s="8">
        <v>0.03</v>
      </c>
      <c r="P115" s="8">
        <v>0.11700000000000001</v>
      </c>
      <c r="Q115" s="8">
        <v>30100</v>
      </c>
      <c r="R115" s="8">
        <v>1.1200000000000001</v>
      </c>
      <c r="S115" s="8">
        <v>5.62E-3</v>
      </c>
      <c r="T115" s="8">
        <v>5.62E-3</v>
      </c>
      <c r="U115" s="8">
        <v>239000</v>
      </c>
      <c r="V115" s="8">
        <v>239000</v>
      </c>
      <c r="W115" s="8">
        <v>6.0499999999999998E-3</v>
      </c>
      <c r="X115" s="8">
        <v>2.8799999999999999E-2</v>
      </c>
      <c r="Y115" s="8">
        <v>3.4799999999999998E-2</v>
      </c>
      <c r="Z115" s="8">
        <v>4.7100000000000003E-2</v>
      </c>
      <c r="AA115" s="8">
        <v>2.5</v>
      </c>
      <c r="AB115" s="8">
        <v>25900</v>
      </c>
      <c r="AC115" s="8" t="s">
        <v>45</v>
      </c>
      <c r="AD115" s="8">
        <v>0.09</v>
      </c>
      <c r="AE115" s="9">
        <v>6.9999999999999996E-10</v>
      </c>
      <c r="AF115" s="9" t="s">
        <v>645</v>
      </c>
      <c r="AG115" s="8">
        <v>1400000</v>
      </c>
      <c r="AH115" s="8" t="s">
        <v>645</v>
      </c>
      <c r="AI115" s="9">
        <v>4.0000000000000001E-8</v>
      </c>
      <c r="AJ115" s="8">
        <v>400</v>
      </c>
      <c r="AK115" s="8" t="s">
        <v>49</v>
      </c>
      <c r="AL115" s="8" t="s">
        <v>50</v>
      </c>
      <c r="AM115" s="8" t="s">
        <v>262</v>
      </c>
      <c r="AN115" s="8">
        <v>4.5500000000000002E-3</v>
      </c>
      <c r="AO115" s="8">
        <v>1.0999999999999999E-2</v>
      </c>
      <c r="AP115" s="8">
        <v>1.9199999999999998E-2</v>
      </c>
      <c r="AQ115" s="8">
        <v>1</v>
      </c>
      <c r="AR115" s="8" t="s">
        <v>53</v>
      </c>
      <c r="AS115" s="8" t="s">
        <v>54</v>
      </c>
    </row>
    <row r="116" spans="1:45" x14ac:dyDescent="0.25">
      <c r="A116" s="8" t="s">
        <v>651</v>
      </c>
      <c r="B116" s="8" t="s">
        <v>250</v>
      </c>
      <c r="C116" s="8">
        <v>256</v>
      </c>
      <c r="D116" s="8">
        <v>423</v>
      </c>
      <c r="E116" s="9">
        <v>2.6300000000000002E-10</v>
      </c>
      <c r="F116" s="8">
        <v>6.0999999999999999E-2</v>
      </c>
      <c r="G116" s="9">
        <v>1.11E-6</v>
      </c>
      <c r="H116" s="8">
        <v>4.7100000000000003E-2</v>
      </c>
      <c r="I116" s="9">
        <v>5.4500000000000003E-6</v>
      </c>
      <c r="J116" s="8">
        <v>631000</v>
      </c>
      <c r="K116" s="8">
        <v>503000</v>
      </c>
      <c r="L116" s="8">
        <v>5030</v>
      </c>
      <c r="M116" s="8">
        <v>37700</v>
      </c>
      <c r="N116" s="8">
        <v>20100</v>
      </c>
      <c r="O116" s="8">
        <v>0.7</v>
      </c>
      <c r="P116" s="8">
        <v>0.307</v>
      </c>
      <c r="Q116" s="8">
        <v>6790</v>
      </c>
      <c r="R116" s="8">
        <v>1.35</v>
      </c>
      <c r="S116" s="8">
        <v>1.72E-2</v>
      </c>
      <c r="T116" s="8">
        <v>1.72E-2</v>
      </c>
      <c r="U116" s="8">
        <v>76000</v>
      </c>
      <c r="V116" s="8">
        <v>76000</v>
      </c>
      <c r="W116" s="8">
        <v>8.2699999999999996E-3</v>
      </c>
      <c r="X116" s="8">
        <v>3.9300000000000002E-2</v>
      </c>
      <c r="Y116" s="8">
        <v>4.7600000000000003E-2</v>
      </c>
      <c r="Z116" s="8" t="s">
        <v>44</v>
      </c>
      <c r="AA116" s="8" t="s">
        <v>44</v>
      </c>
      <c r="AB116" s="8">
        <v>5830</v>
      </c>
      <c r="AC116" s="8">
        <v>133000</v>
      </c>
      <c r="AD116" s="8" t="s">
        <v>46</v>
      </c>
      <c r="AE116" s="8" t="s">
        <v>56</v>
      </c>
      <c r="AG116" s="8">
        <v>255</v>
      </c>
      <c r="AH116" s="8" t="s">
        <v>645</v>
      </c>
      <c r="AI116" s="8" t="s">
        <v>57</v>
      </c>
      <c r="AK116" s="8" t="s">
        <v>49</v>
      </c>
      <c r="AL116" s="8" t="s">
        <v>50</v>
      </c>
      <c r="AM116" s="8" t="s">
        <v>72</v>
      </c>
      <c r="AN116" s="8">
        <v>1.72E-2</v>
      </c>
      <c r="AO116" s="8">
        <v>1.6500000000000001E-2</v>
      </c>
      <c r="AP116" s="8">
        <v>2.9000000000000001E-2</v>
      </c>
      <c r="AQ116" s="8" t="s">
        <v>52</v>
      </c>
      <c r="AR116" s="8" t="s">
        <v>53</v>
      </c>
      <c r="AS116" s="8" t="s">
        <v>54</v>
      </c>
    </row>
    <row r="117" spans="1:45" x14ac:dyDescent="0.25">
      <c r="A117" s="8" t="s">
        <v>263</v>
      </c>
      <c r="B117" s="8" t="s">
        <v>264</v>
      </c>
      <c r="C117" s="8">
        <v>92.5</v>
      </c>
      <c r="D117" s="8">
        <v>216</v>
      </c>
      <c r="E117" s="8">
        <v>2.1600000000000001E-2</v>
      </c>
      <c r="F117" s="8">
        <v>65900</v>
      </c>
      <c r="G117" s="9">
        <v>3.04E-5</v>
      </c>
      <c r="H117" s="8">
        <v>8.5999999999999993E-2</v>
      </c>
      <c r="I117" s="9">
        <v>9.7999999999999993E-6</v>
      </c>
      <c r="J117" s="8">
        <v>0.61699999999999999</v>
      </c>
      <c r="K117" s="8">
        <v>0.62</v>
      </c>
      <c r="L117" s="8">
        <v>6.0000000000000001E-3</v>
      </c>
      <c r="M117" s="8">
        <v>0.05</v>
      </c>
      <c r="N117" s="8">
        <v>0.02</v>
      </c>
      <c r="O117" s="8">
        <v>9.0299999999999994</v>
      </c>
      <c r="P117" s="8">
        <v>1</v>
      </c>
      <c r="Q117" s="8">
        <v>6.47</v>
      </c>
      <c r="R117" s="8">
        <v>1040</v>
      </c>
      <c r="S117" s="8">
        <v>8.3800000000000008</v>
      </c>
      <c r="T117" s="8">
        <v>8.3800000000000008</v>
      </c>
      <c r="U117" s="8">
        <v>1.1000000000000001E-3</v>
      </c>
      <c r="V117" s="8">
        <v>1.1000000000000001E-3</v>
      </c>
      <c r="W117" s="9">
        <v>6.4999999999999996E-6</v>
      </c>
      <c r="X117" s="9">
        <v>3.0899999999999999E-5</v>
      </c>
      <c r="Y117" s="9">
        <v>3.7400000000000001E-5</v>
      </c>
      <c r="Z117" s="9">
        <v>1.4100000000000001E-5</v>
      </c>
      <c r="AA117" s="8" t="s">
        <v>44</v>
      </c>
      <c r="AB117" s="8">
        <v>3.16</v>
      </c>
      <c r="AC117" s="8" t="s">
        <v>45</v>
      </c>
      <c r="AD117" s="8" t="s">
        <v>46</v>
      </c>
      <c r="AE117" s="8">
        <v>6.0000000000000001E-3</v>
      </c>
      <c r="AF117" s="8" t="s">
        <v>644</v>
      </c>
      <c r="AG117" s="8">
        <v>9.9000000000000008E-3</v>
      </c>
      <c r="AH117" s="8" t="s">
        <v>639</v>
      </c>
      <c r="AI117" s="8">
        <v>1E-3</v>
      </c>
      <c r="AJ117" s="9">
        <v>1.1999999999999999E-6</v>
      </c>
      <c r="AK117" s="8" t="s">
        <v>49</v>
      </c>
      <c r="AL117" s="8" t="s">
        <v>50</v>
      </c>
      <c r="AM117" s="8" t="s">
        <v>51</v>
      </c>
      <c r="AN117" s="8">
        <v>8.3800000000000008</v>
      </c>
      <c r="AO117" s="9">
        <v>1.2999999999999999E-5</v>
      </c>
      <c r="AP117" s="9">
        <v>2.2799999999999999E-5</v>
      </c>
      <c r="AQ117" s="8" t="s">
        <v>52</v>
      </c>
      <c r="AR117" s="8" t="s">
        <v>53</v>
      </c>
      <c r="AS117" s="8" t="s">
        <v>54</v>
      </c>
    </row>
    <row r="118" spans="1:45" x14ac:dyDescent="0.25">
      <c r="A118" s="8" t="s">
        <v>555</v>
      </c>
      <c r="B118" s="8" t="s">
        <v>55</v>
      </c>
      <c r="C118" s="8">
        <v>72.099999999999994</v>
      </c>
      <c r="D118" s="8">
        <v>123</v>
      </c>
      <c r="E118" s="8">
        <v>0.23699999999999999</v>
      </c>
      <c r="F118" s="8">
        <v>95000</v>
      </c>
      <c r="G118" s="8" t="s">
        <v>56</v>
      </c>
      <c r="H118" s="8">
        <v>9.2899999999999996E-2</v>
      </c>
      <c r="I118" s="9">
        <v>1.04E-5</v>
      </c>
      <c r="J118" s="8">
        <v>7.24</v>
      </c>
      <c r="K118" s="8">
        <v>9.91</v>
      </c>
      <c r="L118" s="8">
        <v>9.9099999999999994E-2</v>
      </c>
      <c r="M118" s="8">
        <v>0.74299999999999999</v>
      </c>
      <c r="N118" s="8">
        <v>0.39600000000000002</v>
      </c>
      <c r="O118" s="8" t="s">
        <v>57</v>
      </c>
      <c r="P118" s="8">
        <v>1</v>
      </c>
      <c r="Q118" s="8">
        <v>7.38</v>
      </c>
      <c r="R118" s="8">
        <v>74.400000000000006</v>
      </c>
      <c r="S118" s="8">
        <v>12.3</v>
      </c>
      <c r="T118" s="8">
        <v>12.3</v>
      </c>
      <c r="U118" s="8" t="s">
        <v>57</v>
      </c>
      <c r="V118" s="8" t="s">
        <v>57</v>
      </c>
      <c r="W118" s="9">
        <v>7.75E-5</v>
      </c>
      <c r="X118" s="8">
        <v>3.68E-4</v>
      </c>
      <c r="Y118" s="8">
        <v>4.4499999999999997E-4</v>
      </c>
      <c r="Z118" s="8" t="s">
        <v>44</v>
      </c>
      <c r="AA118" s="8" t="s">
        <v>44</v>
      </c>
      <c r="AB118" s="8">
        <v>3.16</v>
      </c>
      <c r="AC118" s="8" t="s">
        <v>45</v>
      </c>
      <c r="AD118" s="8" t="s">
        <v>46</v>
      </c>
      <c r="AE118" s="8" t="s">
        <v>56</v>
      </c>
      <c r="AG118" s="8" t="s">
        <v>47</v>
      </c>
      <c r="AI118" s="8">
        <v>0.02</v>
      </c>
      <c r="AJ118" s="8" t="s">
        <v>48</v>
      </c>
      <c r="AK118" s="8" t="s">
        <v>49</v>
      </c>
      <c r="AL118" s="8" t="s">
        <v>50</v>
      </c>
      <c r="AM118" s="8" t="s">
        <v>51</v>
      </c>
      <c r="AN118" s="8">
        <v>12.3</v>
      </c>
      <c r="AO118" s="8">
        <v>1.55E-4</v>
      </c>
      <c r="AP118" s="8">
        <v>2.7099999999999997E-4</v>
      </c>
      <c r="AQ118" s="8" t="s">
        <v>52</v>
      </c>
      <c r="AR118" s="8" t="s">
        <v>53</v>
      </c>
      <c r="AS118" s="8" t="s">
        <v>54</v>
      </c>
    </row>
    <row r="119" spans="1:45" x14ac:dyDescent="0.25">
      <c r="A119" s="8" t="s">
        <v>578</v>
      </c>
      <c r="B119" s="8" t="s">
        <v>265</v>
      </c>
      <c r="C119" s="8">
        <v>100</v>
      </c>
      <c r="D119" s="8">
        <v>202</v>
      </c>
      <c r="E119" s="8">
        <v>5.0799999999999998E-2</v>
      </c>
      <c r="F119" s="8">
        <v>15000</v>
      </c>
      <c r="G119" s="8">
        <v>3.39E-4</v>
      </c>
      <c r="H119" s="8">
        <v>8.8099999999999998E-2</v>
      </c>
      <c r="I119" s="9">
        <v>1.0200000000000001E-5</v>
      </c>
      <c r="J119" s="8">
        <v>20.9</v>
      </c>
      <c r="K119" s="8">
        <v>19.899999999999999</v>
      </c>
      <c r="L119" s="8">
        <v>0.19900000000000001</v>
      </c>
      <c r="M119" s="8">
        <v>1.49</v>
      </c>
      <c r="N119" s="8">
        <v>0.79400000000000004</v>
      </c>
      <c r="O119" s="8">
        <v>36.1</v>
      </c>
      <c r="P119" s="8">
        <v>1</v>
      </c>
      <c r="Q119" s="8">
        <v>8.7200000000000006</v>
      </c>
      <c r="R119" s="8">
        <v>43.9</v>
      </c>
      <c r="S119" s="8">
        <v>6.68</v>
      </c>
      <c r="T119" s="8">
        <v>6.68</v>
      </c>
      <c r="U119" s="8">
        <v>4.1999999999999997E-3</v>
      </c>
      <c r="V119" s="8">
        <v>4.1999999999999997E-3</v>
      </c>
      <c r="W119" s="8">
        <v>1.9100000000000001E-4</v>
      </c>
      <c r="X119" s="8">
        <v>9.0899999999999998E-4</v>
      </c>
      <c r="Y119" s="8">
        <v>1.1000000000000001E-3</v>
      </c>
      <c r="Z119" s="8" t="s">
        <v>44</v>
      </c>
      <c r="AA119" s="8" t="s">
        <v>44</v>
      </c>
      <c r="AB119" s="8">
        <v>2.0699999999999998</v>
      </c>
      <c r="AC119" s="8" t="s">
        <v>45</v>
      </c>
      <c r="AD119" s="8" t="s">
        <v>46</v>
      </c>
      <c r="AE119" s="8">
        <v>1.37E-2</v>
      </c>
      <c r="AF119" s="8" t="s">
        <v>639</v>
      </c>
      <c r="AH119" s="8" t="s">
        <v>646</v>
      </c>
      <c r="AI119" s="8" t="s">
        <v>57</v>
      </c>
      <c r="AJ119" s="8" t="s">
        <v>48</v>
      </c>
      <c r="AK119" s="8" t="s">
        <v>49</v>
      </c>
      <c r="AL119" s="8" t="s">
        <v>50</v>
      </c>
      <c r="AM119" s="8" t="s">
        <v>51</v>
      </c>
      <c r="AN119" s="8">
        <v>6.68</v>
      </c>
      <c r="AO119" s="8">
        <v>3.8299999999999999E-4</v>
      </c>
      <c r="AP119" s="8">
        <v>6.7000000000000002E-4</v>
      </c>
      <c r="AQ119" s="8" t="s">
        <v>52</v>
      </c>
      <c r="AR119" s="8" t="s">
        <v>53</v>
      </c>
      <c r="AS119" s="8" t="s">
        <v>54</v>
      </c>
    </row>
    <row r="120" spans="1:45" x14ac:dyDescent="0.25">
      <c r="A120" s="8" t="s">
        <v>266</v>
      </c>
      <c r="B120" s="8" t="s">
        <v>267</v>
      </c>
      <c r="C120" s="8">
        <v>106</v>
      </c>
      <c r="D120" s="8">
        <v>178</v>
      </c>
      <c r="E120" s="8">
        <v>1.26E-2</v>
      </c>
      <c r="F120" s="8">
        <v>170</v>
      </c>
      <c r="G120" s="8">
        <v>7.9000000000000008E-3</v>
      </c>
      <c r="H120" s="8">
        <v>7.4999999999999997E-2</v>
      </c>
      <c r="I120" s="9">
        <v>7.7999999999999999E-6</v>
      </c>
      <c r="J120" s="8">
        <v>1260</v>
      </c>
      <c r="K120" s="8">
        <v>204</v>
      </c>
      <c r="L120" s="8">
        <v>0.73</v>
      </c>
      <c r="M120" s="8">
        <v>15.3</v>
      </c>
      <c r="N120" s="8">
        <v>8.16</v>
      </c>
      <c r="O120" s="8">
        <v>25.3</v>
      </c>
      <c r="P120" s="8">
        <v>1</v>
      </c>
      <c r="Q120" s="8">
        <v>56.6</v>
      </c>
      <c r="R120" s="8">
        <v>77.599999999999994</v>
      </c>
      <c r="S120" s="8">
        <v>0.625</v>
      </c>
      <c r="T120" s="8">
        <v>0.625</v>
      </c>
      <c r="U120" s="8">
        <v>1.4200000000000001E-2</v>
      </c>
      <c r="V120" s="8">
        <v>1.4200000000000001E-2</v>
      </c>
      <c r="W120" s="8">
        <v>2.5600000000000002E-3</v>
      </c>
      <c r="X120" s="8">
        <v>1.21E-2</v>
      </c>
      <c r="Y120" s="8">
        <v>1.47E-2</v>
      </c>
      <c r="Z120" s="8">
        <v>1.0500000000000001E-2</v>
      </c>
      <c r="AA120" s="8" t="s">
        <v>44</v>
      </c>
      <c r="AB120" s="8">
        <v>48.6</v>
      </c>
      <c r="AC120" s="8" t="s">
        <v>45</v>
      </c>
      <c r="AD120" s="8" t="s">
        <v>46</v>
      </c>
      <c r="AE120" s="8">
        <v>0.1</v>
      </c>
      <c r="AF120" s="8" t="s">
        <v>639</v>
      </c>
      <c r="AG120" s="9">
        <v>1.0999999999999999E-2</v>
      </c>
      <c r="AH120" s="8" t="s">
        <v>640</v>
      </c>
      <c r="AI120" s="8">
        <v>1</v>
      </c>
      <c r="AJ120" s="9">
        <v>2.5000000000000002E-6</v>
      </c>
      <c r="AK120" s="8" t="s">
        <v>49</v>
      </c>
      <c r="AL120" s="8" t="s">
        <v>50</v>
      </c>
      <c r="AM120" s="8" t="s">
        <v>51</v>
      </c>
      <c r="AN120" s="8">
        <v>0.625</v>
      </c>
      <c r="AO120" s="8">
        <v>5.11E-3</v>
      </c>
      <c r="AP120" s="8">
        <v>8.9499999999999996E-3</v>
      </c>
      <c r="AQ120" s="8" t="s">
        <v>52</v>
      </c>
      <c r="AR120" s="8" t="s">
        <v>53</v>
      </c>
      <c r="AS120" s="8" t="s">
        <v>54</v>
      </c>
    </row>
    <row r="121" spans="1:45" x14ac:dyDescent="0.25">
      <c r="A121" s="8" t="s">
        <v>268</v>
      </c>
      <c r="B121" s="8" t="s">
        <v>269</v>
      </c>
      <c r="C121" s="8">
        <v>188</v>
      </c>
      <c r="D121" s="8">
        <v>283</v>
      </c>
      <c r="E121" s="8">
        <v>1.7100000000000001E-2</v>
      </c>
      <c r="F121" s="8">
        <v>4000</v>
      </c>
      <c r="G121" s="8">
        <v>7.3999999999999999E-4</v>
      </c>
      <c r="H121" s="8">
        <v>1E-3</v>
      </c>
      <c r="I121" s="9">
        <v>1.0000000000000001E-5</v>
      </c>
      <c r="J121" s="8">
        <v>100</v>
      </c>
      <c r="K121" s="8">
        <v>92.5</v>
      </c>
      <c r="L121" s="8">
        <v>8.5000000000000006E-2</v>
      </c>
      <c r="M121" s="8">
        <v>6.94</v>
      </c>
      <c r="N121" s="8">
        <v>3.7</v>
      </c>
      <c r="O121" s="8">
        <v>1.41</v>
      </c>
      <c r="P121" s="8">
        <v>1</v>
      </c>
      <c r="Q121" s="8">
        <v>8.0500000000000007</v>
      </c>
      <c r="R121" s="8">
        <v>94.8</v>
      </c>
      <c r="S121" s="8">
        <v>2.7</v>
      </c>
      <c r="T121" s="8">
        <v>2.7</v>
      </c>
      <c r="U121" s="8">
        <v>1.0200000000000001E-2</v>
      </c>
      <c r="V121" s="8">
        <v>1.0200000000000001E-2</v>
      </c>
      <c r="W121" s="8">
        <v>6.11E-4</v>
      </c>
      <c r="X121" s="8">
        <v>2.8999999999999998E-3</v>
      </c>
      <c r="Y121" s="8">
        <v>3.5100000000000001E-3</v>
      </c>
      <c r="Z121" s="8">
        <v>4.4700000000000002E-4</v>
      </c>
      <c r="AA121" s="8" t="s">
        <v>44</v>
      </c>
      <c r="AB121" s="8">
        <v>6.92</v>
      </c>
      <c r="AC121" s="8" t="s">
        <v>45</v>
      </c>
      <c r="AD121" s="8" t="s">
        <v>46</v>
      </c>
      <c r="AE121" s="8">
        <v>8.9999999999999993E-3</v>
      </c>
      <c r="AF121" s="8" t="s">
        <v>639</v>
      </c>
      <c r="AG121" s="8">
        <v>2</v>
      </c>
      <c r="AH121" s="8" t="s">
        <v>639</v>
      </c>
      <c r="AI121" s="8">
        <v>8.9999999999999993E-3</v>
      </c>
      <c r="AJ121" s="8">
        <v>2.2000000000000001E-4</v>
      </c>
      <c r="AK121" s="8" t="s">
        <v>49</v>
      </c>
      <c r="AL121" s="8" t="s">
        <v>50</v>
      </c>
      <c r="AM121" s="8" t="s">
        <v>51</v>
      </c>
      <c r="AN121" s="8">
        <v>2.7</v>
      </c>
      <c r="AO121" s="8">
        <v>1.2199999999999999E-3</v>
      </c>
      <c r="AP121" s="8">
        <v>2.14E-3</v>
      </c>
      <c r="AQ121" s="8" t="s">
        <v>52</v>
      </c>
      <c r="AR121" s="8" t="s">
        <v>53</v>
      </c>
      <c r="AS121" s="8" t="s">
        <v>54</v>
      </c>
    </row>
    <row r="122" spans="1:45" x14ac:dyDescent="0.25">
      <c r="A122" s="8" t="s">
        <v>579</v>
      </c>
      <c r="B122" s="8" t="s">
        <v>270</v>
      </c>
      <c r="C122" s="8">
        <v>62.1</v>
      </c>
      <c r="D122" s="8">
        <v>260</v>
      </c>
      <c r="E122" s="8">
        <v>1.21E-4</v>
      </c>
      <c r="F122" s="8">
        <v>1000000</v>
      </c>
      <c r="G122" s="9">
        <v>7.5100000000000007E-9</v>
      </c>
      <c r="H122" s="8">
        <v>0.121</v>
      </c>
      <c r="I122" s="9">
        <v>1.4E-5</v>
      </c>
      <c r="J122" s="8">
        <v>4.3700000000000003E-2</v>
      </c>
      <c r="K122" s="8">
        <v>4.6100000000000002E-2</v>
      </c>
      <c r="L122" s="8">
        <v>4.6099999999999998E-4</v>
      </c>
      <c r="M122" s="8">
        <v>3.46E-3</v>
      </c>
      <c r="N122" s="8">
        <v>1.8400000000000001E-3</v>
      </c>
      <c r="O122" s="8">
        <v>14.9</v>
      </c>
      <c r="P122" s="8">
        <v>1</v>
      </c>
      <c r="Q122" s="8">
        <v>6.39</v>
      </c>
      <c r="R122" s="8">
        <v>13900</v>
      </c>
      <c r="S122" s="8">
        <v>237</v>
      </c>
      <c r="T122" s="8">
        <v>237</v>
      </c>
      <c r="U122" s="8">
        <v>0.26500000000000001</v>
      </c>
      <c r="V122" s="8">
        <v>0.26500000000000001</v>
      </c>
      <c r="W122" s="9">
        <v>1.9099999999999999E-6</v>
      </c>
      <c r="X122" s="9">
        <v>9.0699999999999996E-6</v>
      </c>
      <c r="Y122" s="9">
        <v>1.1E-5</v>
      </c>
      <c r="Z122" s="8" t="s">
        <v>44</v>
      </c>
      <c r="AA122" s="8" t="s">
        <v>44</v>
      </c>
      <c r="AB122" s="8">
        <v>3.16</v>
      </c>
      <c r="AC122" s="8" t="s">
        <v>45</v>
      </c>
      <c r="AD122" s="8" t="s">
        <v>46</v>
      </c>
      <c r="AE122" s="8">
        <v>2</v>
      </c>
      <c r="AF122" s="8" t="s">
        <v>639</v>
      </c>
      <c r="AG122" s="8" t="s">
        <v>47</v>
      </c>
      <c r="AI122" s="8">
        <v>0.4</v>
      </c>
      <c r="AJ122" s="8" t="s">
        <v>48</v>
      </c>
      <c r="AK122" s="8" t="s">
        <v>49</v>
      </c>
      <c r="AL122" s="8" t="s">
        <v>50</v>
      </c>
      <c r="AM122" s="8" t="s">
        <v>51</v>
      </c>
      <c r="AN122" s="8">
        <v>237</v>
      </c>
      <c r="AO122" s="9">
        <v>3.8199999999999998E-6</v>
      </c>
      <c r="AP122" s="9">
        <v>6.6800000000000004E-6</v>
      </c>
      <c r="AQ122" s="8" t="s">
        <v>52</v>
      </c>
      <c r="AR122" s="8" t="s">
        <v>53</v>
      </c>
      <c r="AS122" s="8" t="s">
        <v>54</v>
      </c>
    </row>
    <row r="123" spans="1:45" x14ac:dyDescent="0.25">
      <c r="A123" s="10" t="s">
        <v>635</v>
      </c>
      <c r="B123" s="10" t="s">
        <v>68</v>
      </c>
      <c r="C123" s="8">
        <v>160.21</v>
      </c>
      <c r="D123" s="8">
        <v>258.77</v>
      </c>
      <c r="E123" s="9">
        <v>7.0299999999999996E-4</v>
      </c>
      <c r="F123" s="8">
        <v>3103</v>
      </c>
      <c r="G123" s="9">
        <v>6.3799999999999999E-6</v>
      </c>
      <c r="H123" s="8" t="s">
        <v>44</v>
      </c>
      <c r="I123" s="8" t="s">
        <v>44</v>
      </c>
      <c r="J123" s="8">
        <v>37.200000000000003</v>
      </c>
      <c r="K123" s="8">
        <v>15.08</v>
      </c>
      <c r="L123" s="8" t="s">
        <v>57</v>
      </c>
      <c r="M123" s="8">
        <f>(0.075*K123)</f>
        <v>1.131</v>
      </c>
      <c r="N123" s="8">
        <f>(0.04*K123)</f>
        <v>0.60320000000000007</v>
      </c>
      <c r="O123" s="8" t="s">
        <v>57</v>
      </c>
      <c r="P123" s="9">
        <v>1</v>
      </c>
      <c r="Q123" s="8" t="s">
        <v>57</v>
      </c>
      <c r="R123" s="8" t="s">
        <v>57</v>
      </c>
      <c r="S123" s="8" t="s">
        <v>56</v>
      </c>
      <c r="T123" s="8" t="s">
        <v>56</v>
      </c>
      <c r="U123" s="8" t="s">
        <v>57</v>
      </c>
      <c r="V123" s="8" t="s">
        <v>57</v>
      </c>
      <c r="W123" s="8" t="s">
        <v>62</v>
      </c>
      <c r="X123" s="8" t="s">
        <v>62</v>
      </c>
      <c r="Y123" s="8" t="s">
        <v>62</v>
      </c>
      <c r="Z123" s="8" t="s">
        <v>44</v>
      </c>
      <c r="AA123" s="8" t="s">
        <v>44</v>
      </c>
      <c r="AB123" s="8">
        <v>2.573</v>
      </c>
      <c r="AC123" s="8">
        <v>2.573</v>
      </c>
      <c r="AD123" s="8" t="s">
        <v>46</v>
      </c>
      <c r="AE123" s="8" t="s">
        <v>56</v>
      </c>
      <c r="AG123" s="8" t="s">
        <v>47</v>
      </c>
      <c r="AI123" s="8" t="s">
        <v>57</v>
      </c>
      <c r="AJ123" s="8" t="s">
        <v>48</v>
      </c>
      <c r="AK123" s="8" t="s">
        <v>49</v>
      </c>
      <c r="AL123" s="8" t="s">
        <v>50</v>
      </c>
      <c r="AM123" s="8" t="s">
        <v>51</v>
      </c>
      <c r="AN123" s="8" t="s">
        <v>44</v>
      </c>
      <c r="AO123" s="8" t="s">
        <v>44</v>
      </c>
      <c r="AP123" s="8" t="s">
        <v>44</v>
      </c>
      <c r="AQ123" s="8" t="s">
        <v>52</v>
      </c>
      <c r="AR123" s="8" t="s">
        <v>53</v>
      </c>
      <c r="AS123" s="8" t="s">
        <v>54</v>
      </c>
    </row>
    <row r="124" spans="1:45" x14ac:dyDescent="0.25">
      <c r="A124" s="10" t="s">
        <v>580</v>
      </c>
      <c r="B124" s="8" t="s">
        <v>168</v>
      </c>
      <c r="C124" s="8">
        <v>132.15799999999999</v>
      </c>
      <c r="D124" s="8">
        <v>211.45</v>
      </c>
      <c r="E124" s="8">
        <v>3.0794400000000001E-3</v>
      </c>
      <c r="F124" s="8">
        <v>247000</v>
      </c>
      <c r="G124" s="9">
        <v>1.6500000000000001E-6</v>
      </c>
      <c r="H124" s="9">
        <v>7.3200000000000001E-2</v>
      </c>
      <c r="I124" s="9">
        <v>8.4800000000000001E-6</v>
      </c>
      <c r="J124" s="8">
        <v>3.89045145</v>
      </c>
      <c r="K124" s="8">
        <v>3.8040831389999998</v>
      </c>
      <c r="L124" s="8">
        <v>3.8040830999999997E-2</v>
      </c>
      <c r="M124" s="8">
        <v>0.28530623500000002</v>
      </c>
      <c r="N124" s="8">
        <v>0.15216332599999999</v>
      </c>
      <c r="O124" s="8">
        <v>8.4314999999999998</v>
      </c>
      <c r="P124" s="8">
        <v>1</v>
      </c>
      <c r="Q124" s="8">
        <v>6.9689285480000001</v>
      </c>
      <c r="R124" s="8">
        <v>183.1960105</v>
      </c>
      <c r="S124" s="8">
        <v>17.659564929999998</v>
      </c>
      <c r="T124" s="8">
        <v>17.659564929999998</v>
      </c>
      <c r="U124" s="8">
        <v>0.14417411299999999</v>
      </c>
      <c r="V124" s="8">
        <v>0.14417411299999999</v>
      </c>
      <c r="W124" s="9">
        <v>4.35E-5</v>
      </c>
      <c r="X124" s="9">
        <v>2.0699999999999999E-4</v>
      </c>
      <c r="Y124" s="9">
        <v>2.5000000000000001E-4</v>
      </c>
      <c r="Z124" s="8" t="s">
        <v>44</v>
      </c>
      <c r="AA124" s="8" t="s">
        <v>44</v>
      </c>
      <c r="AB124" s="8">
        <v>3.16227766</v>
      </c>
      <c r="AC124" s="8" t="s">
        <v>45</v>
      </c>
      <c r="AD124" s="8" t="s">
        <v>46</v>
      </c>
      <c r="AE124" s="8">
        <v>0.1</v>
      </c>
      <c r="AF124" s="8" t="s">
        <v>644</v>
      </c>
      <c r="AG124" s="8" t="s">
        <v>47</v>
      </c>
      <c r="AI124" s="8">
        <v>0.3</v>
      </c>
      <c r="AJ124" s="8" t="s">
        <v>48</v>
      </c>
      <c r="AK124" s="8" t="s">
        <v>49</v>
      </c>
      <c r="AL124" s="8" t="s">
        <v>50</v>
      </c>
      <c r="AM124" s="8" t="s">
        <v>51</v>
      </c>
      <c r="AN124" s="8">
        <v>17.659564929999998</v>
      </c>
      <c r="AO124" s="9">
        <v>8.7100000000000003E-5</v>
      </c>
      <c r="AP124" s="9">
        <v>1.5200000000000001E-4</v>
      </c>
      <c r="AQ124" s="8" t="s">
        <v>52</v>
      </c>
      <c r="AR124" s="8" t="s">
        <v>53</v>
      </c>
      <c r="AS124" s="8" t="s">
        <v>54</v>
      </c>
    </row>
    <row r="125" spans="1:45" x14ac:dyDescent="0.25">
      <c r="A125" s="10" t="s">
        <v>581</v>
      </c>
      <c r="B125" s="10" t="s">
        <v>503</v>
      </c>
      <c r="C125" s="8">
        <v>43.07</v>
      </c>
      <c r="D125" s="8">
        <v>214.33</v>
      </c>
      <c r="E125" s="8">
        <v>0.30299999999999999</v>
      </c>
      <c r="F125" s="9">
        <v>1000000</v>
      </c>
      <c r="G125" s="9">
        <v>7.3300000000000001E-6</v>
      </c>
      <c r="H125" s="9">
        <v>0.13300000000000001</v>
      </c>
      <c r="I125" s="9">
        <v>1.42E-5</v>
      </c>
      <c r="J125" s="8">
        <v>0.52500000000000002</v>
      </c>
      <c r="K125" s="9">
        <v>9.0429999999999993</v>
      </c>
      <c r="M125" s="8">
        <f>(0.075*K125)</f>
        <v>0.67822499999999997</v>
      </c>
      <c r="N125" s="8">
        <f>(0.04*K125)</f>
        <v>0.36171999999999999</v>
      </c>
      <c r="P125" s="9">
        <v>1</v>
      </c>
      <c r="U125" s="9">
        <v>56</v>
      </c>
      <c r="V125" s="9">
        <v>56</v>
      </c>
      <c r="W125" s="9">
        <v>4.1499999999999999E-9</v>
      </c>
      <c r="X125" s="9">
        <v>1.31E-8</v>
      </c>
      <c r="Y125" s="9"/>
      <c r="AB125" s="8">
        <v>0.93430000000000002</v>
      </c>
      <c r="AC125" s="8">
        <v>0.93430000000000002</v>
      </c>
      <c r="AG125" s="8">
        <v>65</v>
      </c>
      <c r="AH125" s="8" t="s">
        <v>640</v>
      </c>
      <c r="AJ125" s="9">
        <v>1.9E-2</v>
      </c>
      <c r="AL125" s="8" t="s">
        <v>50</v>
      </c>
      <c r="AO125" s="9"/>
      <c r="AP125" s="9"/>
    </row>
    <row r="126" spans="1:45" x14ac:dyDescent="0.25">
      <c r="A126" s="8" t="s">
        <v>689</v>
      </c>
      <c r="B126" s="8" t="s">
        <v>271</v>
      </c>
      <c r="C126" s="8">
        <v>44.1</v>
      </c>
      <c r="D126" s="8">
        <v>162</v>
      </c>
      <c r="E126" s="8">
        <v>1.73</v>
      </c>
      <c r="F126" s="8">
        <v>1000000</v>
      </c>
      <c r="G126" s="8">
        <v>1.4799999999999999E-4</v>
      </c>
      <c r="H126" s="8">
        <v>0.104</v>
      </c>
      <c r="I126" s="9">
        <v>1.45E-5</v>
      </c>
      <c r="J126" s="8">
        <v>0.501</v>
      </c>
      <c r="K126" s="8">
        <v>0.51</v>
      </c>
      <c r="L126" s="8">
        <v>5.0000000000000001E-3</v>
      </c>
      <c r="M126" s="8">
        <v>0.04</v>
      </c>
      <c r="N126" s="8">
        <v>0.02</v>
      </c>
      <c r="O126" s="8">
        <v>21.3</v>
      </c>
      <c r="P126" s="8">
        <v>1</v>
      </c>
      <c r="Q126" s="8">
        <v>6.44</v>
      </c>
      <c r="R126" s="8">
        <v>1270</v>
      </c>
      <c r="S126" s="8">
        <v>8.3800000000000008</v>
      </c>
      <c r="T126" s="8">
        <v>8.3800000000000008</v>
      </c>
      <c r="U126" s="8">
        <v>1.8100000000000001E-4</v>
      </c>
      <c r="V126" s="8">
        <v>1.8100000000000001E-4</v>
      </c>
      <c r="W126" s="9">
        <v>5.1499999999999998E-6</v>
      </c>
      <c r="X126" s="9">
        <v>2.4499999999999999E-5</v>
      </c>
      <c r="Y126" s="9">
        <v>2.9600000000000001E-5</v>
      </c>
      <c r="Z126" s="9">
        <v>3.98E-6</v>
      </c>
      <c r="AA126" s="8" t="s">
        <v>44</v>
      </c>
      <c r="AB126" s="8">
        <v>3.16</v>
      </c>
      <c r="AC126" s="8" t="s">
        <v>45</v>
      </c>
      <c r="AD126" s="8" t="s">
        <v>46</v>
      </c>
      <c r="AF126" s="8" t="s">
        <v>652</v>
      </c>
      <c r="AG126" s="8">
        <v>1.02</v>
      </c>
      <c r="AH126" s="8" t="s">
        <v>640</v>
      </c>
      <c r="AI126" s="8">
        <v>0.03</v>
      </c>
      <c r="AJ126" s="9">
        <v>8.7999999999999998E-5</v>
      </c>
      <c r="AK126" s="8" t="s">
        <v>49</v>
      </c>
      <c r="AL126" s="8" t="s">
        <v>50</v>
      </c>
      <c r="AM126" s="8" t="s">
        <v>51</v>
      </c>
      <c r="AN126" s="8">
        <v>8.3800000000000008</v>
      </c>
      <c r="AO126" s="9">
        <v>1.03E-5</v>
      </c>
      <c r="AP126" s="9">
        <v>1.8E-5</v>
      </c>
      <c r="AQ126" s="8" t="s">
        <v>52</v>
      </c>
      <c r="AR126" s="8" t="s">
        <v>53</v>
      </c>
      <c r="AS126" s="8" t="s">
        <v>54</v>
      </c>
    </row>
    <row r="127" spans="1:45" x14ac:dyDescent="0.25">
      <c r="A127" s="8" t="s">
        <v>720</v>
      </c>
      <c r="B127" s="8" t="s">
        <v>272</v>
      </c>
      <c r="C127" s="8">
        <v>391</v>
      </c>
      <c r="D127" s="8">
        <v>218</v>
      </c>
      <c r="E127" s="9">
        <v>8.9500000000000001E-11</v>
      </c>
      <c r="F127" s="8">
        <v>0.34</v>
      </c>
      <c r="G127" s="9">
        <v>9.9999999999999995E-8</v>
      </c>
      <c r="H127" s="8">
        <v>3.5099999999999999E-2</v>
      </c>
      <c r="I127" s="9">
        <v>3.6600000000000001E-6</v>
      </c>
      <c r="J127" s="8">
        <v>126000</v>
      </c>
      <c r="K127" s="8">
        <v>111000</v>
      </c>
      <c r="L127" s="8">
        <v>2300000</v>
      </c>
      <c r="M127" s="8">
        <v>8330</v>
      </c>
      <c r="N127" s="8">
        <v>4440</v>
      </c>
      <c r="O127" s="8">
        <v>11</v>
      </c>
      <c r="P127" s="8">
        <v>0.13100000000000001</v>
      </c>
      <c r="Q127" s="8">
        <v>1960</v>
      </c>
      <c r="R127" s="8">
        <v>8.5400000000000005E-4</v>
      </c>
      <c r="S127" s="8">
        <v>4.3700000000000003E-2</v>
      </c>
      <c r="T127" s="8">
        <v>4.3700000000000003E-2</v>
      </c>
      <c r="U127" s="8">
        <v>151000</v>
      </c>
      <c r="V127" s="8">
        <v>151000</v>
      </c>
      <c r="W127" s="8">
        <v>8.3999999999999995E-3</v>
      </c>
      <c r="X127" s="8">
        <v>3.9899999999999998E-2</v>
      </c>
      <c r="Y127" s="8">
        <v>4.8300000000000003E-2</v>
      </c>
      <c r="Z127" s="8">
        <v>1.27</v>
      </c>
      <c r="AA127" s="8" t="s">
        <v>44</v>
      </c>
      <c r="AB127" s="8">
        <v>53.3</v>
      </c>
      <c r="AC127" s="8">
        <v>194</v>
      </c>
      <c r="AD127" s="8" t="s">
        <v>46</v>
      </c>
      <c r="AE127" s="8">
        <v>0.02</v>
      </c>
      <c r="AF127" s="8" t="s">
        <v>639</v>
      </c>
      <c r="AG127" s="8">
        <v>1.4E-2</v>
      </c>
      <c r="AH127" s="8" t="s">
        <v>639</v>
      </c>
      <c r="AI127" s="8" t="s">
        <v>57</v>
      </c>
      <c r="AJ127" s="9">
        <v>2.3999999999999999E-6</v>
      </c>
      <c r="AK127" s="8" t="s">
        <v>49</v>
      </c>
      <c r="AL127" s="8" t="s">
        <v>50</v>
      </c>
      <c r="AM127" s="8" t="s">
        <v>152</v>
      </c>
      <c r="AN127" s="8">
        <v>4.3700000000000003E-2</v>
      </c>
      <c r="AO127" s="8">
        <v>1.6799999999999999E-2</v>
      </c>
      <c r="AP127" s="8">
        <v>2.9399999999999999E-2</v>
      </c>
      <c r="AQ127" s="8" t="s">
        <v>52</v>
      </c>
      <c r="AR127" s="8" t="s">
        <v>53</v>
      </c>
      <c r="AS127" s="8" t="s">
        <v>54</v>
      </c>
    </row>
    <row r="128" spans="1:45" x14ac:dyDescent="0.25">
      <c r="A128" s="8" t="s">
        <v>275</v>
      </c>
      <c r="B128" s="8" t="s">
        <v>276</v>
      </c>
      <c r="C128" s="8">
        <v>202</v>
      </c>
      <c r="D128" s="8">
        <v>383</v>
      </c>
      <c r="E128" s="9">
        <v>1.03E-8</v>
      </c>
      <c r="F128" s="8">
        <v>0.21</v>
      </c>
      <c r="G128" s="9">
        <v>1.5999999999999999E-5</v>
      </c>
      <c r="H128" s="8">
        <v>1E-3</v>
      </c>
      <c r="I128" s="9">
        <v>1.0000000000000001E-5</v>
      </c>
      <c r="J128" s="8">
        <v>100000</v>
      </c>
      <c r="K128" s="8">
        <v>49100</v>
      </c>
      <c r="L128" s="8">
        <v>11000</v>
      </c>
      <c r="M128" s="8">
        <v>3680</v>
      </c>
      <c r="N128" s="8">
        <v>1960</v>
      </c>
      <c r="O128" s="8">
        <v>0.56999999999999995</v>
      </c>
      <c r="P128" s="8">
        <v>0.99199999999999999</v>
      </c>
      <c r="Q128" s="8">
        <v>1640</v>
      </c>
      <c r="R128" s="8">
        <v>0.15</v>
      </c>
      <c r="S128" s="8">
        <v>4.99E-2</v>
      </c>
      <c r="T128" s="8">
        <v>4.99E-2</v>
      </c>
      <c r="U128" s="8">
        <v>738</v>
      </c>
      <c r="V128" s="8">
        <v>738</v>
      </c>
      <c r="W128" s="8">
        <v>8.26E-3</v>
      </c>
      <c r="X128" s="8">
        <v>3.9199999999999999E-2</v>
      </c>
      <c r="Y128" s="8">
        <v>4.7500000000000001E-2</v>
      </c>
      <c r="Z128" s="8">
        <v>0.96499999999999997</v>
      </c>
      <c r="AA128" s="8" t="s">
        <v>44</v>
      </c>
      <c r="AB128" s="8">
        <v>1410</v>
      </c>
      <c r="AC128" s="8">
        <v>4490</v>
      </c>
      <c r="AD128" s="8" t="s">
        <v>46</v>
      </c>
      <c r="AE128" s="8">
        <v>0.04</v>
      </c>
      <c r="AF128" s="8" t="s">
        <v>639</v>
      </c>
      <c r="AG128" s="8" t="s">
        <v>47</v>
      </c>
      <c r="AI128" s="8" t="s">
        <v>57</v>
      </c>
      <c r="AJ128" s="9">
        <v>1.3999999999999999E-4</v>
      </c>
      <c r="AK128" s="8" t="s">
        <v>49</v>
      </c>
      <c r="AL128" s="8" t="s">
        <v>50</v>
      </c>
      <c r="AM128" s="8" t="s">
        <v>72</v>
      </c>
      <c r="AN128" s="8">
        <v>4.99E-2</v>
      </c>
      <c r="AO128" s="8">
        <v>1.6500000000000001E-2</v>
      </c>
      <c r="AP128" s="8">
        <v>2.8899999999999999E-2</v>
      </c>
      <c r="AQ128" s="8" t="s">
        <v>52</v>
      </c>
      <c r="AR128" s="8" t="s">
        <v>53</v>
      </c>
      <c r="AS128" s="8" t="s">
        <v>54</v>
      </c>
    </row>
    <row r="129" spans="1:45" x14ac:dyDescent="0.25">
      <c r="A129" s="8" t="s">
        <v>277</v>
      </c>
      <c r="B129" s="8" t="s">
        <v>278</v>
      </c>
      <c r="C129" s="8">
        <v>166</v>
      </c>
      <c r="D129" s="8">
        <v>383</v>
      </c>
      <c r="E129" s="9">
        <v>8.2900000000000002E-7</v>
      </c>
      <c r="F129" s="8">
        <v>2</v>
      </c>
      <c r="G129" s="9">
        <v>6.3999999999999997E-5</v>
      </c>
      <c r="H129" s="8">
        <v>1E-3</v>
      </c>
      <c r="I129" s="9">
        <v>1.0000000000000001E-5</v>
      </c>
      <c r="J129" s="8">
        <v>15800</v>
      </c>
      <c r="K129" s="8">
        <v>7710</v>
      </c>
      <c r="L129" s="8">
        <v>2100</v>
      </c>
      <c r="M129" s="8">
        <v>578</v>
      </c>
      <c r="N129" s="8">
        <v>308</v>
      </c>
      <c r="O129" s="8">
        <v>4.22</v>
      </c>
      <c r="P129" s="8">
        <v>1</v>
      </c>
      <c r="Q129" s="8">
        <v>398</v>
      </c>
      <c r="R129" s="8">
        <v>0.19</v>
      </c>
      <c r="S129" s="8">
        <v>0.14499999999999999</v>
      </c>
      <c r="T129" s="8">
        <v>0.14499999999999999</v>
      </c>
      <c r="U129" s="8">
        <v>26</v>
      </c>
      <c r="V129" s="8">
        <v>26</v>
      </c>
      <c r="W129" s="8">
        <v>6.1599999999999997E-3</v>
      </c>
      <c r="X129" s="8">
        <v>2.93E-2</v>
      </c>
      <c r="Y129" s="8">
        <v>3.5400000000000001E-2</v>
      </c>
      <c r="Z129" s="8">
        <v>0.11700000000000001</v>
      </c>
      <c r="AA129" s="8" t="s">
        <v>44</v>
      </c>
      <c r="AB129" s="8">
        <v>342</v>
      </c>
      <c r="AC129" s="8">
        <v>472</v>
      </c>
      <c r="AD129" s="8" t="s">
        <v>46</v>
      </c>
      <c r="AE129" s="8">
        <v>0.04</v>
      </c>
      <c r="AF129" s="8" t="s">
        <v>639</v>
      </c>
      <c r="AG129" s="8" t="s">
        <v>47</v>
      </c>
      <c r="AI129" s="8" t="s">
        <v>57</v>
      </c>
      <c r="AJ129" s="8" t="s">
        <v>48</v>
      </c>
      <c r="AK129" s="8" t="s">
        <v>49</v>
      </c>
      <c r="AL129" s="8" t="s">
        <v>50</v>
      </c>
      <c r="AM129" s="8" t="s">
        <v>72</v>
      </c>
      <c r="AN129" s="8">
        <v>0.14499999999999999</v>
      </c>
      <c r="AO129" s="8">
        <v>1.23E-2</v>
      </c>
      <c r="AP129" s="8">
        <v>2.1600000000000001E-2</v>
      </c>
      <c r="AQ129" s="8" t="s">
        <v>52</v>
      </c>
      <c r="AR129" s="8" t="s">
        <v>53</v>
      </c>
      <c r="AS129" s="8" t="s">
        <v>54</v>
      </c>
    </row>
    <row r="130" spans="1:45" x14ac:dyDescent="0.25">
      <c r="A130" s="8" t="s">
        <v>279</v>
      </c>
      <c r="B130" s="8" t="s">
        <v>280</v>
      </c>
      <c r="C130" s="8">
        <v>30</v>
      </c>
      <c r="D130" s="8">
        <v>181</v>
      </c>
      <c r="E130" s="8">
        <v>6.89</v>
      </c>
      <c r="F130" s="8">
        <v>550000</v>
      </c>
      <c r="G130" s="8">
        <v>3.3599999999999999E-7</v>
      </c>
      <c r="H130" s="8">
        <v>0.17799999999999999</v>
      </c>
      <c r="I130" s="8">
        <v>1.98E-5</v>
      </c>
      <c r="J130" s="8">
        <v>2.2400000000000002</v>
      </c>
      <c r="K130" s="8">
        <v>2.21</v>
      </c>
      <c r="L130" s="8">
        <v>0.02</v>
      </c>
      <c r="M130" s="8">
        <v>0.17</v>
      </c>
      <c r="N130" s="8">
        <v>0.09</v>
      </c>
      <c r="O130" s="8">
        <v>36.1</v>
      </c>
      <c r="P130" s="8">
        <v>1</v>
      </c>
      <c r="Q130" s="8">
        <v>6.74</v>
      </c>
      <c r="R130" s="8">
        <v>305</v>
      </c>
      <c r="S130" s="8">
        <v>8.3800000000000008</v>
      </c>
      <c r="T130" s="8">
        <v>8.3800000000000008</v>
      </c>
      <c r="U130" s="8">
        <v>0.39200000000000002</v>
      </c>
      <c r="V130" s="8">
        <v>0.39200000000000002</v>
      </c>
      <c r="W130" s="8">
        <v>2.5400000000000001E-5</v>
      </c>
      <c r="X130" s="8">
        <v>1.21E-4</v>
      </c>
      <c r="Y130" s="8">
        <v>1.46E-4</v>
      </c>
      <c r="Z130" s="8">
        <v>1.7499999999999998E-5</v>
      </c>
      <c r="AA130" s="8" t="s">
        <v>44</v>
      </c>
      <c r="AB130" s="8">
        <v>3.16</v>
      </c>
      <c r="AC130" s="8" t="s">
        <v>45</v>
      </c>
      <c r="AD130" s="8" t="s">
        <v>46</v>
      </c>
      <c r="AE130" s="8">
        <v>0.2</v>
      </c>
      <c r="AF130" s="8" t="s">
        <v>639</v>
      </c>
      <c r="AG130" s="8" t="s">
        <v>47</v>
      </c>
      <c r="AI130" s="8">
        <v>8.9999999999999993E-3</v>
      </c>
      <c r="AJ130" s="8">
        <v>5.0000000000000004E-6</v>
      </c>
      <c r="AK130" s="8" t="s">
        <v>49</v>
      </c>
      <c r="AL130" s="8" t="s">
        <v>50</v>
      </c>
      <c r="AM130" s="8" t="s">
        <v>51</v>
      </c>
      <c r="AN130" s="8">
        <v>8.3800000000000008</v>
      </c>
      <c r="AO130" s="8">
        <v>5.0800000000000002E-5</v>
      </c>
      <c r="AP130" s="8">
        <v>8.8800000000000004E-5</v>
      </c>
      <c r="AQ130" s="8" t="s">
        <v>52</v>
      </c>
      <c r="AR130" s="8" t="s">
        <v>53</v>
      </c>
      <c r="AS130" s="8" t="s">
        <v>54</v>
      </c>
    </row>
    <row r="131" spans="1:45" x14ac:dyDescent="0.25">
      <c r="A131" s="8" t="s">
        <v>690</v>
      </c>
      <c r="B131" s="8" t="s">
        <v>281</v>
      </c>
      <c r="C131" s="8">
        <v>76.099999999999994</v>
      </c>
      <c r="D131" s="8">
        <v>188</v>
      </c>
      <c r="E131" s="8">
        <v>1.2500000000000001E-2</v>
      </c>
      <c r="F131" s="8">
        <v>1000000</v>
      </c>
      <c r="G131" s="9">
        <v>9.5099999999999998E-7</v>
      </c>
      <c r="H131" s="8">
        <v>0.106</v>
      </c>
      <c r="I131" s="9">
        <v>1.2300000000000001E-5</v>
      </c>
      <c r="J131" s="8">
        <v>0.17</v>
      </c>
      <c r="K131" s="8">
        <v>0.17499999999999999</v>
      </c>
      <c r="L131" s="8">
        <v>1.75E-3</v>
      </c>
      <c r="M131" s="8">
        <v>1.3100000000000001E-2</v>
      </c>
      <c r="N131" s="8">
        <v>7.0099999999999997E-3</v>
      </c>
      <c r="O131" s="8">
        <v>8.43</v>
      </c>
      <c r="P131" s="8">
        <v>1</v>
      </c>
      <c r="Q131" s="8">
        <v>6.39</v>
      </c>
      <c r="R131" s="8">
        <v>3650</v>
      </c>
      <c r="S131" s="8">
        <v>108</v>
      </c>
      <c r="T131" s="8">
        <v>108</v>
      </c>
      <c r="U131" s="8">
        <v>8.8900000000000003E-3</v>
      </c>
      <c r="V131" s="8">
        <v>8.8900000000000003E-3</v>
      </c>
      <c r="W131" s="9">
        <v>1.9099999999999999E-6</v>
      </c>
      <c r="X131" s="9">
        <v>9.0699999999999996E-6</v>
      </c>
      <c r="Y131" s="9">
        <v>1.1E-5</v>
      </c>
      <c r="Z131" s="8" t="s">
        <v>44</v>
      </c>
      <c r="AA131" s="8" t="s">
        <v>44</v>
      </c>
      <c r="AB131" s="8">
        <v>3.16</v>
      </c>
      <c r="AC131" s="8" t="s">
        <v>45</v>
      </c>
      <c r="AD131" s="8" t="s">
        <v>46</v>
      </c>
      <c r="AE131" s="8" t="s">
        <v>56</v>
      </c>
      <c r="AG131" s="8" t="s">
        <v>47</v>
      </c>
      <c r="AI131" s="8">
        <v>0.02</v>
      </c>
      <c r="AJ131" s="8" t="s">
        <v>48</v>
      </c>
      <c r="AK131" s="8" t="s">
        <v>49</v>
      </c>
      <c r="AL131" s="8" t="s">
        <v>50</v>
      </c>
      <c r="AM131" s="8" t="s">
        <v>51</v>
      </c>
      <c r="AN131" s="8">
        <v>108</v>
      </c>
      <c r="AO131" s="9">
        <v>3.8199999999999998E-6</v>
      </c>
      <c r="AP131" s="9">
        <v>6.6800000000000004E-6</v>
      </c>
      <c r="AQ131" s="8" t="s">
        <v>52</v>
      </c>
      <c r="AR131" s="8" t="s">
        <v>53</v>
      </c>
      <c r="AS131" s="8" t="s">
        <v>54</v>
      </c>
    </row>
    <row r="132" spans="1:45" x14ac:dyDescent="0.25">
      <c r="A132" s="10" t="s">
        <v>282</v>
      </c>
      <c r="B132" s="8" t="s">
        <v>283</v>
      </c>
      <c r="C132" s="8">
        <v>425</v>
      </c>
      <c r="D132" s="8">
        <v>538</v>
      </c>
      <c r="E132" s="9">
        <v>7.3699999999999995E-15</v>
      </c>
      <c r="F132" s="9">
        <v>2.3999999999999999E-6</v>
      </c>
      <c r="G132" s="9">
        <v>1.2E-5</v>
      </c>
      <c r="H132" s="8">
        <v>9.0499999999999997E-2</v>
      </c>
      <c r="I132" s="9">
        <v>7.9999999999999996E-6</v>
      </c>
      <c r="J132" s="8">
        <v>100000000</v>
      </c>
      <c r="K132" s="8">
        <v>61700000</v>
      </c>
      <c r="L132" s="8">
        <v>617000</v>
      </c>
      <c r="M132" s="8">
        <v>4620000</v>
      </c>
      <c r="N132" s="8">
        <v>2470000</v>
      </c>
      <c r="O132" s="8">
        <v>0.03</v>
      </c>
      <c r="P132" s="8">
        <v>3.0000000000000001E-3</v>
      </c>
      <c r="Q132" s="8">
        <v>336000</v>
      </c>
      <c r="R132" s="8">
        <v>0.54500000000000004</v>
      </c>
      <c r="S132" s="8">
        <v>9.2000000000000003E-4</v>
      </c>
      <c r="T132" s="8">
        <v>9.2000000000000003E-4</v>
      </c>
      <c r="U132" s="8">
        <v>910000</v>
      </c>
      <c r="V132" s="8">
        <v>910000</v>
      </c>
      <c r="W132" s="8">
        <v>1.8500000000000001E-3</v>
      </c>
      <c r="X132" s="8">
        <v>8.77E-3</v>
      </c>
      <c r="Y132" s="8">
        <v>1.06E-2</v>
      </c>
      <c r="Z132" s="8">
        <v>2.5499999999999998E-2</v>
      </c>
      <c r="AA132" s="8">
        <v>0.39</v>
      </c>
      <c r="AB132" s="8">
        <v>2750</v>
      </c>
      <c r="AC132" s="8" t="s">
        <v>45</v>
      </c>
      <c r="AD132" s="8">
        <v>5.0000000000000001E-3</v>
      </c>
      <c r="AE132" s="9">
        <v>7.0000000000000005E-8</v>
      </c>
      <c r="AF132" s="9" t="s">
        <v>645</v>
      </c>
      <c r="AG132" s="8">
        <v>14000</v>
      </c>
      <c r="AH132" s="8" t="s">
        <v>645</v>
      </c>
      <c r="AI132" s="9">
        <v>3.9999999999999998E-6</v>
      </c>
      <c r="AJ132" s="8">
        <v>4</v>
      </c>
      <c r="AK132" s="8" t="s">
        <v>49</v>
      </c>
      <c r="AL132" s="8" t="s">
        <v>50</v>
      </c>
      <c r="AM132" s="8" t="s">
        <v>262</v>
      </c>
      <c r="AN132" s="8">
        <v>9.2000000000000003E-4</v>
      </c>
      <c r="AO132" s="8">
        <v>3.6900000000000001E-3</v>
      </c>
      <c r="AP132" s="8">
        <v>6.4599999999999996E-3</v>
      </c>
      <c r="AQ132" s="8">
        <v>0.01</v>
      </c>
      <c r="AR132" s="8" t="s">
        <v>53</v>
      </c>
      <c r="AS132" s="8" t="s">
        <v>54</v>
      </c>
    </row>
    <row r="133" spans="1:45" x14ac:dyDescent="0.25">
      <c r="A133" s="10" t="s">
        <v>284</v>
      </c>
      <c r="B133" s="8" t="s">
        <v>285</v>
      </c>
      <c r="C133" s="8">
        <v>409</v>
      </c>
      <c r="D133" s="8">
        <v>510</v>
      </c>
      <c r="E133" s="9">
        <v>4.61E-14</v>
      </c>
      <c r="F133" s="9">
        <v>1.35E-6</v>
      </c>
      <c r="G133" s="9">
        <v>1.4100000000000001E-5</v>
      </c>
      <c r="H133" s="8">
        <v>2.0299999999999999E-2</v>
      </c>
      <c r="I133" s="9">
        <v>7.9999999999999996E-6</v>
      </c>
      <c r="J133" s="8">
        <v>25100000</v>
      </c>
      <c r="K133" s="8">
        <v>15500000</v>
      </c>
      <c r="L133" s="8">
        <v>155000</v>
      </c>
      <c r="M133" s="8">
        <v>1160000</v>
      </c>
      <c r="N133" s="8">
        <v>620000</v>
      </c>
      <c r="O133" s="8">
        <v>0.03</v>
      </c>
      <c r="P133" s="8">
        <v>0.01</v>
      </c>
      <c r="Q133" s="8">
        <v>116000</v>
      </c>
      <c r="R133" s="8">
        <v>0.748</v>
      </c>
      <c r="S133" s="8">
        <v>2.0500000000000002E-3</v>
      </c>
      <c r="T133" s="8">
        <v>2.0500000000000002E-3</v>
      </c>
      <c r="U133" s="8">
        <v>830000</v>
      </c>
      <c r="V133" s="8">
        <v>830000</v>
      </c>
      <c r="W133" s="8">
        <v>3.46E-3</v>
      </c>
      <c r="X133" s="8">
        <v>1.6400000000000001E-2</v>
      </c>
      <c r="Y133" s="8">
        <v>1.9900000000000001E-2</v>
      </c>
      <c r="Z133" s="8">
        <v>2.0899999999999998E-2</v>
      </c>
      <c r="AA133" s="8">
        <v>0.32</v>
      </c>
      <c r="AB133" s="8">
        <v>18300</v>
      </c>
      <c r="AC133" s="8" t="s">
        <v>45</v>
      </c>
      <c r="AD133" s="8">
        <v>5.0000000000000001E-3</v>
      </c>
      <c r="AE133" s="9">
        <v>7.0000000000000005E-8</v>
      </c>
      <c r="AF133" s="9" t="s">
        <v>645</v>
      </c>
      <c r="AG133" s="8">
        <v>14000</v>
      </c>
      <c r="AH133" s="8" t="s">
        <v>645</v>
      </c>
      <c r="AI133" s="9">
        <v>3.9999999999999998E-6</v>
      </c>
      <c r="AJ133" s="8">
        <v>4</v>
      </c>
      <c r="AK133" s="8" t="s">
        <v>49</v>
      </c>
      <c r="AL133" s="8" t="s">
        <v>50</v>
      </c>
      <c r="AM133" s="8" t="s">
        <v>219</v>
      </c>
      <c r="AN133" s="8">
        <v>2.0500000000000002E-3</v>
      </c>
      <c r="AO133" s="8">
        <v>6.9199999999999999E-3</v>
      </c>
      <c r="AP133" s="8">
        <v>1.21E-2</v>
      </c>
      <c r="AQ133" s="8">
        <v>0.01</v>
      </c>
      <c r="AR133" s="8" t="s">
        <v>53</v>
      </c>
      <c r="AS133" s="8" t="s">
        <v>54</v>
      </c>
    </row>
    <row r="134" spans="1:45" x14ac:dyDescent="0.25">
      <c r="A134" s="10" t="s">
        <v>286</v>
      </c>
      <c r="B134" s="8" t="s">
        <v>287</v>
      </c>
      <c r="C134" s="8">
        <v>409</v>
      </c>
      <c r="D134" s="8">
        <v>495</v>
      </c>
      <c r="E134" s="9">
        <v>4.04E-13</v>
      </c>
      <c r="F134" s="9">
        <v>1.3999999999999999E-6</v>
      </c>
      <c r="G134" s="9">
        <v>1.4E-5</v>
      </c>
      <c r="H134" s="8">
        <v>2.0299999999999999E-2</v>
      </c>
      <c r="I134" s="9">
        <v>7.9999999999999996E-6</v>
      </c>
      <c r="J134" s="8">
        <v>25100000</v>
      </c>
      <c r="K134" s="8">
        <v>15500000</v>
      </c>
      <c r="L134" s="8">
        <v>155000</v>
      </c>
      <c r="M134" s="8">
        <v>1160000</v>
      </c>
      <c r="N134" s="8">
        <v>620000</v>
      </c>
      <c r="O134" s="8">
        <v>0.03</v>
      </c>
      <c r="P134" s="8">
        <v>5.7000000000000002E-2</v>
      </c>
      <c r="Q134" s="8">
        <v>116000</v>
      </c>
      <c r="R134" s="8">
        <v>0.748</v>
      </c>
      <c r="S134" s="8">
        <v>2.0500000000000002E-3</v>
      </c>
      <c r="T134" s="8">
        <v>2.0500000000000002E-3</v>
      </c>
      <c r="U134" s="8">
        <v>830000</v>
      </c>
      <c r="V134" s="8">
        <v>830000</v>
      </c>
      <c r="W134" s="8">
        <v>3.46E-3</v>
      </c>
      <c r="X134" s="8">
        <v>1.6400000000000001E-2</v>
      </c>
      <c r="Y134" s="8">
        <v>1.9900000000000001E-2</v>
      </c>
      <c r="Z134" s="8">
        <v>2.4199999999999999E-2</v>
      </c>
      <c r="AA134" s="8">
        <v>0.48</v>
      </c>
      <c r="AB134" s="8">
        <v>18300</v>
      </c>
      <c r="AC134" s="8" t="s">
        <v>45</v>
      </c>
      <c r="AD134" s="8">
        <v>5.0000000000000001E-3</v>
      </c>
      <c r="AE134" s="9">
        <v>7.0000000000000005E-8</v>
      </c>
      <c r="AF134" s="9" t="s">
        <v>645</v>
      </c>
      <c r="AG134" s="8">
        <v>14000</v>
      </c>
      <c r="AH134" s="8" t="s">
        <v>645</v>
      </c>
      <c r="AI134" s="9">
        <v>3.9999999999999998E-6</v>
      </c>
      <c r="AJ134" s="8">
        <v>4</v>
      </c>
      <c r="AK134" s="8" t="s">
        <v>49</v>
      </c>
      <c r="AL134" s="8" t="s">
        <v>50</v>
      </c>
      <c r="AM134" s="8" t="s">
        <v>219</v>
      </c>
      <c r="AN134" s="8">
        <v>2.0500000000000002E-3</v>
      </c>
      <c r="AO134" s="8">
        <v>6.9199999999999999E-3</v>
      </c>
      <c r="AP134" s="8">
        <v>1.21E-2</v>
      </c>
      <c r="AQ134" s="8">
        <v>0.01</v>
      </c>
      <c r="AR134" s="8" t="s">
        <v>53</v>
      </c>
      <c r="AS134" s="8" t="s">
        <v>54</v>
      </c>
    </row>
    <row r="135" spans="1:45" x14ac:dyDescent="0.25">
      <c r="A135" s="8" t="s">
        <v>691</v>
      </c>
      <c r="B135" s="8" t="s">
        <v>288</v>
      </c>
      <c r="C135" s="8">
        <v>326</v>
      </c>
      <c r="D135" s="8">
        <v>283</v>
      </c>
      <c r="E135" s="9">
        <v>1.01E-7</v>
      </c>
      <c r="F135" s="8">
        <v>4.2999999999999997E-2</v>
      </c>
      <c r="G135" s="8">
        <v>2.8299999999999999E-4</v>
      </c>
      <c r="H135" s="8">
        <v>1E-3</v>
      </c>
      <c r="I135" s="9">
        <v>1.0000000000000001E-5</v>
      </c>
      <c r="J135" s="8">
        <v>3160000</v>
      </c>
      <c r="K135" s="8">
        <v>2450000</v>
      </c>
      <c r="L135" s="8">
        <v>24500</v>
      </c>
      <c r="M135" s="8">
        <v>184000</v>
      </c>
      <c r="N135" s="8">
        <v>98100</v>
      </c>
      <c r="O135" s="8">
        <v>0.03</v>
      </c>
      <c r="P135" s="8">
        <v>0.99199999999999999</v>
      </c>
      <c r="Q135" s="8">
        <v>23500</v>
      </c>
      <c r="R135" s="8">
        <v>0.95799999999999996</v>
      </c>
      <c r="S135" s="8">
        <v>6.7799999999999996E-3</v>
      </c>
      <c r="T135" s="8">
        <v>6.7799999999999996E-3</v>
      </c>
      <c r="U135" s="8">
        <v>1650</v>
      </c>
      <c r="V135" s="8">
        <v>1650</v>
      </c>
      <c r="W135" s="8">
        <v>6.5199999999999998E-3</v>
      </c>
      <c r="X135" s="8">
        <v>3.1E-2</v>
      </c>
      <c r="Y135" s="8">
        <v>3.7499999999999999E-2</v>
      </c>
      <c r="Z135" s="8">
        <v>12.8</v>
      </c>
      <c r="AA135" s="8" t="s">
        <v>44</v>
      </c>
      <c r="AB135" s="8">
        <v>84100</v>
      </c>
      <c r="AC135" s="8" t="s">
        <v>45</v>
      </c>
      <c r="AD135" s="8">
        <v>2</v>
      </c>
      <c r="AE135" s="9">
        <v>4.5000000000000003E-5</v>
      </c>
      <c r="AF135" s="9" t="s">
        <v>668</v>
      </c>
      <c r="AG135" s="8">
        <v>42</v>
      </c>
      <c r="AH135" s="9" t="s">
        <v>658</v>
      </c>
      <c r="AI135" s="8">
        <v>1.2999999999999999E-3</v>
      </c>
      <c r="AJ135" s="8">
        <v>8.5714290000000002E-3</v>
      </c>
      <c r="AK135" s="8" t="s">
        <v>49</v>
      </c>
      <c r="AL135" s="8" t="s">
        <v>50</v>
      </c>
      <c r="AM135" s="8" t="s">
        <v>65</v>
      </c>
      <c r="AN135" s="8">
        <v>0.01</v>
      </c>
      <c r="AO135" s="8">
        <v>1.2999999999999999E-2</v>
      </c>
      <c r="AP135" s="8">
        <v>3.2000000000000001E-2</v>
      </c>
      <c r="AQ135" s="8" t="s">
        <v>52</v>
      </c>
      <c r="AR135" s="8" t="s">
        <v>53</v>
      </c>
      <c r="AS135" s="8" t="s">
        <v>54</v>
      </c>
    </row>
    <row r="136" spans="1:45" x14ac:dyDescent="0.25">
      <c r="A136" s="10" t="s">
        <v>289</v>
      </c>
      <c r="B136" s="8" t="s">
        <v>290</v>
      </c>
      <c r="C136" s="8">
        <v>391</v>
      </c>
      <c r="D136" s="8">
        <v>547</v>
      </c>
      <c r="E136" s="9">
        <v>5.0000000000000002E-14</v>
      </c>
      <c r="F136" s="9">
        <v>4.42E-6</v>
      </c>
      <c r="G136" s="9">
        <v>1.0699999999999999E-5</v>
      </c>
      <c r="H136" s="8">
        <v>9.4399999999999998E-2</v>
      </c>
      <c r="I136" s="9">
        <v>7.9999999999999996E-6</v>
      </c>
      <c r="J136" s="8">
        <v>63100000</v>
      </c>
      <c r="K136" s="8">
        <v>38900000</v>
      </c>
      <c r="L136" s="8">
        <v>389000</v>
      </c>
      <c r="M136" s="8">
        <v>2920000</v>
      </c>
      <c r="N136" s="8">
        <v>1560000</v>
      </c>
      <c r="O136" s="8">
        <v>0.03</v>
      </c>
      <c r="P136" s="8">
        <v>2.4E-2</v>
      </c>
      <c r="Q136" s="8">
        <v>236000</v>
      </c>
      <c r="R136" s="8">
        <v>0.60499999999999998</v>
      </c>
      <c r="S136" s="8">
        <v>1.1999999999999999E-3</v>
      </c>
      <c r="T136" s="8">
        <v>1.1999999999999999E-3</v>
      </c>
      <c r="U136" s="8">
        <v>520000</v>
      </c>
      <c r="V136" s="8">
        <v>520000</v>
      </c>
      <c r="W136" s="8">
        <v>2.32E-3</v>
      </c>
      <c r="X136" s="8">
        <v>1.0999999999999999E-2</v>
      </c>
      <c r="Y136" s="8">
        <v>1.3299999999999999E-2</v>
      </c>
      <c r="Z136" s="8">
        <v>4.53E-2</v>
      </c>
      <c r="AA136" s="8">
        <v>1.83</v>
      </c>
      <c r="AB136" s="8">
        <v>5180</v>
      </c>
      <c r="AC136" s="8" t="s">
        <v>45</v>
      </c>
      <c r="AD136" s="8">
        <v>0.04</v>
      </c>
      <c r="AE136" s="9">
        <v>6.9999999999999998E-9</v>
      </c>
      <c r="AF136" s="9" t="s">
        <v>645</v>
      </c>
      <c r="AG136" s="8">
        <v>140000</v>
      </c>
      <c r="AH136" s="8" t="s">
        <v>645</v>
      </c>
      <c r="AI136" s="9">
        <v>3.9999999999999998E-7</v>
      </c>
      <c r="AJ136" s="8">
        <v>40</v>
      </c>
      <c r="AK136" s="8" t="s">
        <v>49</v>
      </c>
      <c r="AL136" s="8" t="s">
        <v>50</v>
      </c>
      <c r="AM136" s="8" t="s">
        <v>262</v>
      </c>
      <c r="AN136" s="8">
        <v>1.1999999999999999E-3</v>
      </c>
      <c r="AO136" s="8">
        <v>4.6299999999999996E-3</v>
      </c>
      <c r="AP136" s="8">
        <v>8.1099999999999992E-3</v>
      </c>
      <c r="AQ136" s="8">
        <v>0.1</v>
      </c>
      <c r="AR136" s="8" t="s">
        <v>53</v>
      </c>
      <c r="AS136" s="8" t="s">
        <v>54</v>
      </c>
    </row>
    <row r="137" spans="1:45" x14ac:dyDescent="0.25">
      <c r="A137" s="10" t="s">
        <v>291</v>
      </c>
      <c r="B137" s="8" t="s">
        <v>292</v>
      </c>
      <c r="C137" s="8">
        <v>391</v>
      </c>
      <c r="D137" s="8">
        <v>559</v>
      </c>
      <c r="E137" s="9">
        <v>4.7299999999999998E-14</v>
      </c>
      <c r="F137" s="9">
        <v>4.4000000000000002E-6</v>
      </c>
      <c r="G137" s="9">
        <v>1.1E-5</v>
      </c>
      <c r="H137" s="8">
        <v>9.4399999999999998E-2</v>
      </c>
      <c r="I137" s="9">
        <v>7.9999999999999996E-6</v>
      </c>
      <c r="J137" s="8">
        <v>20000000</v>
      </c>
      <c r="K137" s="8">
        <v>12300000</v>
      </c>
      <c r="L137" s="8">
        <v>123000</v>
      </c>
      <c r="M137" s="8">
        <v>923000</v>
      </c>
      <c r="N137" s="8">
        <v>492000</v>
      </c>
      <c r="O137" s="8">
        <v>0.03</v>
      </c>
      <c r="P137" s="8">
        <v>2.9000000000000001E-2</v>
      </c>
      <c r="Q137" s="8">
        <v>97100</v>
      </c>
      <c r="R137" s="8">
        <v>0.78900000000000003</v>
      </c>
      <c r="S137" s="8">
        <v>2.3400000000000001E-3</v>
      </c>
      <c r="T137" s="8">
        <v>2.33E-3</v>
      </c>
      <c r="U137" s="8">
        <v>520000</v>
      </c>
      <c r="V137" s="8">
        <v>520000</v>
      </c>
      <c r="W137" s="8">
        <v>3.7799999999999999E-3</v>
      </c>
      <c r="X137" s="8">
        <v>1.7999999999999999E-2</v>
      </c>
      <c r="Y137" s="8">
        <v>2.1700000000000001E-2</v>
      </c>
      <c r="Z137" s="8">
        <v>3.6999999999999998E-2</v>
      </c>
      <c r="AA137" s="8">
        <v>1.17</v>
      </c>
      <c r="AB137" s="8">
        <v>25100</v>
      </c>
      <c r="AC137" s="8" t="s">
        <v>45</v>
      </c>
      <c r="AD137" s="8">
        <v>0.04</v>
      </c>
      <c r="AE137" s="9">
        <v>6.9999999999999998E-9</v>
      </c>
      <c r="AF137" s="9" t="s">
        <v>645</v>
      </c>
      <c r="AG137" s="8">
        <v>6200</v>
      </c>
      <c r="AH137" s="8" t="s">
        <v>645</v>
      </c>
      <c r="AI137" s="9">
        <v>3.9999999999999998E-7</v>
      </c>
      <c r="AJ137" s="8">
        <v>40</v>
      </c>
      <c r="AK137" s="8" t="s">
        <v>49</v>
      </c>
      <c r="AL137" s="8" t="s">
        <v>50</v>
      </c>
      <c r="AM137" s="8" t="s">
        <v>262</v>
      </c>
      <c r="AN137" s="8">
        <v>2.3400000000000001E-3</v>
      </c>
      <c r="AO137" s="8">
        <v>7.5599999999999999E-3</v>
      </c>
      <c r="AP137" s="8">
        <v>1.32E-2</v>
      </c>
      <c r="AQ137" s="8">
        <v>0.1</v>
      </c>
      <c r="AR137" s="8" t="s">
        <v>53</v>
      </c>
      <c r="AS137" s="8" t="s">
        <v>54</v>
      </c>
    </row>
    <row r="138" spans="1:45" x14ac:dyDescent="0.25">
      <c r="A138" s="10" t="s">
        <v>293</v>
      </c>
      <c r="B138" s="8" t="s">
        <v>294</v>
      </c>
      <c r="C138" s="8">
        <v>391</v>
      </c>
      <c r="D138" s="8">
        <v>517</v>
      </c>
      <c r="E138" s="9">
        <v>6.4500000000000003E-14</v>
      </c>
      <c r="F138" s="9">
        <v>4.4000000000000002E-6</v>
      </c>
      <c r="G138" s="9">
        <v>1.1E-5</v>
      </c>
      <c r="H138" s="8">
        <v>9.4399999999999998E-2</v>
      </c>
      <c r="I138" s="9">
        <v>7.9999999999999996E-6</v>
      </c>
      <c r="J138" s="8">
        <v>20000000</v>
      </c>
      <c r="K138" s="8">
        <v>12300000</v>
      </c>
      <c r="L138" s="8">
        <v>123000</v>
      </c>
      <c r="M138" s="8">
        <v>923000</v>
      </c>
      <c r="N138" s="8">
        <v>492000</v>
      </c>
      <c r="O138" s="8">
        <v>0.03</v>
      </c>
      <c r="P138" s="8">
        <v>1.6E-2</v>
      </c>
      <c r="Q138" s="8">
        <v>97100</v>
      </c>
      <c r="R138" s="8">
        <v>0.78900000000000003</v>
      </c>
      <c r="S138" s="8">
        <v>2.3400000000000001E-3</v>
      </c>
      <c r="T138" s="8">
        <v>2.3400000000000001E-3</v>
      </c>
      <c r="U138" s="8">
        <v>520000</v>
      </c>
      <c r="V138" s="8">
        <v>520000</v>
      </c>
      <c r="W138" s="8">
        <v>3.7799999999999999E-3</v>
      </c>
      <c r="X138" s="8">
        <v>1.7999999999999999E-2</v>
      </c>
      <c r="Y138" s="8">
        <v>2.1700000000000001E-2</v>
      </c>
      <c r="Z138" s="8">
        <v>2.3300000000000001E-2</v>
      </c>
      <c r="AA138" s="8">
        <v>0.63</v>
      </c>
      <c r="AB138" s="8">
        <v>25100</v>
      </c>
      <c r="AC138" s="8" t="s">
        <v>45</v>
      </c>
      <c r="AD138" s="8">
        <v>0.04</v>
      </c>
      <c r="AE138" s="9">
        <v>6.9999999999999998E-9</v>
      </c>
      <c r="AF138" s="9" t="s">
        <v>645</v>
      </c>
      <c r="AG138" s="8">
        <v>140000</v>
      </c>
      <c r="AH138" s="8" t="s">
        <v>645</v>
      </c>
      <c r="AI138" s="9">
        <v>3.9999999999999998E-7</v>
      </c>
      <c r="AJ138" s="8">
        <v>40</v>
      </c>
      <c r="AK138" s="8" t="s">
        <v>49</v>
      </c>
      <c r="AL138" s="8" t="s">
        <v>50</v>
      </c>
      <c r="AM138" s="8" t="s">
        <v>262</v>
      </c>
      <c r="AN138" s="8">
        <v>2.3400000000000001E-3</v>
      </c>
      <c r="AO138" s="8">
        <v>7.5599999999999999E-3</v>
      </c>
      <c r="AP138" s="8">
        <v>1.32E-2</v>
      </c>
      <c r="AQ138" s="8">
        <v>0.1</v>
      </c>
      <c r="AR138" s="8" t="s">
        <v>53</v>
      </c>
      <c r="AS138" s="8" t="s">
        <v>54</v>
      </c>
    </row>
    <row r="139" spans="1:45" x14ac:dyDescent="0.25">
      <c r="A139" s="10" t="s">
        <v>295</v>
      </c>
      <c r="B139" s="8" t="s">
        <v>296</v>
      </c>
      <c r="C139" s="8">
        <v>375</v>
      </c>
      <c r="D139" s="8">
        <v>499</v>
      </c>
      <c r="E139" s="9">
        <v>3.1600000000000002E-13</v>
      </c>
      <c r="F139" s="9">
        <v>8.2500000000000006E-6</v>
      </c>
      <c r="G139" s="9">
        <v>1.43E-5</v>
      </c>
      <c r="H139" s="8">
        <v>2.12E-2</v>
      </c>
      <c r="I139" s="9">
        <v>7.9999999999999996E-6</v>
      </c>
      <c r="J139" s="8">
        <v>10000000</v>
      </c>
      <c r="K139" s="8">
        <v>6170000</v>
      </c>
      <c r="L139" s="8">
        <v>61700</v>
      </c>
      <c r="M139" s="8">
        <v>462000</v>
      </c>
      <c r="N139" s="8">
        <v>247000</v>
      </c>
      <c r="O139" s="8">
        <v>0.03</v>
      </c>
      <c r="P139" s="8">
        <v>4.9000000000000002E-2</v>
      </c>
      <c r="Q139" s="8">
        <v>57000</v>
      </c>
      <c r="R139" s="8">
        <v>0.92500000000000004</v>
      </c>
      <c r="S139" s="8">
        <v>3.48E-3</v>
      </c>
      <c r="T139" s="8">
        <v>3.48E-3</v>
      </c>
      <c r="U139" s="8">
        <v>162000</v>
      </c>
      <c r="V139" s="8">
        <v>162000</v>
      </c>
      <c r="W139" s="8">
        <v>4.7999999999999996E-3</v>
      </c>
      <c r="X139" s="8">
        <v>2.2800000000000001E-2</v>
      </c>
      <c r="Y139" s="8">
        <v>2.76E-2</v>
      </c>
      <c r="Z139" s="8">
        <v>4.5100000000000001E-2</v>
      </c>
      <c r="AA139" s="8">
        <v>1.58</v>
      </c>
      <c r="AB139" s="8">
        <v>49000</v>
      </c>
      <c r="AC139" s="8" t="s">
        <v>45</v>
      </c>
      <c r="AD139" s="8">
        <v>0.04</v>
      </c>
      <c r="AE139" s="9">
        <v>6.9999999999999998E-9</v>
      </c>
      <c r="AF139" s="9" t="s">
        <v>645</v>
      </c>
      <c r="AG139" s="8">
        <v>140000</v>
      </c>
      <c r="AH139" s="8" t="s">
        <v>645</v>
      </c>
      <c r="AI139" s="9">
        <v>3.9999999999999998E-7</v>
      </c>
      <c r="AJ139" s="8">
        <v>40</v>
      </c>
      <c r="AK139" s="8" t="s">
        <v>49</v>
      </c>
      <c r="AL139" s="8" t="s">
        <v>50</v>
      </c>
      <c r="AM139" s="8" t="s">
        <v>219</v>
      </c>
      <c r="AN139" s="8">
        <v>3.48E-3</v>
      </c>
      <c r="AO139" s="8">
        <v>9.5999999999999992E-3</v>
      </c>
      <c r="AP139" s="8">
        <v>1.6799999999999999E-2</v>
      </c>
      <c r="AQ139" s="8">
        <v>0.1</v>
      </c>
      <c r="AR139" s="8" t="s">
        <v>53</v>
      </c>
      <c r="AS139" s="8" t="s">
        <v>54</v>
      </c>
    </row>
    <row r="140" spans="1:45" x14ac:dyDescent="0.25">
      <c r="A140" s="10" t="s">
        <v>297</v>
      </c>
      <c r="B140" s="8" t="s">
        <v>298</v>
      </c>
      <c r="C140" s="8">
        <v>375</v>
      </c>
      <c r="D140" s="8">
        <v>506</v>
      </c>
      <c r="E140" s="9">
        <v>2.8899999999999998E-13</v>
      </c>
      <c r="F140" s="9">
        <v>1.77E-5</v>
      </c>
      <c r="G140" s="9">
        <v>7.3100000000000003E-6</v>
      </c>
      <c r="H140" s="8">
        <v>2.12E-2</v>
      </c>
      <c r="I140" s="9">
        <v>7.9999999999999996E-6</v>
      </c>
      <c r="J140" s="8">
        <v>10000000</v>
      </c>
      <c r="K140" s="8">
        <v>6170000</v>
      </c>
      <c r="L140" s="8">
        <v>61700</v>
      </c>
      <c r="M140" s="8">
        <v>462000</v>
      </c>
      <c r="N140" s="8">
        <v>247000</v>
      </c>
      <c r="O140" s="8">
        <v>0.03</v>
      </c>
      <c r="P140" s="8">
        <v>5.1999999999999998E-2</v>
      </c>
      <c r="Q140" s="8">
        <v>57000</v>
      </c>
      <c r="R140" s="8">
        <v>0.92500000000000004</v>
      </c>
      <c r="S140" s="8">
        <v>3.48E-3</v>
      </c>
      <c r="T140" s="8">
        <v>3.48E-3</v>
      </c>
      <c r="U140" s="8">
        <v>162000</v>
      </c>
      <c r="V140" s="8">
        <v>162000</v>
      </c>
      <c r="W140" s="8">
        <v>4.7999999999999996E-3</v>
      </c>
      <c r="X140" s="8">
        <v>2.2800000000000001E-2</v>
      </c>
      <c r="Y140" s="8">
        <v>2.76E-2</v>
      </c>
      <c r="Z140" s="8">
        <v>4.53E-2</v>
      </c>
      <c r="AA140" s="8">
        <v>1.62</v>
      </c>
      <c r="AB140" s="8">
        <v>49000</v>
      </c>
      <c r="AC140" s="8" t="s">
        <v>45</v>
      </c>
      <c r="AD140" s="8">
        <v>0.04</v>
      </c>
      <c r="AE140" s="9">
        <v>6.9999999999999998E-9</v>
      </c>
      <c r="AF140" s="9" t="s">
        <v>645</v>
      </c>
      <c r="AG140" s="8">
        <v>140000</v>
      </c>
      <c r="AH140" s="8" t="s">
        <v>645</v>
      </c>
      <c r="AI140" s="9">
        <v>3.9999999999999998E-7</v>
      </c>
      <c r="AJ140" s="8">
        <v>40</v>
      </c>
      <c r="AK140" s="8" t="s">
        <v>49</v>
      </c>
      <c r="AL140" s="8" t="s">
        <v>50</v>
      </c>
      <c r="AM140" s="8" t="s">
        <v>219</v>
      </c>
      <c r="AN140" s="8">
        <v>3.48E-3</v>
      </c>
      <c r="AO140" s="8">
        <v>9.5999999999999992E-3</v>
      </c>
      <c r="AP140" s="8">
        <v>1.6799999999999999E-2</v>
      </c>
      <c r="AQ140" s="8">
        <v>0.1</v>
      </c>
      <c r="AR140" s="8" t="s">
        <v>53</v>
      </c>
      <c r="AS140" s="8" t="s">
        <v>54</v>
      </c>
    </row>
    <row r="141" spans="1:45" x14ac:dyDescent="0.25">
      <c r="A141" s="10" t="s">
        <v>299</v>
      </c>
      <c r="B141" s="8" t="s">
        <v>300</v>
      </c>
      <c r="C141" s="8">
        <v>375</v>
      </c>
      <c r="D141" s="8">
        <v>521</v>
      </c>
      <c r="E141" s="9">
        <v>3.68E-13</v>
      </c>
      <c r="F141" s="9">
        <v>1.2999999999999999E-5</v>
      </c>
      <c r="G141" s="9">
        <v>1.1E-5</v>
      </c>
      <c r="H141" s="8">
        <v>2.12E-2</v>
      </c>
      <c r="I141" s="9">
        <v>7.9999999999999996E-6</v>
      </c>
      <c r="J141" s="8">
        <v>10000000</v>
      </c>
      <c r="K141" s="8">
        <v>6170000</v>
      </c>
      <c r="L141" s="8">
        <v>61700</v>
      </c>
      <c r="M141" s="8">
        <v>462000</v>
      </c>
      <c r="N141" s="8">
        <v>247000</v>
      </c>
      <c r="O141" s="8">
        <v>0.03</v>
      </c>
      <c r="P141" s="8">
        <v>0.09</v>
      </c>
      <c r="Q141" s="8">
        <v>57000</v>
      </c>
      <c r="R141" s="8">
        <v>0.92500000000000004</v>
      </c>
      <c r="S141" s="8">
        <v>3.48E-3</v>
      </c>
      <c r="T141" s="8">
        <v>3.48E-3</v>
      </c>
      <c r="U141" s="8">
        <v>162000</v>
      </c>
      <c r="V141" s="8">
        <v>162000</v>
      </c>
      <c r="W141" s="8">
        <v>4.7999999999999996E-3</v>
      </c>
      <c r="X141" s="8">
        <v>2.2800000000000001E-2</v>
      </c>
      <c r="Y141" s="8">
        <v>2.76E-2</v>
      </c>
      <c r="Z141" s="8" t="s">
        <v>44</v>
      </c>
      <c r="AA141" s="8" t="s">
        <v>44</v>
      </c>
      <c r="AB141" s="8">
        <v>49000</v>
      </c>
      <c r="AC141" s="8" t="s">
        <v>45</v>
      </c>
      <c r="AD141" s="8">
        <v>0.04</v>
      </c>
      <c r="AE141" s="9">
        <v>6.9999999999999998E-9</v>
      </c>
      <c r="AF141" s="9" t="s">
        <v>645</v>
      </c>
      <c r="AG141" s="8">
        <v>140000</v>
      </c>
      <c r="AH141" s="8" t="s">
        <v>645</v>
      </c>
      <c r="AI141" s="9">
        <v>3.9999999999999998E-7</v>
      </c>
      <c r="AJ141" s="8">
        <v>40</v>
      </c>
      <c r="AK141" s="8" t="s">
        <v>49</v>
      </c>
      <c r="AL141" s="8" t="s">
        <v>50</v>
      </c>
      <c r="AM141" s="8" t="s">
        <v>219</v>
      </c>
      <c r="AN141" s="8">
        <v>3.48E-3</v>
      </c>
      <c r="AO141" s="8">
        <v>9.5999999999999992E-3</v>
      </c>
      <c r="AP141" s="8">
        <v>1.6799999999999999E-2</v>
      </c>
      <c r="AQ141" s="8">
        <v>0.1</v>
      </c>
      <c r="AR141" s="8" t="s">
        <v>53</v>
      </c>
      <c r="AS141" s="8" t="s">
        <v>54</v>
      </c>
    </row>
    <row r="142" spans="1:45" x14ac:dyDescent="0.25">
      <c r="A142" s="10" t="s">
        <v>301</v>
      </c>
      <c r="B142" s="8" t="s">
        <v>302</v>
      </c>
      <c r="C142" s="8">
        <v>375</v>
      </c>
      <c r="D142" s="8">
        <v>513</v>
      </c>
      <c r="E142" s="9">
        <v>2.6299999999999999E-13</v>
      </c>
      <c r="F142" s="9">
        <v>1.2999999999999999E-5</v>
      </c>
      <c r="G142" s="9">
        <v>1.1E-5</v>
      </c>
      <c r="H142" s="8">
        <v>2.12E-2</v>
      </c>
      <c r="I142" s="9">
        <v>7.9999999999999996E-6</v>
      </c>
      <c r="J142" s="8">
        <v>10000000</v>
      </c>
      <c r="K142" s="8">
        <v>6170000</v>
      </c>
      <c r="L142" s="8">
        <v>61700</v>
      </c>
      <c r="M142" s="8">
        <v>462000</v>
      </c>
      <c r="N142" s="8">
        <v>247000</v>
      </c>
      <c r="O142" s="8">
        <v>0.03</v>
      </c>
      <c r="P142" s="8">
        <v>5.5E-2</v>
      </c>
      <c r="Q142" s="8">
        <v>57000</v>
      </c>
      <c r="R142" s="8">
        <v>0.92500000000000004</v>
      </c>
      <c r="S142" s="8">
        <v>3.48E-3</v>
      </c>
      <c r="T142" s="8">
        <v>3.48E-3</v>
      </c>
      <c r="U142" s="8">
        <v>162000</v>
      </c>
      <c r="V142" s="8">
        <v>162000</v>
      </c>
      <c r="W142" s="8">
        <v>4.7999999999999996E-3</v>
      </c>
      <c r="X142" s="8">
        <v>2.2800000000000001E-2</v>
      </c>
      <c r="Y142" s="8">
        <v>2.76E-2</v>
      </c>
      <c r="Z142" s="8">
        <v>2.7099999999999999E-2</v>
      </c>
      <c r="AA142" s="8">
        <v>0.79</v>
      </c>
      <c r="AB142" s="8">
        <v>49000</v>
      </c>
      <c r="AC142" s="8" t="s">
        <v>45</v>
      </c>
      <c r="AD142" s="8">
        <v>0.04</v>
      </c>
      <c r="AE142" s="9">
        <v>6.9999999999999998E-9</v>
      </c>
      <c r="AF142" s="9" t="s">
        <v>645</v>
      </c>
      <c r="AG142" s="8">
        <v>140000</v>
      </c>
      <c r="AH142" s="8" t="s">
        <v>645</v>
      </c>
      <c r="AI142" s="9">
        <v>3.9999999999999998E-7</v>
      </c>
      <c r="AJ142" s="8">
        <v>40</v>
      </c>
      <c r="AK142" s="8" t="s">
        <v>49</v>
      </c>
      <c r="AL142" s="8" t="s">
        <v>50</v>
      </c>
      <c r="AM142" s="8" t="s">
        <v>219</v>
      </c>
      <c r="AN142" s="8">
        <v>3.48E-3</v>
      </c>
      <c r="AO142" s="8">
        <v>9.5999999999999992E-3</v>
      </c>
      <c r="AP142" s="8">
        <v>1.6799999999999999E-2</v>
      </c>
      <c r="AQ142" s="8">
        <v>0.1</v>
      </c>
      <c r="AR142" s="8" t="s">
        <v>53</v>
      </c>
      <c r="AS142" s="8" t="s">
        <v>54</v>
      </c>
    </row>
    <row r="143" spans="1:45" x14ac:dyDescent="0.25">
      <c r="A143" s="8" t="s">
        <v>303</v>
      </c>
      <c r="B143" s="8" t="s">
        <v>304</v>
      </c>
      <c r="C143" s="8">
        <v>261</v>
      </c>
      <c r="D143" s="8">
        <v>252</v>
      </c>
      <c r="E143" s="8">
        <v>2.8899999999999998E-4</v>
      </c>
      <c r="F143" s="8">
        <v>3.2</v>
      </c>
      <c r="G143" s="8">
        <v>8.0999999999999996E-3</v>
      </c>
      <c r="H143" s="8">
        <v>5.6099999999999997E-2</v>
      </c>
      <c r="I143" s="9">
        <v>6.1600000000000003E-6</v>
      </c>
      <c r="J143" s="8">
        <v>63100</v>
      </c>
      <c r="K143" s="8">
        <v>7580</v>
      </c>
      <c r="L143" s="8">
        <v>7600</v>
      </c>
      <c r="M143" s="8">
        <v>568</v>
      </c>
      <c r="N143" s="8">
        <v>303</v>
      </c>
      <c r="O143" s="8">
        <v>1.41</v>
      </c>
      <c r="P143" s="8">
        <v>1</v>
      </c>
      <c r="Q143" s="8">
        <v>1150</v>
      </c>
      <c r="R143" s="8">
        <v>0.152</v>
      </c>
      <c r="S143" s="8">
        <v>6.5000000000000002E-2</v>
      </c>
      <c r="T143" s="8">
        <v>6.5100000000000005E-2</v>
      </c>
      <c r="U143" s="8">
        <v>0.89300000000000002</v>
      </c>
      <c r="V143" s="8">
        <v>0.89300000000000002</v>
      </c>
      <c r="W143" s="8">
        <v>7.8899999999999994E-3</v>
      </c>
      <c r="X143" s="8">
        <v>3.7499999999999999E-2</v>
      </c>
      <c r="Y143" s="8">
        <v>4.5400000000000003E-2</v>
      </c>
      <c r="Z143" s="8">
        <v>0.42799999999999999</v>
      </c>
      <c r="AA143" s="8" t="s">
        <v>44</v>
      </c>
      <c r="AB143" s="8">
        <v>991</v>
      </c>
      <c r="AC143" s="8">
        <v>2430</v>
      </c>
      <c r="AD143" s="8" t="s">
        <v>46</v>
      </c>
      <c r="AE143" s="8">
        <v>1E-3</v>
      </c>
      <c r="AF143" s="9" t="s">
        <v>639</v>
      </c>
      <c r="AG143" s="8">
        <v>7.8E-2</v>
      </c>
      <c r="AH143" s="8" t="s">
        <v>644</v>
      </c>
      <c r="AI143" s="8" t="s">
        <v>57</v>
      </c>
      <c r="AJ143" s="9">
        <v>2.1999999999999999E-5</v>
      </c>
      <c r="AK143" s="8" t="s">
        <v>49</v>
      </c>
      <c r="AL143" s="8" t="s">
        <v>50</v>
      </c>
      <c r="AM143" s="8" t="s">
        <v>51</v>
      </c>
      <c r="AN143" s="8">
        <v>6.5000000000000002E-2</v>
      </c>
      <c r="AO143" s="8">
        <v>1.5800000000000002E-2</v>
      </c>
      <c r="AP143" s="8">
        <v>2.76E-2</v>
      </c>
      <c r="AQ143" s="8" t="s">
        <v>52</v>
      </c>
      <c r="AR143" s="8" t="s">
        <v>53</v>
      </c>
      <c r="AS143" s="8" t="s">
        <v>54</v>
      </c>
    </row>
    <row r="144" spans="1:45" x14ac:dyDescent="0.25">
      <c r="A144" s="8" t="s">
        <v>305</v>
      </c>
      <c r="B144" s="8" t="s">
        <v>306</v>
      </c>
      <c r="C144" s="8">
        <v>285</v>
      </c>
      <c r="D144" s="8">
        <v>503</v>
      </c>
      <c r="E144" s="9">
        <v>2.37E-8</v>
      </c>
      <c r="F144" s="9">
        <v>6.1999999999999999E-6</v>
      </c>
      <c r="G144" s="8">
        <v>1.2999999999999999E-3</v>
      </c>
      <c r="H144" s="8">
        <v>5.4199999999999998E-2</v>
      </c>
      <c r="I144" s="9">
        <v>5.9100000000000002E-6</v>
      </c>
      <c r="J144" s="8">
        <v>200000</v>
      </c>
      <c r="K144" s="8">
        <v>80000</v>
      </c>
      <c r="L144" s="8">
        <v>110</v>
      </c>
      <c r="M144" s="8">
        <v>6000</v>
      </c>
      <c r="N144" s="8">
        <v>3200</v>
      </c>
      <c r="O144" s="8">
        <v>0.12</v>
      </c>
      <c r="P144" s="8">
        <v>1</v>
      </c>
      <c r="Q144" s="8">
        <v>2800</v>
      </c>
      <c r="R144" s="8">
        <v>25</v>
      </c>
      <c r="S144" s="8">
        <v>3.3500000000000002E-2</v>
      </c>
      <c r="T144" s="8">
        <v>3.3000000000000002E-2</v>
      </c>
      <c r="U144" s="8">
        <v>19</v>
      </c>
      <c r="V144" s="8">
        <v>19</v>
      </c>
      <c r="W144" s="8">
        <v>8.5500000000000003E-3</v>
      </c>
      <c r="X144" s="8">
        <v>4.0599999999999997E-2</v>
      </c>
      <c r="Y144" s="8">
        <v>4.9200000000000001E-2</v>
      </c>
      <c r="Z144" s="8">
        <v>2.5299999999999998</v>
      </c>
      <c r="AA144" s="8" t="s">
        <v>44</v>
      </c>
      <c r="AB144" s="8">
        <v>2400</v>
      </c>
      <c r="AC144" s="8">
        <v>11500</v>
      </c>
      <c r="AD144" s="8" t="s">
        <v>46</v>
      </c>
      <c r="AE144" s="8">
        <v>8.0000000000000004E-4</v>
      </c>
      <c r="AF144" s="9" t="s">
        <v>639</v>
      </c>
      <c r="AG144" s="8">
        <v>1.6</v>
      </c>
      <c r="AH144" s="8" t="s">
        <v>639</v>
      </c>
      <c r="AI144" s="8" t="s">
        <v>57</v>
      </c>
      <c r="AJ144" s="8">
        <v>4.6000000000000001E-4</v>
      </c>
      <c r="AK144" s="8" t="s">
        <v>49</v>
      </c>
      <c r="AL144" s="8" t="s">
        <v>50</v>
      </c>
      <c r="AM144" s="8" t="s">
        <v>51</v>
      </c>
      <c r="AN144" s="8">
        <v>3.3500000000000002E-2</v>
      </c>
      <c r="AO144" s="8">
        <v>1.7100000000000001E-2</v>
      </c>
      <c r="AP144" s="8">
        <v>2.9899999999999999E-2</v>
      </c>
      <c r="AQ144" s="8" t="s">
        <v>52</v>
      </c>
      <c r="AR144" s="8" t="s">
        <v>53</v>
      </c>
      <c r="AS144" s="8" t="s">
        <v>54</v>
      </c>
    </row>
    <row r="145" spans="1:45" x14ac:dyDescent="0.25">
      <c r="A145" s="10" t="s">
        <v>692</v>
      </c>
      <c r="B145" s="10" t="s">
        <v>308</v>
      </c>
      <c r="C145" s="8">
        <v>326</v>
      </c>
      <c r="D145" s="8">
        <v>283</v>
      </c>
      <c r="E145" s="9">
        <v>1.01E-7</v>
      </c>
      <c r="F145" s="8">
        <v>4.2999999999999997E-2</v>
      </c>
      <c r="G145" s="8">
        <v>2.8299999999999999E-4</v>
      </c>
      <c r="H145" s="8">
        <v>1E-3</v>
      </c>
      <c r="I145" s="9">
        <v>1.0000000000000001E-5</v>
      </c>
      <c r="J145" s="8">
        <v>3160000</v>
      </c>
      <c r="K145" s="8">
        <v>2450000</v>
      </c>
      <c r="L145" s="8">
        <v>24500</v>
      </c>
      <c r="M145" s="8">
        <v>184000</v>
      </c>
      <c r="N145" s="8">
        <v>98100</v>
      </c>
      <c r="O145" s="8">
        <v>0.03</v>
      </c>
      <c r="P145" s="8">
        <v>0.99199999999999999</v>
      </c>
      <c r="Q145" s="8">
        <v>23500</v>
      </c>
      <c r="R145" s="8">
        <v>0.95799999999999996</v>
      </c>
      <c r="S145" s="8">
        <v>6.7799999999999996E-3</v>
      </c>
      <c r="T145" s="8">
        <v>6.7799999999999996E-3</v>
      </c>
      <c r="U145" s="8">
        <v>1650</v>
      </c>
      <c r="V145" s="8">
        <v>1650</v>
      </c>
      <c r="W145" s="8">
        <v>6.5199999999999998E-3</v>
      </c>
      <c r="X145" s="8">
        <v>3.1E-2</v>
      </c>
      <c r="Y145" s="8">
        <v>3.7499999999999999E-2</v>
      </c>
      <c r="Z145" s="8">
        <v>12.8</v>
      </c>
      <c r="AA145" s="8" t="s">
        <v>44</v>
      </c>
      <c r="AB145" s="8">
        <v>84100</v>
      </c>
      <c r="AC145" s="8" t="s">
        <v>45</v>
      </c>
      <c r="AD145" s="8">
        <v>2</v>
      </c>
      <c r="AE145" s="9">
        <v>4.5000000000000003E-5</v>
      </c>
      <c r="AF145" s="9" t="s">
        <v>668</v>
      </c>
      <c r="AG145" s="8">
        <v>42000</v>
      </c>
      <c r="AH145" s="9" t="s">
        <v>658</v>
      </c>
      <c r="AI145" s="9">
        <v>1.3E-6</v>
      </c>
      <c r="AJ145" s="8">
        <v>8.5714285710000002</v>
      </c>
      <c r="AK145" s="8" t="s">
        <v>49</v>
      </c>
      <c r="AL145" s="8" t="s">
        <v>50</v>
      </c>
      <c r="AM145" s="8" t="s">
        <v>65</v>
      </c>
      <c r="AN145" s="8">
        <v>0.01</v>
      </c>
      <c r="AO145" s="8">
        <v>1.2999999999999999E-2</v>
      </c>
      <c r="AP145" s="8">
        <v>3.2000000000000001E-2</v>
      </c>
      <c r="AQ145" s="8" t="s">
        <v>52</v>
      </c>
      <c r="AR145" s="8" t="s">
        <v>53</v>
      </c>
      <c r="AS145" s="8" t="s">
        <v>54</v>
      </c>
    </row>
    <row r="146" spans="1:45" x14ac:dyDescent="0.25">
      <c r="A146" s="8" t="s">
        <v>309</v>
      </c>
      <c r="B146" s="8" t="s">
        <v>310</v>
      </c>
      <c r="C146" s="8">
        <v>273</v>
      </c>
      <c r="D146" s="8">
        <v>284</v>
      </c>
      <c r="E146" s="9">
        <v>7.8899999999999993E-5</v>
      </c>
      <c r="F146" s="8">
        <v>1.8</v>
      </c>
      <c r="G146" s="8">
        <v>2.7E-2</v>
      </c>
      <c r="H146" s="8">
        <v>1E-3</v>
      </c>
      <c r="I146" s="9">
        <v>1.0000000000000001E-5</v>
      </c>
      <c r="J146" s="8">
        <v>110000</v>
      </c>
      <c r="K146" s="8">
        <v>11700</v>
      </c>
      <c r="L146" s="8">
        <v>117</v>
      </c>
      <c r="M146" s="8">
        <v>880</v>
      </c>
      <c r="N146" s="8">
        <v>470</v>
      </c>
      <c r="O146" s="8">
        <v>9.0299999999999994</v>
      </c>
      <c r="P146" s="8">
        <v>1</v>
      </c>
      <c r="Q146" s="8">
        <v>1770</v>
      </c>
      <c r="R146" s="8">
        <v>15</v>
      </c>
      <c r="S146" s="8">
        <v>4.7300000000000002E-2</v>
      </c>
      <c r="T146" s="8">
        <v>4.7300000000000002E-2</v>
      </c>
      <c r="U146" s="8">
        <v>0.48299999999999998</v>
      </c>
      <c r="V146" s="8">
        <v>0.48299999999999998</v>
      </c>
      <c r="W146" s="8">
        <v>8.3199999999999993E-3</v>
      </c>
      <c r="X146" s="8">
        <v>3.95E-2</v>
      </c>
      <c r="Y146" s="8">
        <v>4.7800000000000002E-2</v>
      </c>
      <c r="Z146" s="8">
        <v>0.64100000000000001</v>
      </c>
      <c r="AA146" s="8" t="s">
        <v>44</v>
      </c>
      <c r="AB146" s="8">
        <v>1520</v>
      </c>
      <c r="AC146" s="8">
        <v>5520</v>
      </c>
      <c r="AD146" s="8" t="s">
        <v>46</v>
      </c>
      <c r="AE146" s="8">
        <v>6.0000000000000001E-3</v>
      </c>
      <c r="AF146" s="9" t="s">
        <v>639</v>
      </c>
      <c r="AG146" s="8" t="s">
        <v>47</v>
      </c>
      <c r="AI146" s="8">
        <v>2.0000000000000001E-4</v>
      </c>
      <c r="AJ146" s="8" t="s">
        <v>48</v>
      </c>
      <c r="AK146" s="8" t="s">
        <v>49</v>
      </c>
      <c r="AL146" s="8" t="s">
        <v>50</v>
      </c>
      <c r="AM146" s="8" t="s">
        <v>51</v>
      </c>
      <c r="AN146" s="8">
        <v>4.7300000000000002E-2</v>
      </c>
      <c r="AO146" s="8">
        <v>1.66E-2</v>
      </c>
      <c r="AP146" s="8">
        <v>2.9100000000000001E-2</v>
      </c>
      <c r="AQ146" s="8" t="s">
        <v>52</v>
      </c>
      <c r="AR146" s="8" t="s">
        <v>53</v>
      </c>
      <c r="AS146" s="8" t="s">
        <v>54</v>
      </c>
    </row>
    <row r="147" spans="1:45" x14ac:dyDescent="0.25">
      <c r="A147" s="8" t="s">
        <v>311</v>
      </c>
      <c r="B147" s="8" t="s">
        <v>312</v>
      </c>
      <c r="C147" s="8">
        <v>236.74</v>
      </c>
      <c r="D147" s="8">
        <v>459.95</v>
      </c>
      <c r="E147" s="8">
        <v>2.7599999999999999E-4</v>
      </c>
      <c r="F147" s="8">
        <v>50</v>
      </c>
      <c r="G147" s="8">
        <v>3.8899999999999998E-3</v>
      </c>
      <c r="H147" s="8">
        <v>2.5000000000000001E-3</v>
      </c>
      <c r="I147" s="9">
        <v>6.8000000000000001E-6</v>
      </c>
      <c r="J147" s="8">
        <v>8511.3803819999994</v>
      </c>
      <c r="K147" s="8">
        <v>1550.84</v>
      </c>
      <c r="L147" s="8">
        <v>15.51</v>
      </c>
      <c r="M147" s="8">
        <v>116.31</v>
      </c>
      <c r="N147" s="8">
        <v>62.03</v>
      </c>
      <c r="O147" s="8">
        <v>1.41</v>
      </c>
      <c r="P147" s="8">
        <v>1</v>
      </c>
      <c r="Q147" s="8">
        <v>247</v>
      </c>
      <c r="R147" s="8">
        <v>15.9</v>
      </c>
      <c r="S147" s="8">
        <v>0.20699999999999999</v>
      </c>
      <c r="T147" s="8">
        <v>0.20699999999999999</v>
      </c>
      <c r="U147" s="8">
        <v>0.22</v>
      </c>
      <c r="V147" s="8">
        <v>0.22</v>
      </c>
      <c r="W147" s="8">
        <v>5.2253439999999998E-3</v>
      </c>
      <c r="X147" s="8">
        <v>2.4820384000000001E-2</v>
      </c>
      <c r="Y147" s="8">
        <v>3.0045728000000001E-2</v>
      </c>
      <c r="Z147" s="8">
        <v>7.6740051000000004E-2</v>
      </c>
      <c r="AA147" s="8" t="s">
        <v>44</v>
      </c>
      <c r="AB147" s="8">
        <v>212</v>
      </c>
      <c r="AC147" s="8" t="s">
        <v>45</v>
      </c>
      <c r="AD147" s="8" t="s">
        <v>46</v>
      </c>
      <c r="AE147" s="9">
        <v>6.9999999999999999E-4</v>
      </c>
      <c r="AF147" s="9" t="s">
        <v>639</v>
      </c>
      <c r="AG147" s="9">
        <v>0.04</v>
      </c>
      <c r="AH147" s="9" t="s">
        <v>639</v>
      </c>
      <c r="AI147" s="8" t="s">
        <v>57</v>
      </c>
      <c r="AJ147" s="9">
        <v>3.9999999999999998E-6</v>
      </c>
      <c r="AK147" s="8" t="s">
        <v>49</v>
      </c>
      <c r="AL147" s="8" t="s">
        <v>50</v>
      </c>
      <c r="AM147" s="8" t="s">
        <v>51</v>
      </c>
      <c r="AN147" s="8">
        <v>0.20699999999999999</v>
      </c>
      <c r="AO147" s="8">
        <v>1.0450688E-2</v>
      </c>
      <c r="AP147" s="8">
        <v>1.8288703999999999E-2</v>
      </c>
      <c r="AQ147" s="8" t="s">
        <v>52</v>
      </c>
      <c r="AR147" s="8" t="s">
        <v>53</v>
      </c>
      <c r="AS147" s="8" t="s">
        <v>54</v>
      </c>
    </row>
    <row r="148" spans="1:45" x14ac:dyDescent="0.25">
      <c r="A148" s="10" t="s">
        <v>742</v>
      </c>
      <c r="B148" s="10" t="s">
        <v>525</v>
      </c>
      <c r="C148" s="8">
        <v>138.01</v>
      </c>
      <c r="D148" s="8">
        <v>118.34</v>
      </c>
      <c r="E148" s="9">
        <v>19.8</v>
      </c>
      <c r="F148" s="8">
        <v>302.8</v>
      </c>
      <c r="G148" s="9">
        <v>24.1</v>
      </c>
      <c r="J148" s="9">
        <v>141</v>
      </c>
      <c r="K148" s="8">
        <v>196.8</v>
      </c>
      <c r="M148" s="8">
        <f>(0.075*K148)</f>
        <v>14.76</v>
      </c>
      <c r="N148" s="8">
        <f>(0.04*K148)</f>
        <v>7.8720000000000008</v>
      </c>
      <c r="P148" s="9">
        <v>0.67600000000000005</v>
      </c>
      <c r="AB148" s="8">
        <v>11.08</v>
      </c>
      <c r="AC148" s="8">
        <v>11.08</v>
      </c>
    </row>
    <row r="149" spans="1:45" x14ac:dyDescent="0.25">
      <c r="A149" s="8" t="s">
        <v>610</v>
      </c>
      <c r="B149" s="8" t="s">
        <v>313</v>
      </c>
      <c r="C149" s="8">
        <v>168</v>
      </c>
      <c r="D149" s="8">
        <v>206</v>
      </c>
      <c r="E149" s="9">
        <v>3.9499999999999998E-5</v>
      </c>
      <c r="F149" s="8">
        <v>117</v>
      </c>
      <c r="G149" s="9">
        <v>5.6799999999999998E-5</v>
      </c>
      <c r="H149" s="8">
        <v>6.2399999999999997E-2</v>
      </c>
      <c r="I149" s="9">
        <v>7.2200000000000003E-6</v>
      </c>
      <c r="J149" s="8">
        <v>1580</v>
      </c>
      <c r="K149" s="8">
        <v>1400</v>
      </c>
      <c r="L149" s="8">
        <v>14</v>
      </c>
      <c r="M149" s="8">
        <v>105</v>
      </c>
      <c r="N149" s="8">
        <v>56</v>
      </c>
      <c r="O149" s="8">
        <v>8.43</v>
      </c>
      <c r="P149" s="8">
        <v>1</v>
      </c>
      <c r="Q149" s="8">
        <v>67.599999999999994</v>
      </c>
      <c r="R149" s="8">
        <v>4.83</v>
      </c>
      <c r="S149" s="8">
        <v>0.54800000000000004</v>
      </c>
      <c r="T149" s="8">
        <v>0.54800000000000004</v>
      </c>
      <c r="U149" s="8">
        <v>2.52</v>
      </c>
      <c r="V149" s="8">
        <v>2.52</v>
      </c>
      <c r="W149" s="8">
        <v>2.8300000000000001E-3</v>
      </c>
      <c r="X149" s="8">
        <v>1.35E-2</v>
      </c>
      <c r="Y149" s="8">
        <v>1.6299999999999999E-2</v>
      </c>
      <c r="Z149" s="8" t="s">
        <v>44</v>
      </c>
      <c r="AA149" s="8" t="s">
        <v>44</v>
      </c>
      <c r="AB149" s="8">
        <v>58.1</v>
      </c>
      <c r="AC149" s="8" t="s">
        <v>45</v>
      </c>
      <c r="AD149" s="8" t="s">
        <v>46</v>
      </c>
      <c r="AE149" s="8" t="s">
        <v>56</v>
      </c>
      <c r="AG149" s="8" t="s">
        <v>47</v>
      </c>
      <c r="AI149" s="9">
        <v>1.0000000000000001E-5</v>
      </c>
      <c r="AJ149" s="8" t="s">
        <v>48</v>
      </c>
      <c r="AK149" s="8" t="s">
        <v>49</v>
      </c>
      <c r="AL149" s="8" t="s">
        <v>50</v>
      </c>
      <c r="AM149" s="8" t="s">
        <v>51</v>
      </c>
      <c r="AN149" s="8">
        <v>0.54800000000000004</v>
      </c>
      <c r="AO149" s="8">
        <v>5.6699999999999997E-3</v>
      </c>
      <c r="AP149" s="8">
        <v>9.92E-3</v>
      </c>
      <c r="AQ149" s="8" t="s">
        <v>52</v>
      </c>
      <c r="AR149" s="8" t="s">
        <v>53</v>
      </c>
      <c r="AS149" s="8" t="s">
        <v>54</v>
      </c>
    </row>
    <row r="150" spans="1:45" x14ac:dyDescent="0.25">
      <c r="A150" s="10" t="s">
        <v>611</v>
      </c>
      <c r="B150" s="10" t="s">
        <v>314</v>
      </c>
      <c r="C150" s="8">
        <v>146.22999999999999</v>
      </c>
      <c r="D150" s="8">
        <v>276.55</v>
      </c>
      <c r="E150" s="9">
        <v>5.9500000000000003E-5</v>
      </c>
      <c r="F150" s="8">
        <v>6577</v>
      </c>
      <c r="G150" s="9">
        <v>1.73E-7</v>
      </c>
      <c r="H150" s="8" t="s">
        <v>44</v>
      </c>
      <c r="I150" s="8" t="s">
        <v>44</v>
      </c>
      <c r="J150" s="9">
        <v>35.5</v>
      </c>
      <c r="K150" s="8">
        <v>10</v>
      </c>
      <c r="L150" s="8" t="s">
        <v>57</v>
      </c>
      <c r="M150" s="8">
        <f t="shared" ref="M150:M152" si="5">(0.075*K150)</f>
        <v>0.75</v>
      </c>
      <c r="N150" s="8">
        <f t="shared" ref="N150:N152" si="6">(0.04*K150)</f>
        <v>0.4</v>
      </c>
      <c r="O150" s="8" t="s">
        <v>57</v>
      </c>
      <c r="P150" s="9">
        <v>1</v>
      </c>
      <c r="Q150" s="8" t="s">
        <v>57</v>
      </c>
      <c r="R150" s="8" t="s">
        <v>57</v>
      </c>
      <c r="S150" s="8" t="s">
        <v>56</v>
      </c>
      <c r="T150" s="8" t="s">
        <v>56</v>
      </c>
      <c r="U150" s="8" t="s">
        <v>57</v>
      </c>
      <c r="V150" s="8" t="s">
        <v>57</v>
      </c>
      <c r="W150" s="8" t="s">
        <v>62</v>
      </c>
      <c r="X150" s="8" t="s">
        <v>62</v>
      </c>
      <c r="Y150" s="8" t="s">
        <v>62</v>
      </c>
      <c r="Z150" s="8" t="s">
        <v>44</v>
      </c>
      <c r="AA150" s="8" t="s">
        <v>44</v>
      </c>
      <c r="AB150" s="8" t="s">
        <v>63</v>
      </c>
      <c r="AC150" s="8" t="s">
        <v>45</v>
      </c>
      <c r="AD150" s="8" t="s">
        <v>46</v>
      </c>
      <c r="AE150" s="8" t="s">
        <v>56</v>
      </c>
      <c r="AG150" s="8" t="s">
        <v>47</v>
      </c>
      <c r="AI150" s="8" t="s">
        <v>57</v>
      </c>
      <c r="AJ150" s="8" t="s">
        <v>48</v>
      </c>
      <c r="AK150" s="8" t="s">
        <v>49</v>
      </c>
      <c r="AL150" s="8" t="s">
        <v>50</v>
      </c>
      <c r="AM150" s="8" t="s">
        <v>51</v>
      </c>
      <c r="AN150" s="8" t="s">
        <v>44</v>
      </c>
      <c r="AO150" s="8" t="s">
        <v>44</v>
      </c>
      <c r="AP150" s="8" t="s">
        <v>44</v>
      </c>
      <c r="AQ150" s="8" t="s">
        <v>52</v>
      </c>
      <c r="AR150" s="8" t="s">
        <v>53</v>
      </c>
      <c r="AS150" s="8" t="s">
        <v>54</v>
      </c>
    </row>
    <row r="151" spans="1:45" x14ac:dyDescent="0.25">
      <c r="A151" s="8" t="s">
        <v>693</v>
      </c>
      <c r="B151" s="8" t="s">
        <v>317</v>
      </c>
      <c r="C151" s="8">
        <v>35.450000000000003</v>
      </c>
      <c r="D151" s="8">
        <v>159</v>
      </c>
      <c r="E151" s="8">
        <v>46.6</v>
      </c>
      <c r="F151" s="8">
        <v>720000</v>
      </c>
      <c r="G151" s="8">
        <v>2.3600000000000001E-3</v>
      </c>
      <c r="H151" s="8">
        <v>1E-3</v>
      </c>
      <c r="I151" s="9">
        <v>1.0000000000000001E-5</v>
      </c>
      <c r="J151" s="8">
        <v>3.47</v>
      </c>
      <c r="K151" s="8">
        <v>13.22</v>
      </c>
      <c r="L151" s="8" t="s">
        <v>57</v>
      </c>
      <c r="M151" s="8">
        <f t="shared" si="5"/>
        <v>0.99150000000000005</v>
      </c>
      <c r="N151" s="8">
        <f t="shared" si="6"/>
        <v>0.52880000000000005</v>
      </c>
      <c r="O151" s="8" t="s">
        <v>57</v>
      </c>
      <c r="P151" s="8">
        <f>1-0.461</f>
        <v>0.53899999999999992</v>
      </c>
      <c r="Q151" s="8" t="s">
        <v>57</v>
      </c>
      <c r="R151" s="8" t="s">
        <v>57</v>
      </c>
      <c r="S151" s="8" t="s">
        <v>56</v>
      </c>
      <c r="T151" s="8" t="s">
        <v>56</v>
      </c>
      <c r="U151" s="8" t="s">
        <v>57</v>
      </c>
      <c r="V151" s="8" t="s">
        <v>57</v>
      </c>
      <c r="W151" s="9">
        <v>1.1E-5</v>
      </c>
      <c r="X151" s="9">
        <v>5.2299999999999997E-5</v>
      </c>
      <c r="Y151" s="9">
        <v>6.3299999999999994E-5</v>
      </c>
      <c r="Z151" s="8" t="s">
        <v>44</v>
      </c>
      <c r="AA151" s="8" t="s">
        <v>44</v>
      </c>
      <c r="AB151" s="8">
        <v>3.16</v>
      </c>
      <c r="AC151" s="8" t="s">
        <v>45</v>
      </c>
      <c r="AD151" s="8" t="s">
        <v>46</v>
      </c>
      <c r="AE151" s="8" t="s">
        <v>56</v>
      </c>
      <c r="AG151" s="8" t="s">
        <v>47</v>
      </c>
      <c r="AI151" s="8">
        <v>0.02</v>
      </c>
      <c r="AJ151" s="8" t="s">
        <v>48</v>
      </c>
      <c r="AK151" s="8" t="s">
        <v>49</v>
      </c>
      <c r="AL151" s="8" t="s">
        <v>110</v>
      </c>
      <c r="AM151" s="8" t="s">
        <v>51</v>
      </c>
      <c r="AN151" s="8" t="s">
        <v>44</v>
      </c>
      <c r="AO151" s="9">
        <v>2.1999999999999999E-5</v>
      </c>
      <c r="AP151" s="9">
        <v>3.8600000000000003E-5</v>
      </c>
      <c r="AQ151" s="8" t="s">
        <v>52</v>
      </c>
      <c r="AR151" s="8" t="s">
        <v>53</v>
      </c>
      <c r="AS151" s="8" t="s">
        <v>54</v>
      </c>
    </row>
    <row r="152" spans="1:45" x14ac:dyDescent="0.25">
      <c r="A152" s="8" t="s">
        <v>612</v>
      </c>
      <c r="B152" s="8" t="s">
        <v>318</v>
      </c>
      <c r="C152" s="8">
        <v>20</v>
      </c>
      <c r="D152" s="8">
        <v>190</v>
      </c>
      <c r="E152" s="8">
        <v>1.21</v>
      </c>
      <c r="F152" s="8">
        <v>1000000</v>
      </c>
      <c r="G152" s="9">
        <v>7.6200000000000006E-14</v>
      </c>
      <c r="H152" s="8" t="s">
        <v>44</v>
      </c>
      <c r="I152" s="8" t="s">
        <v>44</v>
      </c>
      <c r="J152" s="8">
        <v>1.71</v>
      </c>
      <c r="K152" s="8">
        <v>13.2</v>
      </c>
      <c r="L152" s="8" t="s">
        <v>57</v>
      </c>
      <c r="M152" s="8">
        <f t="shared" si="5"/>
        <v>0.98999999999999988</v>
      </c>
      <c r="N152" s="8">
        <f t="shared" si="6"/>
        <v>0.52800000000000002</v>
      </c>
      <c r="O152" s="8">
        <v>1.27</v>
      </c>
      <c r="P152" s="8">
        <f>1-0.26</f>
        <v>0.74</v>
      </c>
      <c r="Q152" s="8" t="s">
        <v>57</v>
      </c>
      <c r="R152" s="8" t="s">
        <v>57</v>
      </c>
      <c r="S152" s="8" t="s">
        <v>56</v>
      </c>
      <c r="T152" s="8" t="s">
        <v>56</v>
      </c>
      <c r="U152" s="8" t="s">
        <v>57</v>
      </c>
      <c r="V152" s="8" t="s">
        <v>57</v>
      </c>
      <c r="W152" s="8" t="s">
        <v>62</v>
      </c>
      <c r="X152" s="8" t="s">
        <v>62</v>
      </c>
      <c r="Y152" s="8" t="s">
        <v>62</v>
      </c>
      <c r="Z152" s="8" t="s">
        <v>44</v>
      </c>
      <c r="AA152" s="8" t="s">
        <v>44</v>
      </c>
      <c r="AB152" s="8" t="s">
        <v>63</v>
      </c>
      <c r="AC152" s="8" t="s">
        <v>45</v>
      </c>
      <c r="AD152" s="8" t="s">
        <v>46</v>
      </c>
      <c r="AE152" s="8">
        <v>0.04</v>
      </c>
      <c r="AF152" s="8" t="s">
        <v>640</v>
      </c>
      <c r="AG152" s="8" t="s">
        <v>47</v>
      </c>
      <c r="AI152" s="8">
        <v>1.4E-2</v>
      </c>
      <c r="AJ152" s="8" t="s">
        <v>48</v>
      </c>
      <c r="AK152" s="8" t="s">
        <v>49</v>
      </c>
      <c r="AL152" s="8" t="s">
        <v>110</v>
      </c>
      <c r="AM152" s="8" t="s">
        <v>51</v>
      </c>
      <c r="AN152" s="8" t="s">
        <v>44</v>
      </c>
      <c r="AO152" s="8" t="s">
        <v>44</v>
      </c>
      <c r="AP152" s="8" t="s">
        <v>44</v>
      </c>
      <c r="AQ152" s="8" t="s">
        <v>52</v>
      </c>
      <c r="AR152" s="8" t="s">
        <v>53</v>
      </c>
      <c r="AS152" s="8" t="s">
        <v>54</v>
      </c>
    </row>
    <row r="153" spans="1:45" x14ac:dyDescent="0.25">
      <c r="A153" s="8" t="s">
        <v>613</v>
      </c>
      <c r="B153" s="8" t="s">
        <v>319</v>
      </c>
      <c r="C153" s="8">
        <v>110</v>
      </c>
      <c r="D153" s="8">
        <v>445</v>
      </c>
      <c r="E153" s="9">
        <v>1.3200000000000001E-8</v>
      </c>
      <c r="F153" s="8">
        <v>72000</v>
      </c>
      <c r="G153" s="9">
        <v>2.0199999999999999E-11</v>
      </c>
      <c r="H153" s="8">
        <v>8.2699999999999996E-2</v>
      </c>
      <c r="I153" s="9">
        <v>9.5799999999999998E-6</v>
      </c>
      <c r="J153" s="8">
        <v>3.89</v>
      </c>
      <c r="K153" s="8">
        <v>3.8</v>
      </c>
      <c r="L153" s="8">
        <v>3.7999999999999999E-2</v>
      </c>
      <c r="M153" s="8">
        <v>0.28499999999999998</v>
      </c>
      <c r="N153" s="8">
        <v>0.152</v>
      </c>
      <c r="O153" s="8">
        <v>36.1</v>
      </c>
      <c r="P153" s="8">
        <v>0.95699999999999996</v>
      </c>
      <c r="Q153" s="8">
        <v>6.97</v>
      </c>
      <c r="R153" s="8">
        <v>183</v>
      </c>
      <c r="S153" s="8">
        <v>17.7</v>
      </c>
      <c r="T153" s="8">
        <v>17.7</v>
      </c>
      <c r="U153" s="8">
        <v>11800</v>
      </c>
      <c r="V153" s="8">
        <v>11800</v>
      </c>
      <c r="W153" s="9">
        <v>4.35E-5</v>
      </c>
      <c r="X153" s="8">
        <v>2.0699999999999999E-4</v>
      </c>
      <c r="Y153" s="8">
        <v>2.5000000000000001E-4</v>
      </c>
      <c r="Z153" s="8" t="s">
        <v>44</v>
      </c>
      <c r="AA153" s="8" t="s">
        <v>44</v>
      </c>
      <c r="AB153" s="8">
        <v>3.16</v>
      </c>
      <c r="AC153" s="8" t="s">
        <v>45</v>
      </c>
      <c r="AD153" s="8" t="s">
        <v>46</v>
      </c>
      <c r="AE153" s="8">
        <v>0.04</v>
      </c>
      <c r="AF153" s="8" t="s">
        <v>644</v>
      </c>
      <c r="AG153" s="8">
        <v>5.6000000000000001E-2</v>
      </c>
      <c r="AH153" s="8" t="s">
        <v>644</v>
      </c>
      <c r="AI153" s="8" t="s">
        <v>57</v>
      </c>
      <c r="AJ153" s="8" t="s">
        <v>48</v>
      </c>
      <c r="AK153" s="8" t="s">
        <v>49</v>
      </c>
      <c r="AL153" s="8" t="s">
        <v>50</v>
      </c>
      <c r="AM153" s="8" t="s">
        <v>51</v>
      </c>
      <c r="AN153" s="8">
        <v>17.7</v>
      </c>
      <c r="AO153" s="9">
        <v>8.7100000000000003E-5</v>
      </c>
      <c r="AP153" s="8">
        <v>1.5200000000000001E-4</v>
      </c>
      <c r="AQ153" s="8" t="s">
        <v>52</v>
      </c>
      <c r="AR153" s="8" t="s">
        <v>53</v>
      </c>
      <c r="AS153" s="8" t="s">
        <v>54</v>
      </c>
    </row>
    <row r="154" spans="1:45" x14ac:dyDescent="0.25">
      <c r="A154" s="8" t="s">
        <v>721</v>
      </c>
      <c r="B154" s="8" t="s">
        <v>321</v>
      </c>
      <c r="C154" s="8">
        <v>276</v>
      </c>
      <c r="D154" s="8">
        <v>433</v>
      </c>
      <c r="E154" s="9">
        <v>1.3199999999999999E-13</v>
      </c>
      <c r="F154" s="9">
        <v>2.1999999999999999E-5</v>
      </c>
      <c r="G154" s="9">
        <v>1.5999999999999999E-6</v>
      </c>
      <c r="H154" s="8">
        <v>1E-3</v>
      </c>
      <c r="I154" s="9">
        <v>1.0000000000000001E-5</v>
      </c>
      <c r="J154" s="8">
        <v>3980000</v>
      </c>
      <c r="K154" s="8">
        <v>3080000</v>
      </c>
      <c r="L154" s="8">
        <v>530000</v>
      </c>
      <c r="M154" s="8">
        <v>231000</v>
      </c>
      <c r="N154" s="8">
        <v>123000</v>
      </c>
      <c r="O154" s="8">
        <v>0.48</v>
      </c>
      <c r="P154" s="8">
        <v>5.0000000000000001E-3</v>
      </c>
      <c r="Q154" s="8">
        <v>28100</v>
      </c>
      <c r="R154" s="8">
        <v>5.2900000000000003E-2</v>
      </c>
      <c r="S154" s="8">
        <v>5.9300000000000004E-3</v>
      </c>
      <c r="T154" s="8">
        <v>5.9300000000000004E-3</v>
      </c>
      <c r="U154" s="8">
        <v>373000</v>
      </c>
      <c r="V154" s="8">
        <v>373000</v>
      </c>
      <c r="W154" s="8">
        <v>6.1900000000000002E-3</v>
      </c>
      <c r="X154" s="8">
        <v>2.9399999999999999E-2</v>
      </c>
      <c r="Y154" s="8">
        <v>3.56E-2</v>
      </c>
      <c r="Z154" s="8">
        <v>65.3</v>
      </c>
      <c r="AA154" s="8" t="s">
        <v>44</v>
      </c>
      <c r="AB154" s="8">
        <v>24100</v>
      </c>
      <c r="AC154" s="8">
        <v>618000</v>
      </c>
      <c r="AD154" s="8" t="s">
        <v>46</v>
      </c>
      <c r="AE154" s="8" t="s">
        <v>56</v>
      </c>
      <c r="AG154" s="8">
        <v>0.12</v>
      </c>
      <c r="AH154" s="8" t="s">
        <v>645</v>
      </c>
      <c r="AI154" s="8" t="s">
        <v>57</v>
      </c>
      <c r="AJ154" s="9">
        <v>1.2999999999999999E-4</v>
      </c>
      <c r="AK154" s="8" t="s">
        <v>49</v>
      </c>
      <c r="AL154" s="8" t="s">
        <v>50</v>
      </c>
      <c r="AM154" s="8" t="s">
        <v>72</v>
      </c>
      <c r="AN154" s="8">
        <v>5.9300000000000004E-3</v>
      </c>
      <c r="AO154" s="8">
        <v>1.24E-2</v>
      </c>
      <c r="AP154" s="8">
        <v>2.1700000000000001E-2</v>
      </c>
      <c r="AQ154" s="8" t="s">
        <v>52</v>
      </c>
      <c r="AR154" s="8" t="s">
        <v>53</v>
      </c>
      <c r="AS154" s="8" t="s">
        <v>54</v>
      </c>
    </row>
    <row r="155" spans="1:45" x14ac:dyDescent="0.25">
      <c r="A155" s="8" t="s">
        <v>322</v>
      </c>
      <c r="B155" s="8" t="s">
        <v>323</v>
      </c>
      <c r="C155" s="8">
        <v>138</v>
      </c>
      <c r="D155" s="8">
        <v>265</v>
      </c>
      <c r="E155" s="8">
        <v>5.7600000000000001E-4</v>
      </c>
      <c r="F155" s="8">
        <v>12000</v>
      </c>
      <c r="G155" s="9">
        <v>6.64E-6</v>
      </c>
      <c r="H155" s="8">
        <v>6.2300000000000001E-2</v>
      </c>
      <c r="I155" s="9">
        <v>6.7599999999999997E-6</v>
      </c>
      <c r="J155" s="8">
        <v>46.8</v>
      </c>
      <c r="K155" s="8">
        <v>43.8</v>
      </c>
      <c r="L155" s="8">
        <v>0.44</v>
      </c>
      <c r="M155" s="8">
        <v>3.29</v>
      </c>
      <c r="N155" s="8">
        <v>1.75</v>
      </c>
      <c r="O155" s="8">
        <v>9.0299999999999994</v>
      </c>
      <c r="P155" s="8">
        <v>1</v>
      </c>
      <c r="Q155" s="8">
        <v>10.8</v>
      </c>
      <c r="R155" s="8">
        <v>24.6</v>
      </c>
      <c r="S155" s="8">
        <v>4.2</v>
      </c>
      <c r="T155" s="8">
        <v>4.2</v>
      </c>
      <c r="U155" s="8">
        <v>0.50600000000000001</v>
      </c>
      <c r="V155" s="8">
        <v>0.50600000000000001</v>
      </c>
      <c r="W155" s="8">
        <v>3.57E-4</v>
      </c>
      <c r="X155" s="8">
        <v>1.6999999999999999E-3</v>
      </c>
      <c r="Y155" s="8">
        <v>2.0500000000000002E-3</v>
      </c>
      <c r="Z155" s="8">
        <v>3.97E-4</v>
      </c>
      <c r="AA155" s="8" t="s">
        <v>44</v>
      </c>
      <c r="AB155" s="8">
        <v>3.85</v>
      </c>
      <c r="AC155" s="8">
        <v>3.85</v>
      </c>
      <c r="AD155" s="8" t="s">
        <v>46</v>
      </c>
      <c r="AE155" s="8">
        <v>0.2</v>
      </c>
      <c r="AF155" s="8" t="s">
        <v>639</v>
      </c>
      <c r="AG155" s="8">
        <v>9.5E-4</v>
      </c>
      <c r="AH155" s="8" t="s">
        <v>639</v>
      </c>
      <c r="AI155" s="8">
        <v>2</v>
      </c>
      <c r="AJ155" s="8" t="s">
        <v>48</v>
      </c>
      <c r="AK155" s="8" t="s">
        <v>49</v>
      </c>
      <c r="AL155" s="8" t="s">
        <v>50</v>
      </c>
      <c r="AM155" s="8" t="s">
        <v>51</v>
      </c>
      <c r="AN155" s="8">
        <v>4.2</v>
      </c>
      <c r="AO155" s="8">
        <v>7.1400000000000001E-4</v>
      </c>
      <c r="AP155" s="8">
        <v>1.25E-3</v>
      </c>
      <c r="AQ155" s="8" t="s">
        <v>52</v>
      </c>
      <c r="AR155" s="8" t="s">
        <v>53</v>
      </c>
      <c r="AS155" s="8" t="s">
        <v>54</v>
      </c>
    </row>
    <row r="156" spans="1:45" x14ac:dyDescent="0.25">
      <c r="A156" s="8" t="s">
        <v>324</v>
      </c>
      <c r="B156" s="8" t="s">
        <v>325</v>
      </c>
      <c r="C156" s="8">
        <v>209</v>
      </c>
      <c r="D156" s="8">
        <v>603</v>
      </c>
      <c r="E156" s="8">
        <v>0</v>
      </c>
      <c r="F156" s="8">
        <v>9580</v>
      </c>
      <c r="G156" s="8">
        <v>2.5000000000000001E-2</v>
      </c>
      <c r="H156" s="8">
        <v>7.7200000000000005E-2</v>
      </c>
      <c r="I156" s="9">
        <v>9.5699999999999999E-6</v>
      </c>
      <c r="J156" s="8">
        <v>5.37</v>
      </c>
      <c r="K156" s="8" t="s">
        <v>44</v>
      </c>
      <c r="L156" s="8">
        <v>900</v>
      </c>
      <c r="M156" s="8">
        <v>900</v>
      </c>
      <c r="N156" s="8">
        <v>900</v>
      </c>
      <c r="O156" s="8" t="s">
        <v>57</v>
      </c>
      <c r="P156" s="8">
        <v>0</v>
      </c>
      <c r="Q156" s="8" t="s">
        <v>57</v>
      </c>
      <c r="R156" s="8">
        <v>8.9999999999999993E-3</v>
      </c>
      <c r="S156" s="8">
        <v>1.3599999999999999E-2</v>
      </c>
      <c r="T156" s="8">
        <v>4.4999999999999998E-2</v>
      </c>
      <c r="U156" s="8" t="s">
        <v>57</v>
      </c>
      <c r="V156" s="8" t="s">
        <v>57</v>
      </c>
      <c r="W156" s="8">
        <v>2.5000000000000001E-4</v>
      </c>
      <c r="X156" s="8">
        <v>2.9999999999999997E-4</v>
      </c>
      <c r="Y156" s="8" t="s">
        <v>62</v>
      </c>
      <c r="Z156" s="8" t="s">
        <v>44</v>
      </c>
      <c r="AA156" s="8" t="s">
        <v>44</v>
      </c>
      <c r="AB156" s="8">
        <v>0.09</v>
      </c>
      <c r="AC156" s="8" t="s">
        <v>45</v>
      </c>
      <c r="AD156" s="8" t="s">
        <v>46</v>
      </c>
      <c r="AE156" s="8" t="s">
        <v>56</v>
      </c>
      <c r="AG156" s="8">
        <v>8.5000000000000006E-3</v>
      </c>
      <c r="AH156" s="8" t="s">
        <v>640</v>
      </c>
      <c r="AI156" s="8">
        <v>1.4999999999999999E-4</v>
      </c>
      <c r="AJ156" s="9">
        <v>1.2E-5</v>
      </c>
      <c r="AK156" s="8" t="s">
        <v>49</v>
      </c>
      <c r="AL156" s="8" t="s">
        <v>110</v>
      </c>
      <c r="AM156" s="8" t="s">
        <v>111</v>
      </c>
      <c r="AN156" s="8">
        <v>8.9999999999999993E-3</v>
      </c>
      <c r="AO156" s="8" t="s">
        <v>44</v>
      </c>
      <c r="AP156" s="8" t="s">
        <v>44</v>
      </c>
      <c r="AQ156" s="8" t="s">
        <v>52</v>
      </c>
      <c r="AR156" s="8" t="s">
        <v>53</v>
      </c>
      <c r="AS156" s="8" t="s">
        <v>54</v>
      </c>
    </row>
    <row r="157" spans="1:45" x14ac:dyDescent="0.25">
      <c r="A157" s="8" t="s">
        <v>682</v>
      </c>
      <c r="B157" s="8" t="s">
        <v>681</v>
      </c>
      <c r="C157" s="8">
        <v>209</v>
      </c>
      <c r="D157" s="8">
        <v>603</v>
      </c>
      <c r="E157" s="8">
        <v>0</v>
      </c>
      <c r="F157" s="8">
        <v>9580</v>
      </c>
      <c r="G157" s="8">
        <v>2.5000000000000001E-2</v>
      </c>
      <c r="H157" s="8">
        <v>7.7200000000000005E-2</v>
      </c>
      <c r="I157" s="9">
        <v>9.5699999999999999E-6</v>
      </c>
      <c r="J157" s="8">
        <v>5.37</v>
      </c>
      <c r="K157" s="8" t="s">
        <v>44</v>
      </c>
      <c r="L157" s="8">
        <v>900</v>
      </c>
      <c r="M157" s="8">
        <v>900</v>
      </c>
      <c r="N157" s="8">
        <v>900</v>
      </c>
      <c r="O157" s="8" t="s">
        <v>57</v>
      </c>
      <c r="P157" s="8">
        <v>0</v>
      </c>
      <c r="Q157" s="8" t="s">
        <v>57</v>
      </c>
      <c r="R157" s="8">
        <v>8.9999999999999993E-3</v>
      </c>
      <c r="S157" s="8">
        <v>1.3599999999999999E-2</v>
      </c>
      <c r="T157" s="8">
        <v>4.4999999999999998E-2</v>
      </c>
      <c r="U157" s="8" t="s">
        <v>57</v>
      </c>
      <c r="V157" s="8" t="s">
        <v>57</v>
      </c>
      <c r="W157" s="8">
        <v>2.5000000000000001E-4</v>
      </c>
      <c r="X157" s="8">
        <v>2.9999999999999997E-4</v>
      </c>
      <c r="Y157" s="8" t="s">
        <v>62</v>
      </c>
      <c r="Z157" s="8" t="s">
        <v>44</v>
      </c>
      <c r="AA157" s="8" t="s">
        <v>44</v>
      </c>
      <c r="AB157" s="8">
        <v>0.09</v>
      </c>
      <c r="AC157" s="8" t="s">
        <v>45</v>
      </c>
      <c r="AD157" s="8" t="s">
        <v>46</v>
      </c>
      <c r="AE157" s="8" t="s">
        <v>56</v>
      </c>
      <c r="AG157" s="8">
        <v>8.5000000000000006E-3</v>
      </c>
      <c r="AH157" s="8" t="s">
        <v>640</v>
      </c>
      <c r="AI157" s="8">
        <v>1.4999999999999999E-4</v>
      </c>
      <c r="AJ157" s="9">
        <v>1.2E-5</v>
      </c>
      <c r="AK157" s="8" t="s">
        <v>49</v>
      </c>
      <c r="AL157" s="8" t="s">
        <v>110</v>
      </c>
      <c r="AM157" s="8" t="s">
        <v>111</v>
      </c>
      <c r="AN157" s="8">
        <v>8.9999999999999993E-3</v>
      </c>
      <c r="AO157" s="8" t="s">
        <v>44</v>
      </c>
      <c r="AP157" s="8" t="s">
        <v>44</v>
      </c>
      <c r="AQ157" s="8" t="s">
        <v>52</v>
      </c>
      <c r="AR157" s="8" t="s">
        <v>53</v>
      </c>
      <c r="AS157" s="8" t="s">
        <v>54</v>
      </c>
    </row>
    <row r="158" spans="1:45" x14ac:dyDescent="0.25">
      <c r="A158" s="8" t="s">
        <v>614</v>
      </c>
      <c r="B158" s="8" t="s">
        <v>326</v>
      </c>
      <c r="C158" s="8">
        <v>98.1</v>
      </c>
      <c r="D158" s="8">
        <v>326</v>
      </c>
      <c r="E158" s="8">
        <v>2.1100000000000001E-4</v>
      </c>
      <c r="F158" s="8">
        <v>4910</v>
      </c>
      <c r="G158" s="9">
        <v>4.2100000000000003E-6</v>
      </c>
      <c r="H158" s="8">
        <v>8.9399999999999993E-2</v>
      </c>
      <c r="I158" s="9">
        <v>1.03E-5</v>
      </c>
      <c r="J158" s="8">
        <v>41.7</v>
      </c>
      <c r="K158" s="8">
        <v>39.200000000000003</v>
      </c>
      <c r="L158" s="8">
        <v>0.39200000000000002</v>
      </c>
      <c r="M158" s="8">
        <v>2.94</v>
      </c>
      <c r="N158" s="8">
        <v>1.57</v>
      </c>
      <c r="O158" s="8">
        <v>8.43</v>
      </c>
      <c r="P158" s="8">
        <v>1</v>
      </c>
      <c r="Q158" s="8">
        <v>10.4</v>
      </c>
      <c r="R158" s="8">
        <v>26.6</v>
      </c>
      <c r="S158" s="8">
        <v>4.4800000000000004</v>
      </c>
      <c r="T158" s="8">
        <v>4.4800000000000004</v>
      </c>
      <c r="U158" s="8">
        <v>0.70599999999999996</v>
      </c>
      <c r="V158" s="8">
        <v>0.70599999999999996</v>
      </c>
      <c r="W158" s="8">
        <v>3.28E-4</v>
      </c>
      <c r="X158" s="8">
        <v>1.56E-3</v>
      </c>
      <c r="Y158" s="8">
        <v>1.89E-3</v>
      </c>
      <c r="Z158" s="8" t="s">
        <v>44</v>
      </c>
      <c r="AA158" s="8" t="s">
        <v>44</v>
      </c>
      <c r="AB158" s="8">
        <v>3.53</v>
      </c>
      <c r="AC158" s="8" t="s">
        <v>45</v>
      </c>
      <c r="AD158" s="8" t="s">
        <v>46</v>
      </c>
      <c r="AE158" s="8">
        <v>0.1</v>
      </c>
      <c r="AF158" s="8" t="s">
        <v>639</v>
      </c>
      <c r="AG158" s="8" t="s">
        <v>47</v>
      </c>
      <c r="AI158" s="8">
        <v>6.9999999999999999E-4</v>
      </c>
      <c r="AJ158" s="8" t="s">
        <v>48</v>
      </c>
      <c r="AK158" s="8" t="s">
        <v>49</v>
      </c>
      <c r="AL158" s="8" t="s">
        <v>50</v>
      </c>
      <c r="AM158" s="8" t="s">
        <v>51</v>
      </c>
      <c r="AN158" s="8">
        <v>4.4800000000000004</v>
      </c>
      <c r="AO158" s="8">
        <v>6.5600000000000001E-4</v>
      </c>
      <c r="AP158" s="8">
        <v>1.15E-3</v>
      </c>
      <c r="AQ158" s="8" t="s">
        <v>52</v>
      </c>
      <c r="AR158" s="8" t="s">
        <v>53</v>
      </c>
      <c r="AS158" s="8" t="s">
        <v>54</v>
      </c>
    </row>
    <row r="159" spans="1:45" x14ac:dyDescent="0.25">
      <c r="A159" s="8" t="s">
        <v>615</v>
      </c>
      <c r="B159" s="8" t="s">
        <v>327</v>
      </c>
      <c r="C159" s="8">
        <v>55</v>
      </c>
      <c r="D159" s="8">
        <v>1470</v>
      </c>
      <c r="E159" s="8">
        <v>0</v>
      </c>
      <c r="F159" s="8">
        <v>55</v>
      </c>
      <c r="G159" s="8">
        <v>0</v>
      </c>
      <c r="H159" s="8">
        <v>0.13100000000000001</v>
      </c>
      <c r="I159" s="8">
        <v>0</v>
      </c>
      <c r="J159" s="8">
        <v>1.7</v>
      </c>
      <c r="K159" s="8">
        <v>13.22</v>
      </c>
      <c r="L159" s="8" t="s">
        <v>57</v>
      </c>
      <c r="M159" s="8">
        <f>(0.075*K159)</f>
        <v>0.99150000000000005</v>
      </c>
      <c r="N159" s="8">
        <f>(0.04*K159)</f>
        <v>0.52880000000000005</v>
      </c>
      <c r="O159" s="9">
        <v>2.5299999999999999E-6</v>
      </c>
      <c r="P159" s="8">
        <v>0</v>
      </c>
      <c r="Q159" s="8" t="s">
        <v>57</v>
      </c>
      <c r="R159" s="8" t="s">
        <v>57</v>
      </c>
      <c r="S159" s="8" t="s">
        <v>56</v>
      </c>
      <c r="T159" s="8" t="s">
        <v>56</v>
      </c>
      <c r="U159" s="8" t="s">
        <v>57</v>
      </c>
      <c r="V159" s="8" t="s">
        <v>57</v>
      </c>
      <c r="W159" s="8" t="s">
        <v>62</v>
      </c>
      <c r="X159" s="8" t="s">
        <v>62</v>
      </c>
      <c r="Y159" s="8" t="s">
        <v>62</v>
      </c>
      <c r="Z159" s="8" t="s">
        <v>44</v>
      </c>
      <c r="AA159" s="8" t="s">
        <v>44</v>
      </c>
      <c r="AB159" s="8" t="s">
        <v>63</v>
      </c>
      <c r="AC159" s="8" t="s">
        <v>45</v>
      </c>
      <c r="AD159" s="8" t="s">
        <v>46</v>
      </c>
      <c r="AE159" s="8">
        <v>0.14000000000000001</v>
      </c>
      <c r="AF159" s="8" t="s">
        <v>639</v>
      </c>
      <c r="AG159" s="8" t="s">
        <v>47</v>
      </c>
      <c r="AI159" s="8">
        <v>2.0000000000000001E-4</v>
      </c>
      <c r="AJ159" s="8" t="s">
        <v>48</v>
      </c>
      <c r="AK159" s="8" t="s">
        <v>49</v>
      </c>
      <c r="AL159" s="8" t="s">
        <v>110</v>
      </c>
      <c r="AM159" s="8" t="s">
        <v>111</v>
      </c>
      <c r="AN159" s="8" t="s">
        <v>44</v>
      </c>
      <c r="AO159" s="8" t="s">
        <v>44</v>
      </c>
      <c r="AP159" s="8" t="s">
        <v>44</v>
      </c>
      <c r="AQ159" s="8" t="s">
        <v>52</v>
      </c>
      <c r="AR159" s="8" t="s">
        <v>53</v>
      </c>
      <c r="AS159" s="8" t="s">
        <v>54</v>
      </c>
    </row>
    <row r="160" spans="1:45" x14ac:dyDescent="0.25">
      <c r="A160" s="8" t="s">
        <v>697</v>
      </c>
      <c r="B160" s="8" t="s">
        <v>328</v>
      </c>
      <c r="C160" s="8">
        <v>271.52</v>
      </c>
      <c r="D160" s="8">
        <v>550.1</v>
      </c>
      <c r="E160" s="8">
        <v>1.2E-4</v>
      </c>
      <c r="F160" s="8">
        <v>69000</v>
      </c>
      <c r="G160" s="9">
        <v>7.1000000000000003E-10</v>
      </c>
      <c r="H160" s="8">
        <v>4.5312606999999998E-2</v>
      </c>
      <c r="I160" s="9">
        <v>5.2499999999999997E-6</v>
      </c>
      <c r="J160" s="8">
        <v>0.60953689700000002</v>
      </c>
      <c r="K160" s="8" t="s">
        <v>44</v>
      </c>
      <c r="L160" s="8">
        <v>58000</v>
      </c>
      <c r="M160" s="8">
        <v>100000</v>
      </c>
      <c r="N160" s="8">
        <v>50000</v>
      </c>
      <c r="O160" s="8" t="s">
        <v>57</v>
      </c>
      <c r="P160" s="8">
        <v>0.85</v>
      </c>
      <c r="Q160" s="8" t="s">
        <v>57</v>
      </c>
      <c r="R160" s="8">
        <v>3.5999999999999997E-2</v>
      </c>
      <c r="S160" s="8">
        <v>1.4500000000000001E-2</v>
      </c>
      <c r="T160" s="8" t="s">
        <v>56</v>
      </c>
      <c r="U160" s="8">
        <v>1800</v>
      </c>
      <c r="V160" s="8">
        <v>1800</v>
      </c>
      <c r="W160" s="8">
        <v>2.2620000000000001E-3</v>
      </c>
      <c r="X160" s="8">
        <v>5.2199999999999998E-3</v>
      </c>
      <c r="Y160" s="9">
        <v>3.3899999999999997E-5</v>
      </c>
      <c r="Z160" s="8">
        <v>2.3924999999999998E-2</v>
      </c>
      <c r="AA160" s="8" t="s">
        <v>44</v>
      </c>
      <c r="AB160" s="8" t="s">
        <v>63</v>
      </c>
      <c r="AC160" s="8" t="s">
        <v>45</v>
      </c>
      <c r="AD160" s="8" t="s">
        <v>46</v>
      </c>
      <c r="AE160" s="8" t="s">
        <v>56</v>
      </c>
      <c r="AG160" s="8" t="s">
        <v>47</v>
      </c>
      <c r="AI160" s="8" t="s">
        <v>57</v>
      </c>
      <c r="AJ160" s="8" t="s">
        <v>48</v>
      </c>
      <c r="AK160" s="8" t="s">
        <v>49</v>
      </c>
      <c r="AL160" s="8" t="s">
        <v>110</v>
      </c>
      <c r="AM160" s="8" t="s">
        <v>329</v>
      </c>
      <c r="AN160" s="8">
        <v>9.2999999999999992E-3</v>
      </c>
      <c r="AO160" s="8">
        <v>2.3924999999999998E-2</v>
      </c>
      <c r="AP160" s="8">
        <v>2.3924999999999998E-2</v>
      </c>
      <c r="AQ160" s="8" t="s">
        <v>52</v>
      </c>
      <c r="AR160" s="8" t="s">
        <v>53</v>
      </c>
      <c r="AS160" s="8" t="s">
        <v>54</v>
      </c>
    </row>
    <row r="161" spans="1:45" x14ac:dyDescent="0.25">
      <c r="A161" s="8" t="s">
        <v>330</v>
      </c>
      <c r="B161" s="8" t="s">
        <v>331</v>
      </c>
      <c r="C161" s="8">
        <v>201</v>
      </c>
      <c r="D161" s="8">
        <v>234</v>
      </c>
      <c r="E161" s="9">
        <v>2.6299999999999998E-6</v>
      </c>
      <c r="F161" s="8">
        <v>0.06</v>
      </c>
      <c r="G161" s="8">
        <v>7.1000000000000004E-3</v>
      </c>
      <c r="H161" s="8">
        <v>1.09E-2</v>
      </c>
      <c r="I161" s="9">
        <v>3.01E-5</v>
      </c>
      <c r="J161" s="8">
        <v>4.17</v>
      </c>
      <c r="K161" s="8" t="s">
        <v>44</v>
      </c>
      <c r="L161" s="8">
        <v>1000</v>
      </c>
      <c r="M161" s="8">
        <v>1000</v>
      </c>
      <c r="N161" s="8">
        <v>3000</v>
      </c>
      <c r="O161" s="8" t="s">
        <v>57</v>
      </c>
      <c r="P161" s="8">
        <v>1</v>
      </c>
      <c r="Q161" s="8" t="s">
        <v>57</v>
      </c>
      <c r="R161" s="8" t="s">
        <v>57</v>
      </c>
      <c r="S161" s="8" t="s">
        <v>56</v>
      </c>
      <c r="T161" s="8" t="s">
        <v>56</v>
      </c>
      <c r="U161" s="8" t="s">
        <v>57</v>
      </c>
      <c r="V161" s="8" t="s">
        <v>57</v>
      </c>
      <c r="W161" s="8" t="s">
        <v>62</v>
      </c>
      <c r="X161" s="8" t="s">
        <v>62</v>
      </c>
      <c r="Y161" s="8" t="s">
        <v>62</v>
      </c>
      <c r="Z161" s="8" t="s">
        <v>44</v>
      </c>
      <c r="AA161" s="8" t="s">
        <v>44</v>
      </c>
      <c r="AB161" s="8" t="s">
        <v>63</v>
      </c>
      <c r="AC161" s="8" t="s">
        <v>45</v>
      </c>
      <c r="AD161" s="8" t="s">
        <v>46</v>
      </c>
      <c r="AE161" s="9">
        <v>1.6000000000000001E-4</v>
      </c>
      <c r="AF161" s="9" t="s">
        <v>640</v>
      </c>
      <c r="AG161" s="8" t="s">
        <v>47</v>
      </c>
      <c r="AI161" s="8">
        <v>2.9999999999999997E-4</v>
      </c>
      <c r="AJ161" s="8" t="s">
        <v>48</v>
      </c>
      <c r="AK161" s="8" t="s">
        <v>49</v>
      </c>
      <c r="AL161" s="8" t="s">
        <v>110</v>
      </c>
      <c r="AM161" s="8" t="s">
        <v>111</v>
      </c>
      <c r="AN161" s="8" t="s">
        <v>44</v>
      </c>
      <c r="AO161" s="8" t="s">
        <v>44</v>
      </c>
      <c r="AP161" s="8" t="s">
        <v>44</v>
      </c>
      <c r="AQ161" s="8" t="s">
        <v>52</v>
      </c>
      <c r="AR161" s="8" t="s">
        <v>53</v>
      </c>
      <c r="AS161" s="8" t="s">
        <v>54</v>
      </c>
    </row>
    <row r="162" spans="1:45" x14ac:dyDescent="0.25">
      <c r="A162" s="10" t="s">
        <v>616</v>
      </c>
      <c r="B162" s="10" t="s">
        <v>332</v>
      </c>
      <c r="C162" s="8">
        <v>16.04</v>
      </c>
      <c r="D162" s="8">
        <v>121.07</v>
      </c>
      <c r="E162" s="9">
        <v>696</v>
      </c>
      <c r="F162" s="8">
        <v>2610</v>
      </c>
      <c r="G162" s="9">
        <v>0.41399999999999998</v>
      </c>
      <c r="H162" s="8" t="s">
        <v>44</v>
      </c>
      <c r="I162" s="8" t="s">
        <v>44</v>
      </c>
      <c r="J162" s="8">
        <v>6.03</v>
      </c>
      <c r="K162" s="8">
        <v>3.9790000000000001</v>
      </c>
      <c r="L162" s="8" t="s">
        <v>57</v>
      </c>
      <c r="M162" s="8">
        <f>(0.075*K162)</f>
        <v>0.298425</v>
      </c>
      <c r="N162" s="8">
        <f>(0.04*K162)</f>
        <v>0.15916</v>
      </c>
      <c r="O162" s="8" t="s">
        <v>57</v>
      </c>
      <c r="P162" s="9">
        <v>1</v>
      </c>
      <c r="Q162" s="8" t="s">
        <v>57</v>
      </c>
      <c r="R162" s="8" t="s">
        <v>57</v>
      </c>
      <c r="S162" s="8" t="s">
        <v>56</v>
      </c>
      <c r="T162" s="8" t="s">
        <v>56</v>
      </c>
      <c r="U162" s="8" t="s">
        <v>57</v>
      </c>
      <c r="V162" s="8" t="s">
        <v>57</v>
      </c>
      <c r="W162" s="8" t="s">
        <v>62</v>
      </c>
      <c r="X162" s="8" t="s">
        <v>62</v>
      </c>
      <c r="Y162" s="8" t="s">
        <v>62</v>
      </c>
      <c r="Z162" s="8" t="s">
        <v>44</v>
      </c>
      <c r="AA162" s="8" t="s">
        <v>44</v>
      </c>
      <c r="AB162" s="8">
        <v>1.9219999999999999</v>
      </c>
      <c r="AC162" s="8">
        <v>1.9219999999999999</v>
      </c>
      <c r="AD162" s="8" t="s">
        <v>46</v>
      </c>
      <c r="AE162" s="8" t="s">
        <v>56</v>
      </c>
      <c r="AG162" s="8" t="s">
        <v>47</v>
      </c>
      <c r="AI162" s="8" t="s">
        <v>57</v>
      </c>
      <c r="AJ162" s="8" t="s">
        <v>48</v>
      </c>
      <c r="AK162" s="8" t="s">
        <v>49</v>
      </c>
      <c r="AL162" s="8" t="s">
        <v>50</v>
      </c>
      <c r="AM162" s="8" t="s">
        <v>51</v>
      </c>
      <c r="AN162" s="8" t="s">
        <v>44</v>
      </c>
      <c r="AO162" s="8" t="s">
        <v>44</v>
      </c>
      <c r="AP162" s="8" t="s">
        <v>44</v>
      </c>
      <c r="AQ162" s="8" t="s">
        <v>52</v>
      </c>
      <c r="AR162" s="8" t="s">
        <v>53</v>
      </c>
      <c r="AS162" s="8" t="s">
        <v>54</v>
      </c>
    </row>
    <row r="163" spans="1:45" x14ac:dyDescent="0.25">
      <c r="A163" s="8" t="s">
        <v>333</v>
      </c>
      <c r="B163" s="8" t="s">
        <v>334</v>
      </c>
      <c r="C163" s="8">
        <v>32</v>
      </c>
      <c r="D163" s="8">
        <v>175</v>
      </c>
      <c r="E163" s="8">
        <v>0.16600000000000001</v>
      </c>
      <c r="F163" s="8">
        <v>1000000</v>
      </c>
      <c r="G163" s="9">
        <v>4.5499999999999996E-6</v>
      </c>
      <c r="H163" s="8">
        <v>0.15</v>
      </c>
      <c r="I163" s="9">
        <v>1.6399999999999999E-5</v>
      </c>
      <c r="J163" s="8">
        <v>0.17</v>
      </c>
      <c r="K163" s="8">
        <v>0.18</v>
      </c>
      <c r="L163" s="8">
        <v>2E-3</v>
      </c>
      <c r="M163" s="8">
        <v>0.01</v>
      </c>
      <c r="N163" s="8">
        <v>7.0000000000000001E-3</v>
      </c>
      <c r="O163" s="8">
        <v>36.1</v>
      </c>
      <c r="P163" s="8">
        <v>1</v>
      </c>
      <c r="Q163" s="8">
        <v>6.39</v>
      </c>
      <c r="R163" s="8">
        <v>3650</v>
      </c>
      <c r="S163" s="8">
        <v>8.3800000000000008</v>
      </c>
      <c r="T163" s="8">
        <v>8.3800000000000008</v>
      </c>
      <c r="U163" s="8">
        <v>1.8600000000000001E-3</v>
      </c>
      <c r="V163" s="8">
        <v>1.8600000000000001E-3</v>
      </c>
      <c r="W163" s="9">
        <v>1.9099999999999999E-6</v>
      </c>
      <c r="X163" s="9">
        <v>9.0699999999999996E-6</v>
      </c>
      <c r="Y163" s="9">
        <v>1.1E-5</v>
      </c>
      <c r="Z163" s="9">
        <v>1.55E-6</v>
      </c>
      <c r="AA163" s="8" t="s">
        <v>44</v>
      </c>
      <c r="AB163" s="8">
        <v>3.16</v>
      </c>
      <c r="AC163" s="8" t="s">
        <v>45</v>
      </c>
      <c r="AD163" s="8" t="s">
        <v>46</v>
      </c>
      <c r="AE163" s="8">
        <v>2</v>
      </c>
      <c r="AF163" s="8" t="s">
        <v>639</v>
      </c>
      <c r="AG163" s="8" t="s">
        <v>47</v>
      </c>
      <c r="AI163" s="8">
        <v>20</v>
      </c>
      <c r="AJ163" s="8" t="s">
        <v>48</v>
      </c>
      <c r="AK163" s="8" t="s">
        <v>49</v>
      </c>
      <c r="AL163" s="8" t="s">
        <v>50</v>
      </c>
      <c r="AM163" s="8" t="s">
        <v>51</v>
      </c>
      <c r="AN163" s="8">
        <v>8.3800000000000008</v>
      </c>
      <c r="AO163" s="9">
        <v>3.8199999999999998E-6</v>
      </c>
      <c r="AP163" s="9">
        <v>6.6800000000000004E-6</v>
      </c>
      <c r="AQ163" s="8" t="s">
        <v>52</v>
      </c>
      <c r="AR163" s="8" t="s">
        <v>53</v>
      </c>
      <c r="AS163" s="8" t="s">
        <v>54</v>
      </c>
    </row>
    <row r="164" spans="1:45" x14ac:dyDescent="0.25">
      <c r="A164" s="10" t="s">
        <v>669</v>
      </c>
      <c r="B164" s="10" t="s">
        <v>514</v>
      </c>
      <c r="C164" s="8">
        <v>164.2</v>
      </c>
      <c r="D164" s="8">
        <v>298.95</v>
      </c>
      <c r="E164" s="9">
        <v>4.5499999999999996E-6</v>
      </c>
      <c r="F164" s="9">
        <v>1000000</v>
      </c>
      <c r="G164" s="9">
        <v>9.9999999999999994E-12</v>
      </c>
      <c r="I164" s="9"/>
      <c r="J164" s="9">
        <v>3.4700000000000002E-2</v>
      </c>
      <c r="K164" s="9">
        <v>10</v>
      </c>
      <c r="M164" s="8">
        <f>(0.075*K164)</f>
        <v>0.75</v>
      </c>
      <c r="N164" s="8">
        <f>(0.04*K164)</f>
        <v>0.4</v>
      </c>
      <c r="P164" s="8">
        <v>0.99978</v>
      </c>
      <c r="W164" s="9"/>
      <c r="X164" s="9"/>
      <c r="Y164" s="9"/>
      <c r="Z164" s="9"/>
      <c r="AB164" s="8">
        <v>0.89390000000000003</v>
      </c>
      <c r="AC164" s="8">
        <v>0.89390000000000003</v>
      </c>
      <c r="AO164" s="9"/>
      <c r="AP164" s="9"/>
      <c r="AS164" s="8" t="s">
        <v>54</v>
      </c>
    </row>
    <row r="165" spans="1:45" x14ac:dyDescent="0.25">
      <c r="A165" s="8" t="s">
        <v>695</v>
      </c>
      <c r="B165" s="8" t="s">
        <v>335</v>
      </c>
      <c r="C165" s="8">
        <v>94.9</v>
      </c>
      <c r="D165" s="8">
        <v>179</v>
      </c>
      <c r="E165" s="8">
        <v>2.13</v>
      </c>
      <c r="F165" s="8">
        <v>15200</v>
      </c>
      <c r="G165" s="8">
        <v>6.2399999999999999E-3</v>
      </c>
      <c r="H165" s="8">
        <v>7.2800000000000004E-2</v>
      </c>
      <c r="I165" s="9">
        <v>1.2099999999999999E-5</v>
      </c>
      <c r="J165" s="8">
        <v>15.5</v>
      </c>
      <c r="K165" s="8">
        <v>9</v>
      </c>
      <c r="L165" s="8">
        <v>0.09</v>
      </c>
      <c r="M165" s="8">
        <v>0.67500000000000004</v>
      </c>
      <c r="N165" s="8">
        <v>0.36</v>
      </c>
      <c r="O165" s="8">
        <v>9.0299999999999994</v>
      </c>
      <c r="P165" s="8">
        <v>1</v>
      </c>
      <c r="Q165" s="8">
        <v>8.2200000000000006</v>
      </c>
      <c r="R165" s="8">
        <v>91.4</v>
      </c>
      <c r="S165" s="8">
        <v>7.95</v>
      </c>
      <c r="T165" s="8">
        <v>7.95</v>
      </c>
      <c r="U165" s="8">
        <v>1.66E-4</v>
      </c>
      <c r="V165" s="8">
        <v>1.66E-4</v>
      </c>
      <c r="W165" s="8">
        <v>1.4999999999999999E-4</v>
      </c>
      <c r="X165" s="8">
        <v>7.1100000000000004E-4</v>
      </c>
      <c r="Y165" s="8">
        <v>8.61E-4</v>
      </c>
      <c r="Z165" s="8">
        <v>1.03E-4</v>
      </c>
      <c r="AA165" s="8" t="s">
        <v>44</v>
      </c>
      <c r="AB165" s="8">
        <v>1.65</v>
      </c>
      <c r="AC165" s="8" t="s">
        <v>45</v>
      </c>
      <c r="AD165" s="8" t="s">
        <v>46</v>
      </c>
      <c r="AE165" s="8">
        <v>1.4E-3</v>
      </c>
      <c r="AF165" s="8" t="s">
        <v>639</v>
      </c>
      <c r="AG165" s="8" t="s">
        <v>47</v>
      </c>
      <c r="AI165" s="8">
        <v>5.0000000000000001E-3</v>
      </c>
      <c r="AJ165" s="8" t="s">
        <v>48</v>
      </c>
      <c r="AK165" s="8" t="s">
        <v>49</v>
      </c>
      <c r="AL165" s="8" t="s">
        <v>50</v>
      </c>
      <c r="AM165" s="8" t="s">
        <v>51</v>
      </c>
      <c r="AN165" s="8">
        <v>7.95</v>
      </c>
      <c r="AO165" s="8">
        <v>2.99E-4</v>
      </c>
      <c r="AP165" s="8">
        <v>5.2400000000000005E-4</v>
      </c>
      <c r="AQ165" s="8" t="s">
        <v>52</v>
      </c>
      <c r="AR165" s="8" t="s">
        <v>53</v>
      </c>
      <c r="AS165" s="8" t="s">
        <v>54</v>
      </c>
    </row>
    <row r="166" spans="1:45" x14ac:dyDescent="0.25">
      <c r="A166" s="8" t="s">
        <v>738</v>
      </c>
      <c r="B166" s="8" t="s">
        <v>739</v>
      </c>
      <c r="C166" s="8">
        <v>118</v>
      </c>
      <c r="D166" s="8">
        <v>203</v>
      </c>
      <c r="E166" s="8">
        <v>2.63E-3</v>
      </c>
      <c r="F166" s="8">
        <v>1000000</v>
      </c>
      <c r="G166" s="9">
        <v>3.1100000000000002E-7</v>
      </c>
      <c r="H166" s="8">
        <v>6.5799999999999997E-2</v>
      </c>
      <c r="I166" s="9">
        <v>8.7099999999999996E-6</v>
      </c>
      <c r="J166" s="8">
        <v>1.1599999999999999</v>
      </c>
      <c r="K166" s="8">
        <v>2.4900000000000002</v>
      </c>
      <c r="L166" s="8">
        <v>2.4899999999999999E-2</v>
      </c>
      <c r="M166" s="8">
        <v>0.187</v>
      </c>
      <c r="N166" s="8">
        <v>9.9599999999999994E-2</v>
      </c>
      <c r="O166" s="8">
        <v>6.96</v>
      </c>
      <c r="P166" s="8">
        <v>1</v>
      </c>
      <c r="Q166" s="8">
        <v>6.59</v>
      </c>
      <c r="R166" s="8">
        <v>264</v>
      </c>
      <c r="S166" s="8">
        <v>33.9</v>
      </c>
      <c r="T166" s="8">
        <v>33.9</v>
      </c>
      <c r="U166" s="8">
        <v>0.23</v>
      </c>
      <c r="V166" s="8">
        <v>0.23</v>
      </c>
      <c r="W166" s="9">
        <v>1.4100000000000001E-5</v>
      </c>
      <c r="X166" s="9">
        <v>6.6799999999999997E-5</v>
      </c>
      <c r="Y166" s="9">
        <v>8.0900000000000001E-5</v>
      </c>
      <c r="Z166" s="8" t="s">
        <v>44</v>
      </c>
      <c r="AA166" s="8" t="s">
        <v>44</v>
      </c>
      <c r="AB166" s="8">
        <v>3.16</v>
      </c>
      <c r="AC166" s="8">
        <v>0.92800000000000005</v>
      </c>
      <c r="AD166" s="8" t="s">
        <v>46</v>
      </c>
      <c r="AE166" s="8">
        <v>8.0000000000000002E-3</v>
      </c>
      <c r="AF166" s="8" t="s">
        <v>644</v>
      </c>
      <c r="AG166" s="8" t="s">
        <v>47</v>
      </c>
      <c r="AI166" s="8">
        <v>0.09</v>
      </c>
      <c r="AJ166" s="8" t="s">
        <v>48</v>
      </c>
      <c r="AK166" s="8" t="s">
        <v>49</v>
      </c>
      <c r="AL166" s="8" t="s">
        <v>50</v>
      </c>
      <c r="AM166" s="8" t="s">
        <v>51</v>
      </c>
      <c r="AN166" s="8">
        <v>38.700000000000003</v>
      </c>
      <c r="AO166" s="9">
        <v>2.8099999999999999E-5</v>
      </c>
      <c r="AP166" s="9">
        <v>4.9200000000000003E-5</v>
      </c>
      <c r="AQ166" s="8" t="s">
        <v>52</v>
      </c>
      <c r="AR166" s="8" t="s">
        <v>53</v>
      </c>
      <c r="AS166" s="8" t="s">
        <v>54</v>
      </c>
    </row>
    <row r="167" spans="1:45" x14ac:dyDescent="0.25">
      <c r="A167" s="8" t="s">
        <v>338</v>
      </c>
      <c r="B167" s="8" t="s">
        <v>339</v>
      </c>
      <c r="C167" s="8">
        <v>118</v>
      </c>
      <c r="D167" s="8">
        <v>203</v>
      </c>
      <c r="E167" s="8">
        <v>2.63E-3</v>
      </c>
      <c r="F167" s="8">
        <v>1000000</v>
      </c>
      <c r="G167" s="9">
        <v>3.1100000000000002E-7</v>
      </c>
      <c r="H167" s="8">
        <v>6.5799999999999997E-2</v>
      </c>
      <c r="I167" s="9">
        <v>8.7099999999999996E-6</v>
      </c>
      <c r="J167" s="8">
        <v>1.1599999999999999</v>
      </c>
      <c r="K167" s="8">
        <v>2.4900000000000002</v>
      </c>
      <c r="L167" s="8">
        <v>2.4899999999999999E-2</v>
      </c>
      <c r="M167" s="8">
        <v>0.187</v>
      </c>
      <c r="N167" s="8">
        <v>9.9599999999999994E-2</v>
      </c>
      <c r="O167" s="8">
        <v>6.96</v>
      </c>
      <c r="P167" s="8">
        <v>1</v>
      </c>
      <c r="Q167" s="8">
        <v>6.59</v>
      </c>
      <c r="R167" s="8">
        <v>264</v>
      </c>
      <c r="S167" s="8">
        <v>33.9</v>
      </c>
      <c r="T167" s="8">
        <v>33.9</v>
      </c>
      <c r="U167" s="8">
        <v>0.23</v>
      </c>
      <c r="V167" s="8">
        <v>0.23</v>
      </c>
      <c r="W167" s="9">
        <v>1.4100000000000001E-5</v>
      </c>
      <c r="X167" s="9">
        <v>6.6799999999999997E-5</v>
      </c>
      <c r="Y167" s="9">
        <v>8.0900000000000001E-5</v>
      </c>
      <c r="Z167" s="8" t="s">
        <v>44</v>
      </c>
      <c r="AA167" s="8" t="s">
        <v>44</v>
      </c>
      <c r="AB167" s="8">
        <v>3.16</v>
      </c>
      <c r="AC167" s="8">
        <v>0.92800000000000005</v>
      </c>
      <c r="AD167" s="8" t="s">
        <v>46</v>
      </c>
      <c r="AE167" s="8">
        <v>8.0000000000000002E-3</v>
      </c>
      <c r="AF167" s="8" t="s">
        <v>644</v>
      </c>
      <c r="AG167" s="8" t="s">
        <v>47</v>
      </c>
      <c r="AI167" s="8">
        <v>0.09</v>
      </c>
      <c r="AJ167" s="8" t="s">
        <v>48</v>
      </c>
      <c r="AK167" s="8" t="s">
        <v>49</v>
      </c>
      <c r="AL167" s="8" t="s">
        <v>50</v>
      </c>
      <c r="AM167" s="8" t="s">
        <v>51</v>
      </c>
      <c r="AN167" s="8">
        <v>38.700000000000003</v>
      </c>
      <c r="AO167" s="9">
        <v>2.8099999999999999E-5</v>
      </c>
      <c r="AP167" s="9">
        <v>4.9200000000000003E-5</v>
      </c>
      <c r="AQ167" s="8" t="s">
        <v>52</v>
      </c>
      <c r="AR167" s="8" t="s">
        <v>53</v>
      </c>
      <c r="AS167" s="8" t="s">
        <v>54</v>
      </c>
    </row>
    <row r="168" spans="1:45" x14ac:dyDescent="0.25">
      <c r="A168" s="8" t="s">
        <v>694</v>
      </c>
      <c r="B168" s="8" t="s">
        <v>340</v>
      </c>
      <c r="C168" s="8">
        <v>50.5</v>
      </c>
      <c r="D168" s="8">
        <v>175</v>
      </c>
      <c r="E168" s="8">
        <v>5.66</v>
      </c>
      <c r="F168" s="8">
        <v>5330</v>
      </c>
      <c r="G168" s="8">
        <v>8.8199999999999997E-3</v>
      </c>
      <c r="H168" s="8">
        <v>0.126</v>
      </c>
      <c r="I168" s="9">
        <v>6.4999999999999996E-6</v>
      </c>
      <c r="J168" s="8">
        <v>8.1300000000000008</v>
      </c>
      <c r="K168" s="8">
        <v>6.3</v>
      </c>
      <c r="L168" s="8">
        <v>0.06</v>
      </c>
      <c r="M168" s="8">
        <v>0.47</v>
      </c>
      <c r="N168" s="8">
        <v>0.25</v>
      </c>
      <c r="O168" s="8">
        <v>9.0299999999999994</v>
      </c>
      <c r="P168" s="8">
        <v>1</v>
      </c>
      <c r="Q168" s="8">
        <v>7.47</v>
      </c>
      <c r="R168" s="8">
        <v>119</v>
      </c>
      <c r="S168" s="8">
        <v>8.3800000000000008</v>
      </c>
      <c r="T168" s="8">
        <v>8.3800000000000008</v>
      </c>
      <c r="U168" s="9">
        <v>5.8999999999999998E-5</v>
      </c>
      <c r="V168" s="9">
        <v>5.8999999999999998E-5</v>
      </c>
      <c r="W168" s="9">
        <v>8.5900000000000001E-5</v>
      </c>
      <c r="X168" s="8">
        <v>4.08E-4</v>
      </c>
      <c r="Y168" s="8">
        <v>4.9399999999999997E-4</v>
      </c>
      <c r="Z168" s="9">
        <v>6.3499999999999999E-5</v>
      </c>
      <c r="AA168" s="8" t="s">
        <v>44</v>
      </c>
      <c r="AB168" s="8">
        <v>3.16</v>
      </c>
      <c r="AC168" s="8" t="s">
        <v>45</v>
      </c>
      <c r="AD168" s="8" t="s">
        <v>46</v>
      </c>
      <c r="AE168" s="8" t="s">
        <v>56</v>
      </c>
      <c r="AG168" s="8" t="s">
        <v>47</v>
      </c>
      <c r="AI168" s="8">
        <v>0.09</v>
      </c>
      <c r="AJ168" s="8" t="s">
        <v>48</v>
      </c>
      <c r="AK168" s="8" t="s">
        <v>49</v>
      </c>
      <c r="AL168" s="8" t="s">
        <v>50</v>
      </c>
      <c r="AM168" s="8" t="s">
        <v>51</v>
      </c>
      <c r="AN168" s="8">
        <v>8.3800000000000008</v>
      </c>
      <c r="AO168" s="8">
        <v>1.7200000000000001E-4</v>
      </c>
      <c r="AP168" s="8">
        <v>3.01E-4</v>
      </c>
      <c r="AQ168" s="8" t="s">
        <v>52</v>
      </c>
      <c r="AR168" s="8" t="s">
        <v>53</v>
      </c>
      <c r="AS168" s="8" t="s">
        <v>54</v>
      </c>
    </row>
    <row r="169" spans="1:45" x14ac:dyDescent="0.25">
      <c r="A169" s="8" t="s">
        <v>566</v>
      </c>
      <c r="B169" s="8" t="s">
        <v>80</v>
      </c>
      <c r="C169" s="8">
        <v>242</v>
      </c>
      <c r="D169" s="8">
        <v>423</v>
      </c>
      <c r="E169" s="9">
        <v>3.3299999999999999E-10</v>
      </c>
      <c r="F169" s="8">
        <v>6.2E-2</v>
      </c>
      <c r="G169" s="9">
        <v>1.3E-6</v>
      </c>
      <c r="H169" s="8">
        <v>4.8899999999999999E-2</v>
      </c>
      <c r="I169" s="9">
        <v>5.66E-6</v>
      </c>
      <c r="J169" s="8">
        <v>1170000</v>
      </c>
      <c r="K169" s="8">
        <v>927000</v>
      </c>
      <c r="L169" s="8">
        <v>9270</v>
      </c>
      <c r="M169" s="8">
        <v>69500</v>
      </c>
      <c r="N169" s="8">
        <v>37100</v>
      </c>
      <c r="O169" s="8">
        <v>2.11</v>
      </c>
      <c r="P169" s="8">
        <v>0.35899999999999999</v>
      </c>
      <c r="Q169" s="8">
        <v>11000</v>
      </c>
      <c r="R169" s="8">
        <v>1.18</v>
      </c>
      <c r="S169" s="8">
        <v>1.2E-2</v>
      </c>
      <c r="T169" s="8">
        <v>1.2E-2</v>
      </c>
      <c r="U169" s="8">
        <v>125000</v>
      </c>
      <c r="V169" s="8">
        <v>125000</v>
      </c>
      <c r="W169" s="8">
        <v>7.7499999999999999E-3</v>
      </c>
      <c r="X169" s="8">
        <v>3.6799999999999999E-2</v>
      </c>
      <c r="Y169" s="8">
        <v>4.4600000000000001E-2</v>
      </c>
      <c r="Z169" s="8">
        <v>4.3600000000000003</v>
      </c>
      <c r="AA169" s="8" t="s">
        <v>44</v>
      </c>
      <c r="AB169" s="8">
        <v>9420</v>
      </c>
      <c r="AC169" s="8">
        <v>177000</v>
      </c>
      <c r="AD169" s="8" t="s">
        <v>46</v>
      </c>
      <c r="AE169" s="8" t="s">
        <v>56</v>
      </c>
      <c r="AG169" s="8">
        <v>1.7</v>
      </c>
      <c r="AH169" s="8" t="s">
        <v>645</v>
      </c>
      <c r="AI169" s="8" t="s">
        <v>57</v>
      </c>
      <c r="AJ169" s="9">
        <v>1.8E-3</v>
      </c>
      <c r="AK169" s="8" t="s">
        <v>49</v>
      </c>
      <c r="AL169" s="8" t="s">
        <v>50</v>
      </c>
      <c r="AM169" s="8" t="s">
        <v>72</v>
      </c>
      <c r="AN169" s="8">
        <v>1.2E-2</v>
      </c>
      <c r="AO169" s="8">
        <v>1.55E-2</v>
      </c>
      <c r="AP169" s="8">
        <v>2.7099999999999999E-2</v>
      </c>
      <c r="AQ169" s="8" t="s">
        <v>52</v>
      </c>
      <c r="AR169" s="8" t="s">
        <v>53</v>
      </c>
      <c r="AS169" s="8" t="s">
        <v>54</v>
      </c>
    </row>
    <row r="170" spans="1:45" x14ac:dyDescent="0.25">
      <c r="A170" s="8" t="s">
        <v>696</v>
      </c>
      <c r="B170" s="8" t="s">
        <v>341</v>
      </c>
      <c r="C170" s="8">
        <v>72.099999999999994</v>
      </c>
      <c r="D170" s="8">
        <v>186</v>
      </c>
      <c r="E170" s="8">
        <v>0.125</v>
      </c>
      <c r="F170" s="8">
        <v>220000</v>
      </c>
      <c r="G170" s="9">
        <v>5.5999999999999999E-5</v>
      </c>
      <c r="H170" s="8">
        <v>8.0799999999999997E-2</v>
      </c>
      <c r="I170" s="9">
        <v>9.7999999999999993E-6</v>
      </c>
      <c r="J170" s="8">
        <v>1.95</v>
      </c>
      <c r="K170" s="8">
        <v>1.93</v>
      </c>
      <c r="L170" s="8">
        <v>0.28999999999999998</v>
      </c>
      <c r="M170" s="8">
        <v>0.14000000000000001</v>
      </c>
      <c r="N170" s="8">
        <v>0.08</v>
      </c>
      <c r="O170" s="8">
        <v>36.1</v>
      </c>
      <c r="P170" s="8">
        <v>1</v>
      </c>
      <c r="Q170" s="8">
        <v>6.7</v>
      </c>
      <c r="R170" s="8">
        <v>23.1</v>
      </c>
      <c r="S170" s="8">
        <v>8.3800000000000008</v>
      </c>
      <c r="T170" s="8">
        <v>8.3800000000000008</v>
      </c>
      <c r="U170" s="8">
        <v>2.0300000000000001E-3</v>
      </c>
      <c r="V170" s="8">
        <v>2.0300000000000001E-3</v>
      </c>
      <c r="W170" s="9">
        <v>2.2099999999999998E-5</v>
      </c>
      <c r="X170" s="8">
        <v>1.05E-4</v>
      </c>
      <c r="Y170" s="8">
        <v>1.27E-4</v>
      </c>
      <c r="Z170" s="9">
        <v>1.5099999999999999E-5</v>
      </c>
      <c r="AA170" s="8" t="s">
        <v>44</v>
      </c>
      <c r="AB170" s="8">
        <v>3.16</v>
      </c>
      <c r="AC170" s="8" t="s">
        <v>45</v>
      </c>
      <c r="AD170" s="8" t="s">
        <v>46</v>
      </c>
      <c r="AE170" s="8">
        <v>0.6</v>
      </c>
      <c r="AF170" s="8" t="s">
        <v>639</v>
      </c>
      <c r="AG170" s="8" t="s">
        <v>47</v>
      </c>
      <c r="AI170" s="8">
        <v>5</v>
      </c>
      <c r="AJ170" s="8" t="s">
        <v>48</v>
      </c>
      <c r="AK170" s="8" t="s">
        <v>49</v>
      </c>
      <c r="AL170" s="8" t="s">
        <v>50</v>
      </c>
      <c r="AM170" s="8" t="s">
        <v>51</v>
      </c>
      <c r="AN170" s="8">
        <v>8.3800000000000008</v>
      </c>
      <c r="AO170" s="9">
        <v>4.4199999999999997E-5</v>
      </c>
      <c r="AP170" s="9">
        <v>7.7299999999999995E-5</v>
      </c>
      <c r="AQ170" s="8" t="s">
        <v>52</v>
      </c>
      <c r="AR170" s="8" t="s">
        <v>53</v>
      </c>
      <c r="AS170" s="8" t="s">
        <v>54</v>
      </c>
    </row>
    <row r="171" spans="1:45" x14ac:dyDescent="0.25">
      <c r="A171" s="8" t="s">
        <v>617</v>
      </c>
      <c r="B171" s="8" t="s">
        <v>343</v>
      </c>
      <c r="C171" s="8">
        <v>46.1</v>
      </c>
      <c r="D171" s="8">
        <v>221</v>
      </c>
      <c r="E171" s="8">
        <v>6.5799999999999997E-2</v>
      </c>
      <c r="F171" s="8">
        <v>1000000</v>
      </c>
      <c r="G171" s="9">
        <v>3.0299999999999998E-6</v>
      </c>
      <c r="H171" s="8">
        <v>0.14799999999999999</v>
      </c>
      <c r="I171" s="9">
        <v>1.7099999999999999E-5</v>
      </c>
      <c r="J171" s="8">
        <v>8.9099999999999999E-2</v>
      </c>
      <c r="K171" s="8">
        <v>9.2899999999999996E-2</v>
      </c>
      <c r="L171" s="8">
        <v>9.2900000000000003E-4</v>
      </c>
      <c r="M171" s="8">
        <v>6.9699999999999996E-3</v>
      </c>
      <c r="N171" s="8">
        <v>3.7200000000000002E-3</v>
      </c>
      <c r="O171" s="8">
        <v>10.5</v>
      </c>
      <c r="P171" s="8">
        <v>1</v>
      </c>
      <c r="Q171" s="8">
        <v>6.39</v>
      </c>
      <c r="R171" s="8">
        <v>6880</v>
      </c>
      <c r="S171" s="8">
        <v>157</v>
      </c>
      <c r="T171" s="8">
        <v>157</v>
      </c>
      <c r="U171" s="8">
        <v>1.4E-3</v>
      </c>
      <c r="V171" s="8">
        <v>1.4E-3</v>
      </c>
      <c r="W171" s="9">
        <v>1.9099999999999999E-6</v>
      </c>
      <c r="X171" s="9">
        <v>9.0699999999999996E-6</v>
      </c>
      <c r="Y171" s="9">
        <v>1.1E-5</v>
      </c>
      <c r="Z171" s="8" t="s">
        <v>44</v>
      </c>
      <c r="AA171" s="8" t="s">
        <v>44</v>
      </c>
      <c r="AB171" s="8">
        <v>3.16</v>
      </c>
      <c r="AC171" s="8" t="s">
        <v>45</v>
      </c>
      <c r="AD171" s="8" t="s">
        <v>46</v>
      </c>
      <c r="AE171" s="9">
        <v>1E-3</v>
      </c>
      <c r="AF171" s="8" t="s">
        <v>644</v>
      </c>
      <c r="AG171" s="8">
        <v>3</v>
      </c>
      <c r="AH171" s="8" t="s">
        <v>644</v>
      </c>
      <c r="AI171" s="8" t="s">
        <v>57</v>
      </c>
      <c r="AJ171" s="9">
        <v>1E-3</v>
      </c>
      <c r="AK171" s="8" t="s">
        <v>49</v>
      </c>
      <c r="AL171" s="8" t="s">
        <v>50</v>
      </c>
      <c r="AM171" s="8" t="s">
        <v>51</v>
      </c>
      <c r="AN171" s="8">
        <v>157</v>
      </c>
      <c r="AO171" s="9">
        <v>3.8199999999999998E-6</v>
      </c>
      <c r="AP171" s="9">
        <v>6.6800000000000004E-6</v>
      </c>
      <c r="AQ171" s="8" t="s">
        <v>52</v>
      </c>
      <c r="AR171" s="8" t="s">
        <v>53</v>
      </c>
      <c r="AS171" s="8" t="s">
        <v>54</v>
      </c>
    </row>
    <row r="172" spans="1:45" x14ac:dyDescent="0.25">
      <c r="A172" s="10" t="s">
        <v>663</v>
      </c>
      <c r="B172" s="10" t="s">
        <v>345</v>
      </c>
      <c r="C172" s="8">
        <v>142</v>
      </c>
      <c r="D172" s="8">
        <v>207</v>
      </c>
      <c r="E172" s="8">
        <v>0.53300000000000003</v>
      </c>
      <c r="F172" s="8">
        <v>13800</v>
      </c>
      <c r="G172" s="8">
        <v>5.4799999999999996E-3</v>
      </c>
      <c r="H172" s="8">
        <v>6.9800000000000001E-2</v>
      </c>
      <c r="I172" s="9">
        <v>8.0900000000000005E-6</v>
      </c>
      <c r="J172" s="8">
        <v>32.4</v>
      </c>
      <c r="K172" s="8">
        <v>18.8</v>
      </c>
      <c r="L172" s="8">
        <v>0.188</v>
      </c>
      <c r="M172" s="8">
        <v>1.41</v>
      </c>
      <c r="N172" s="8">
        <v>0.752</v>
      </c>
      <c r="O172" s="8">
        <v>9.0299999999999994</v>
      </c>
      <c r="P172" s="8">
        <v>1</v>
      </c>
      <c r="Q172" s="8">
        <v>9.69</v>
      </c>
      <c r="R172" s="8">
        <v>51.5</v>
      </c>
      <c r="S172" s="8">
        <v>5.19</v>
      </c>
      <c r="T172" s="8">
        <v>5.19</v>
      </c>
      <c r="U172" s="8">
        <v>4.1399999999999998E-4</v>
      </c>
      <c r="V172" s="8">
        <v>4.1399999999999998E-4</v>
      </c>
      <c r="W172" s="8">
        <v>2.7E-4</v>
      </c>
      <c r="X172" s="8">
        <v>1.2800000000000001E-3</v>
      </c>
      <c r="Y172" s="8">
        <v>1.5499999999999999E-3</v>
      </c>
      <c r="Z172" s="8" t="s">
        <v>44</v>
      </c>
      <c r="AA172" s="8" t="s">
        <v>44</v>
      </c>
      <c r="AB172" s="8">
        <v>2.9</v>
      </c>
      <c r="AC172" s="8" t="s">
        <v>45</v>
      </c>
      <c r="AD172" s="8" t="s">
        <v>46</v>
      </c>
      <c r="AE172" s="8" t="s">
        <v>56</v>
      </c>
      <c r="AG172" s="8">
        <v>2.9</v>
      </c>
      <c r="AH172" s="8" t="s">
        <v>670</v>
      </c>
      <c r="AI172" s="8" t="s">
        <v>57</v>
      </c>
      <c r="AJ172" s="8" t="s">
        <v>48</v>
      </c>
      <c r="AK172" s="8" t="s">
        <v>49</v>
      </c>
      <c r="AL172" s="8" t="s">
        <v>50</v>
      </c>
      <c r="AM172" s="8" t="s">
        <v>51</v>
      </c>
      <c r="AN172" s="8">
        <v>5.19</v>
      </c>
      <c r="AO172" s="8">
        <v>5.4100000000000003E-4</v>
      </c>
      <c r="AP172" s="8">
        <v>9.4600000000000001E-4</v>
      </c>
      <c r="AQ172" s="8" t="s">
        <v>52</v>
      </c>
      <c r="AR172" s="8" t="s">
        <v>53</v>
      </c>
      <c r="AS172" s="8" t="s">
        <v>54</v>
      </c>
    </row>
    <row r="173" spans="1:45" x14ac:dyDescent="0.25">
      <c r="A173" s="8" t="s">
        <v>698</v>
      </c>
      <c r="B173" s="8" t="s">
        <v>346</v>
      </c>
      <c r="C173" s="8">
        <v>100</v>
      </c>
      <c r="D173" s="8">
        <v>189</v>
      </c>
      <c r="E173" s="8">
        <v>2.63E-2</v>
      </c>
      <c r="F173" s="8">
        <v>19000</v>
      </c>
      <c r="G173" s="8">
        <v>1.3999999999999999E-4</v>
      </c>
      <c r="H173" s="8">
        <v>7.4999999999999997E-2</v>
      </c>
      <c r="I173" s="9">
        <v>7.7999999999999999E-6</v>
      </c>
      <c r="J173" s="8">
        <v>15.9</v>
      </c>
      <c r="K173" s="8">
        <v>15.1</v>
      </c>
      <c r="L173" s="8">
        <v>2.2000000000000002</v>
      </c>
      <c r="M173" s="8">
        <v>1.1299999999999999</v>
      </c>
      <c r="N173" s="8">
        <v>0.61</v>
      </c>
      <c r="O173" s="8">
        <v>36.1</v>
      </c>
      <c r="P173" s="8">
        <v>1</v>
      </c>
      <c r="Q173" s="8">
        <v>8.26</v>
      </c>
      <c r="R173" s="8">
        <v>3.75</v>
      </c>
      <c r="S173" s="8">
        <v>7.84</v>
      </c>
      <c r="T173" s="8">
        <v>7.84</v>
      </c>
      <c r="U173" s="8">
        <v>7.5700000000000003E-3</v>
      </c>
      <c r="V173" s="8">
        <v>7.5700000000000003E-3</v>
      </c>
      <c r="W173" s="8">
        <v>1.5300000000000001E-4</v>
      </c>
      <c r="X173" s="8">
        <v>7.2499999999999995E-4</v>
      </c>
      <c r="Y173" s="8">
        <v>8.7699999999999996E-4</v>
      </c>
      <c r="Z173" s="8">
        <v>1.2300000000000001E-4</v>
      </c>
      <c r="AA173" s="8" t="s">
        <v>44</v>
      </c>
      <c r="AB173" s="8">
        <v>1.67</v>
      </c>
      <c r="AC173" s="8" t="s">
        <v>45</v>
      </c>
      <c r="AD173" s="8" t="s">
        <v>46</v>
      </c>
      <c r="AF173" s="8" t="s">
        <v>646</v>
      </c>
      <c r="AG173" s="8" t="s">
        <v>47</v>
      </c>
      <c r="AI173" s="8">
        <v>3</v>
      </c>
      <c r="AJ173" s="8" t="s">
        <v>48</v>
      </c>
      <c r="AK173" s="8" t="s">
        <v>49</v>
      </c>
      <c r="AL173" s="8" t="s">
        <v>50</v>
      </c>
      <c r="AM173" s="8" t="s">
        <v>51</v>
      </c>
      <c r="AN173" s="8">
        <v>7.84</v>
      </c>
      <c r="AO173" s="8">
        <v>3.0499999999999999E-4</v>
      </c>
      <c r="AP173" s="8">
        <v>5.3399999999999997E-4</v>
      </c>
      <c r="AQ173" s="8" t="s">
        <v>52</v>
      </c>
      <c r="AR173" s="8" t="s">
        <v>53</v>
      </c>
      <c r="AS173" s="8" t="s">
        <v>54</v>
      </c>
    </row>
    <row r="174" spans="1:45" x14ac:dyDescent="0.25">
      <c r="A174" s="10" t="s">
        <v>699</v>
      </c>
      <c r="B174" s="10" t="s">
        <v>478</v>
      </c>
      <c r="C174" s="8">
        <v>57.05</v>
      </c>
      <c r="D174" s="8">
        <v>77.8</v>
      </c>
      <c r="E174" s="8">
        <v>0.57640000000000002</v>
      </c>
      <c r="F174" s="9">
        <v>29000</v>
      </c>
      <c r="G174" s="9">
        <v>9.2599999999999996E-4</v>
      </c>
      <c r="H174" s="8">
        <v>0.11700000000000001</v>
      </c>
      <c r="I174" s="9">
        <v>1.31E-5</v>
      </c>
      <c r="J174" s="8">
        <v>6.17</v>
      </c>
      <c r="K174" s="8">
        <v>39.6</v>
      </c>
      <c r="M174" s="8">
        <f>(0.075*K174)</f>
        <v>2.97</v>
      </c>
      <c r="N174" s="8">
        <f>(0.04*K174)</f>
        <v>1.5840000000000001</v>
      </c>
      <c r="P174" s="8">
        <v>1</v>
      </c>
      <c r="U174" s="8">
        <v>13.4</v>
      </c>
      <c r="V174" s="8">
        <v>13.4</v>
      </c>
      <c r="W174" s="9">
        <v>4.8699999999999999E-8</v>
      </c>
      <c r="X174" s="9">
        <v>1.54E-7</v>
      </c>
      <c r="AB174" s="8">
        <v>1.3540000000000001</v>
      </c>
      <c r="AC174" s="8">
        <v>1.3540000000000001</v>
      </c>
      <c r="AI174" s="8">
        <v>1</v>
      </c>
      <c r="AS174" s="8" t="s">
        <v>54</v>
      </c>
    </row>
    <row r="175" spans="1:45" x14ac:dyDescent="0.25">
      <c r="A175" s="8" t="s">
        <v>700</v>
      </c>
      <c r="B175" s="8" t="s">
        <v>347</v>
      </c>
      <c r="C175" s="8">
        <v>216</v>
      </c>
      <c r="D175" s="8" t="s">
        <v>60</v>
      </c>
      <c r="E175" s="8" t="s">
        <v>57</v>
      </c>
      <c r="F175" s="8" t="s">
        <v>46</v>
      </c>
      <c r="G175" s="9">
        <v>4.7E-7</v>
      </c>
      <c r="H175" s="8">
        <v>5.2777777999999997E-2</v>
      </c>
      <c r="I175" s="9">
        <v>6.1099999999999999E-6</v>
      </c>
      <c r="J175" s="8" t="s">
        <v>57</v>
      </c>
      <c r="K175" s="8" t="s">
        <v>44</v>
      </c>
      <c r="L175" s="8">
        <v>7000</v>
      </c>
      <c r="M175" s="8">
        <v>100000</v>
      </c>
      <c r="N175" s="8">
        <v>3000</v>
      </c>
      <c r="O175" s="8" t="s">
        <v>57</v>
      </c>
      <c r="P175" s="8" t="s">
        <v>44</v>
      </c>
      <c r="Q175" s="8" t="s">
        <v>57</v>
      </c>
      <c r="R175" s="8">
        <v>9.9000000000000005E-2</v>
      </c>
      <c r="S175" s="8">
        <v>2.9399999999999999E-2</v>
      </c>
      <c r="T175" s="8" t="s">
        <v>56</v>
      </c>
      <c r="U175" s="8" t="s">
        <v>57</v>
      </c>
      <c r="V175" s="8" t="s">
        <v>57</v>
      </c>
      <c r="W175" s="8">
        <v>3.3799999999999998E-4</v>
      </c>
      <c r="X175" s="8">
        <v>7.7999999999999999E-4</v>
      </c>
      <c r="Y175" s="9">
        <v>5.0699999999999997E-6</v>
      </c>
      <c r="Z175" s="8">
        <v>3.5750000000000001E-3</v>
      </c>
      <c r="AA175" s="8" t="s">
        <v>44</v>
      </c>
      <c r="AB175" s="8" t="s">
        <v>63</v>
      </c>
      <c r="AC175" s="8">
        <v>6800000</v>
      </c>
      <c r="AD175" s="8" t="s">
        <v>46</v>
      </c>
      <c r="AE175" s="8">
        <v>1E-4</v>
      </c>
      <c r="AF175" s="8" t="s">
        <v>639</v>
      </c>
      <c r="AG175" s="8" t="s">
        <v>47</v>
      </c>
      <c r="AI175" s="8">
        <v>3.5E-4</v>
      </c>
      <c r="AJ175" s="8" t="s">
        <v>48</v>
      </c>
      <c r="AK175" s="8" t="s">
        <v>49</v>
      </c>
      <c r="AL175" s="8" t="s">
        <v>50</v>
      </c>
      <c r="AM175" s="8" t="s">
        <v>51</v>
      </c>
      <c r="AN175" s="8">
        <v>1.9E-2</v>
      </c>
      <c r="AO175" s="8">
        <v>3.5750000000000001E-3</v>
      </c>
      <c r="AP175" s="8">
        <v>3.5750000000000001E-3</v>
      </c>
      <c r="AQ175" s="8" t="s">
        <v>52</v>
      </c>
      <c r="AR175" s="8" t="s">
        <v>53</v>
      </c>
      <c r="AS175" s="8" t="s">
        <v>54</v>
      </c>
    </row>
    <row r="176" spans="1:45" x14ac:dyDescent="0.25">
      <c r="A176" s="8" t="s">
        <v>618</v>
      </c>
      <c r="B176" s="8" t="s">
        <v>348</v>
      </c>
      <c r="C176" s="8">
        <v>100</v>
      </c>
      <c r="D176" s="8">
        <v>225</v>
      </c>
      <c r="E176" s="8">
        <v>5.0700000000000002E-2</v>
      </c>
      <c r="F176" s="8">
        <v>15000</v>
      </c>
      <c r="G176" s="8">
        <v>3.3799999999999998E-4</v>
      </c>
      <c r="H176" s="8">
        <v>8.8099999999999998E-2</v>
      </c>
      <c r="I176" s="9">
        <v>1.0200000000000001E-5</v>
      </c>
      <c r="J176" s="8">
        <v>24</v>
      </c>
      <c r="K176" s="8">
        <v>22.7</v>
      </c>
      <c r="L176" s="8">
        <v>0.22700000000000001</v>
      </c>
      <c r="M176" s="8">
        <v>1.71</v>
      </c>
      <c r="N176" s="8">
        <v>0.91</v>
      </c>
      <c r="O176" s="8">
        <v>8.43</v>
      </c>
      <c r="P176" s="8">
        <v>1</v>
      </c>
      <c r="Q176" s="8">
        <v>8.99</v>
      </c>
      <c r="R176" s="8">
        <v>39.5</v>
      </c>
      <c r="S176" s="8">
        <v>6.17</v>
      </c>
      <c r="T176" s="8">
        <v>6.17</v>
      </c>
      <c r="U176" s="8">
        <v>4.8799999999999998E-3</v>
      </c>
      <c r="V176" s="8">
        <v>4.8799999999999998E-3</v>
      </c>
      <c r="W176" s="8">
        <v>2.14E-4</v>
      </c>
      <c r="X176" s="8">
        <v>1.0200000000000001E-3</v>
      </c>
      <c r="Y176" s="8">
        <v>1.23E-3</v>
      </c>
      <c r="Z176" s="8" t="s">
        <v>44</v>
      </c>
      <c r="AA176" s="8" t="s">
        <v>44</v>
      </c>
      <c r="AB176" s="8">
        <v>2.31</v>
      </c>
      <c r="AC176" s="8" t="s">
        <v>45</v>
      </c>
      <c r="AD176" s="8" t="s">
        <v>46</v>
      </c>
      <c r="AE176" s="8">
        <v>1.4</v>
      </c>
      <c r="AF176" s="8" t="s">
        <v>639</v>
      </c>
      <c r="AG176" s="8" t="s">
        <v>47</v>
      </c>
      <c r="AI176" s="8">
        <v>0.7</v>
      </c>
      <c r="AJ176" s="8" t="s">
        <v>48</v>
      </c>
      <c r="AK176" s="8" t="s">
        <v>49</v>
      </c>
      <c r="AL176" s="8" t="s">
        <v>50</v>
      </c>
      <c r="AM176" s="8" t="s">
        <v>51</v>
      </c>
      <c r="AN176" s="8">
        <v>6.17</v>
      </c>
      <c r="AO176" s="8">
        <v>4.28E-4</v>
      </c>
      <c r="AP176" s="8">
        <v>7.4899999999999999E-4</v>
      </c>
      <c r="AQ176" s="8" t="s">
        <v>52</v>
      </c>
      <c r="AR176" s="8" t="s">
        <v>53</v>
      </c>
      <c r="AS176" s="8" t="s">
        <v>54</v>
      </c>
    </row>
    <row r="177" spans="1:45" x14ac:dyDescent="0.25">
      <c r="A177" s="8" t="s">
        <v>619</v>
      </c>
      <c r="B177" s="8" t="s">
        <v>349</v>
      </c>
      <c r="C177" s="8">
        <v>88.2</v>
      </c>
      <c r="D177" s="8">
        <v>164</v>
      </c>
      <c r="E177" s="8">
        <v>0.32900000000000001</v>
      </c>
      <c r="F177" s="8">
        <v>51000</v>
      </c>
      <c r="G177" s="8">
        <v>5.6899999999999995E-4</v>
      </c>
      <c r="H177" s="8">
        <v>9.5899999999999999E-2</v>
      </c>
      <c r="I177" s="9">
        <v>1.11E-5</v>
      </c>
      <c r="J177" s="8">
        <v>8.7100000000000009</v>
      </c>
      <c r="K177" s="8">
        <v>8.4</v>
      </c>
      <c r="L177" s="8">
        <v>8.4000000000000005E-2</v>
      </c>
      <c r="M177" s="8">
        <v>0.63</v>
      </c>
      <c r="N177" s="8">
        <v>0.33600000000000002</v>
      </c>
      <c r="O177" s="8">
        <v>8.43</v>
      </c>
      <c r="P177" s="8">
        <v>1</v>
      </c>
      <c r="Q177" s="8">
        <v>7.54</v>
      </c>
      <c r="R177" s="8">
        <v>89.7</v>
      </c>
      <c r="S177" s="8">
        <v>11.1</v>
      </c>
      <c r="T177" s="8">
        <v>11.1</v>
      </c>
      <c r="U177" s="8">
        <v>9.859999999999999E-4</v>
      </c>
      <c r="V177" s="8">
        <v>9.859999999999999E-4</v>
      </c>
      <c r="W177" s="9">
        <v>9.1299999999999997E-5</v>
      </c>
      <c r="X177" s="8">
        <v>4.3399999999999998E-4</v>
      </c>
      <c r="Y177" s="8">
        <v>5.2499999999999997E-4</v>
      </c>
      <c r="Z177" s="8" t="s">
        <v>44</v>
      </c>
      <c r="AA177" s="8" t="s">
        <v>44</v>
      </c>
      <c r="AB177" s="8">
        <v>3.16</v>
      </c>
      <c r="AC177" s="8" t="s">
        <v>45</v>
      </c>
      <c r="AD177" s="8" t="s">
        <v>46</v>
      </c>
      <c r="AE177" s="8">
        <v>0.14000000000000001</v>
      </c>
      <c r="AF177" s="8" t="s">
        <v>645</v>
      </c>
      <c r="AG177" s="9">
        <v>1.8E-3</v>
      </c>
      <c r="AH177" s="8" t="s">
        <v>640</v>
      </c>
      <c r="AI177" s="8">
        <v>3</v>
      </c>
      <c r="AJ177" s="9">
        <v>2.6E-7</v>
      </c>
      <c r="AK177" s="8" t="s">
        <v>49</v>
      </c>
      <c r="AL177" s="8" t="s">
        <v>50</v>
      </c>
      <c r="AM177" s="8" t="s">
        <v>51</v>
      </c>
      <c r="AN177" s="8">
        <v>11.1</v>
      </c>
      <c r="AO177" s="8">
        <v>1.83E-4</v>
      </c>
      <c r="AP177" s="8">
        <v>3.19E-4</v>
      </c>
      <c r="AQ177" s="8" t="s">
        <v>52</v>
      </c>
      <c r="AR177" s="8" t="s">
        <v>53</v>
      </c>
      <c r="AS177" s="8" t="s">
        <v>54</v>
      </c>
    </row>
    <row r="178" spans="1:45" x14ac:dyDescent="0.25">
      <c r="A178" s="10" t="s">
        <v>701</v>
      </c>
      <c r="B178" s="10" t="s">
        <v>351</v>
      </c>
      <c r="C178" s="8">
        <v>256</v>
      </c>
      <c r="D178" s="8">
        <v>423</v>
      </c>
      <c r="E178" s="9">
        <v>2.6300000000000002E-10</v>
      </c>
      <c r="F178" s="8">
        <v>6.0999999999999999E-2</v>
      </c>
      <c r="G178" s="9">
        <v>1.11E-6</v>
      </c>
      <c r="H178" s="8">
        <v>4.7100000000000003E-2</v>
      </c>
      <c r="I178" s="9">
        <v>5.4500000000000003E-6</v>
      </c>
      <c r="J178" s="8">
        <v>631000</v>
      </c>
      <c r="K178" s="8">
        <v>503000</v>
      </c>
      <c r="L178" s="8">
        <v>5030</v>
      </c>
      <c r="M178" s="8">
        <v>37700</v>
      </c>
      <c r="N178" s="8">
        <v>20100</v>
      </c>
      <c r="O178" s="8">
        <v>0.7</v>
      </c>
      <c r="P178" s="8">
        <v>0.307</v>
      </c>
      <c r="Q178" s="8">
        <v>6790</v>
      </c>
      <c r="R178" s="8">
        <v>1.35</v>
      </c>
      <c r="S178" s="8">
        <v>1.72E-2</v>
      </c>
      <c r="T178" s="8">
        <v>1.72E-2</v>
      </c>
      <c r="U178" s="8">
        <v>76000</v>
      </c>
      <c r="V178" s="8">
        <v>76000</v>
      </c>
      <c r="W178" s="8">
        <v>8.2699999999999996E-3</v>
      </c>
      <c r="X178" s="8">
        <v>3.9300000000000002E-2</v>
      </c>
      <c r="Y178" s="8">
        <v>4.7600000000000003E-2</v>
      </c>
      <c r="Z178" s="8">
        <v>3.79</v>
      </c>
      <c r="AA178" s="8" t="s">
        <v>44</v>
      </c>
      <c r="AB178" s="8">
        <v>5830</v>
      </c>
      <c r="AC178" s="8">
        <v>133000</v>
      </c>
      <c r="AD178" s="8" t="s">
        <v>46</v>
      </c>
      <c r="AE178" s="8" t="s">
        <v>56</v>
      </c>
      <c r="AG178" s="8">
        <v>255</v>
      </c>
      <c r="AH178" s="8" t="s">
        <v>645</v>
      </c>
      <c r="AI178" s="8" t="s">
        <v>57</v>
      </c>
      <c r="AK178" s="8" t="s">
        <v>49</v>
      </c>
      <c r="AL178" s="8" t="s">
        <v>50</v>
      </c>
      <c r="AM178" s="8" t="s">
        <v>72</v>
      </c>
      <c r="AN178" s="8">
        <v>1.72E-2</v>
      </c>
      <c r="AO178" s="8">
        <v>1.6500000000000001E-2</v>
      </c>
      <c r="AP178" s="8">
        <v>2.9000000000000001E-2</v>
      </c>
      <c r="AQ178" s="8" t="s">
        <v>52</v>
      </c>
      <c r="AR178" s="8" t="s">
        <v>53</v>
      </c>
      <c r="AS178" s="8" t="s">
        <v>54</v>
      </c>
    </row>
    <row r="179" spans="1:45" x14ac:dyDescent="0.25">
      <c r="A179" s="10" t="s">
        <v>747</v>
      </c>
      <c r="B179" s="10" t="s">
        <v>748</v>
      </c>
      <c r="C179" s="8">
        <v>266</v>
      </c>
      <c r="D179" s="8">
        <v>453</v>
      </c>
      <c r="E179" s="9">
        <v>7.2399999999999998E-12</v>
      </c>
      <c r="F179" s="8">
        <v>1.6000000000000001E-3</v>
      </c>
      <c r="G179" s="9">
        <v>1.1000000000000001E-6</v>
      </c>
      <c r="H179" s="8">
        <v>4.2999999999999997E-2</v>
      </c>
      <c r="I179" s="9">
        <v>9.0000000000000002E-6</v>
      </c>
      <c r="J179" s="8">
        <v>1000000</v>
      </c>
      <c r="K179" s="8">
        <v>969000</v>
      </c>
      <c r="L179" s="8">
        <v>160000</v>
      </c>
      <c r="M179" s="8">
        <v>72700</v>
      </c>
      <c r="N179" s="8">
        <v>38800</v>
      </c>
      <c r="O179" s="8">
        <v>0.48</v>
      </c>
      <c r="P179" s="8">
        <v>0.29399999999999998</v>
      </c>
      <c r="Q179" s="8">
        <v>9680</v>
      </c>
      <c r="R179" s="8">
        <v>6.0499999999999998E-2</v>
      </c>
      <c r="S179" s="8">
        <v>1.32E-2</v>
      </c>
      <c r="T179" s="8">
        <v>1.32E-2</v>
      </c>
      <c r="U179" s="8">
        <v>125000</v>
      </c>
      <c r="V179" s="8">
        <v>125000</v>
      </c>
      <c r="W179" s="8">
        <v>7.9100000000000004E-3</v>
      </c>
      <c r="X179" s="8">
        <v>3.7600000000000001E-2</v>
      </c>
      <c r="Y179" s="8">
        <v>4.5499999999999999E-2</v>
      </c>
      <c r="Z179" s="8">
        <v>10.7</v>
      </c>
      <c r="AA179" s="8" t="s">
        <v>44</v>
      </c>
      <c r="AB179" s="8">
        <v>961.6</v>
      </c>
      <c r="AC179" s="8">
        <v>1165</v>
      </c>
      <c r="AD179" s="8" t="s">
        <v>46</v>
      </c>
      <c r="AE179" s="8" t="s">
        <v>56</v>
      </c>
      <c r="AG179" s="8">
        <v>1.7</v>
      </c>
      <c r="AH179" s="8" t="s">
        <v>645</v>
      </c>
      <c r="AI179" s="8" t="s">
        <v>57</v>
      </c>
      <c r="AJ179" s="9">
        <v>1.8E-3</v>
      </c>
      <c r="AK179" s="8" t="s">
        <v>49</v>
      </c>
      <c r="AL179" s="8" t="s">
        <v>50</v>
      </c>
      <c r="AM179" s="8" t="s">
        <v>72</v>
      </c>
      <c r="AN179" s="8">
        <v>1.32E-2</v>
      </c>
      <c r="AO179" s="8">
        <v>1.5800000000000002E-2</v>
      </c>
      <c r="AP179" s="8">
        <v>2.7699999999999999E-2</v>
      </c>
      <c r="AQ179" s="8" t="s">
        <v>52</v>
      </c>
      <c r="AR179" s="8" t="s">
        <v>53</v>
      </c>
      <c r="AS179" s="8" t="s">
        <v>54</v>
      </c>
    </row>
    <row r="180" spans="1:45" x14ac:dyDescent="0.25">
      <c r="A180" s="8" t="s">
        <v>562</v>
      </c>
      <c r="B180" s="8" t="s">
        <v>76</v>
      </c>
      <c r="C180" s="8">
        <v>268</v>
      </c>
      <c r="D180" s="8">
        <v>443</v>
      </c>
      <c r="E180" s="9">
        <v>1.9199999999999999E-11</v>
      </c>
      <c r="F180" s="8">
        <v>2.8999999999999998E-3</v>
      </c>
      <c r="G180" s="9">
        <v>1.7799999999999999E-6</v>
      </c>
      <c r="H180" s="8">
        <v>4.5699999999999998E-2</v>
      </c>
      <c r="I180" s="9">
        <v>5.2900000000000002E-6</v>
      </c>
      <c r="J180" s="8">
        <v>2630000</v>
      </c>
      <c r="K180" s="8">
        <v>2050000</v>
      </c>
      <c r="L180" s="8">
        <v>20500</v>
      </c>
      <c r="M180" s="8">
        <v>154000</v>
      </c>
      <c r="N180" s="8">
        <v>81900</v>
      </c>
      <c r="O180" s="8">
        <v>0.25</v>
      </c>
      <c r="P180" s="8">
        <v>3.1300000000000001E-2</v>
      </c>
      <c r="Q180" s="8">
        <v>20400</v>
      </c>
      <c r="R180" s="8">
        <v>0.996</v>
      </c>
      <c r="S180" s="8">
        <v>7.5399999999999998E-3</v>
      </c>
      <c r="T180" s="8">
        <v>7.5399999999999998E-3</v>
      </c>
      <c r="U180" s="8">
        <v>216000</v>
      </c>
      <c r="V180" s="8">
        <v>216000</v>
      </c>
      <c r="W180" s="8">
        <v>6.7799999999999996E-3</v>
      </c>
      <c r="X180" s="8">
        <v>3.2199999999999999E-2</v>
      </c>
      <c r="Y180" s="8">
        <v>3.9E-2</v>
      </c>
      <c r="Z180" s="8">
        <v>4.3600000000000003</v>
      </c>
      <c r="AA180" s="8" t="s">
        <v>44</v>
      </c>
      <c r="AB180" s="8">
        <v>17500</v>
      </c>
      <c r="AC180" s="8">
        <v>497000</v>
      </c>
      <c r="AD180" s="8" t="s">
        <v>46</v>
      </c>
      <c r="AE180" s="8" t="s">
        <v>56</v>
      </c>
      <c r="AG180" s="8">
        <v>22</v>
      </c>
      <c r="AH180" s="8" t="s">
        <v>645</v>
      </c>
      <c r="AI180" s="8" t="s">
        <v>57</v>
      </c>
      <c r="AJ180" s="9">
        <v>0.01</v>
      </c>
      <c r="AK180" s="8" t="s">
        <v>49</v>
      </c>
      <c r="AL180" s="8" t="s">
        <v>50</v>
      </c>
      <c r="AM180" s="8" t="s">
        <v>72</v>
      </c>
      <c r="AN180" s="8">
        <v>7.5399999999999998E-3</v>
      </c>
      <c r="AO180" s="8">
        <v>1.3599999999999999E-2</v>
      </c>
      <c r="AP180" s="8">
        <v>2.3699999999999999E-2</v>
      </c>
      <c r="AQ180" s="8" t="s">
        <v>52</v>
      </c>
      <c r="AR180" s="8" t="s">
        <v>53</v>
      </c>
      <c r="AS180" s="8" t="s">
        <v>54</v>
      </c>
    </row>
    <row r="181" spans="1:45" x14ac:dyDescent="0.25">
      <c r="A181" s="8" t="s">
        <v>702</v>
      </c>
      <c r="B181" s="8" t="s">
        <v>352</v>
      </c>
      <c r="C181" s="8">
        <v>84.9</v>
      </c>
      <c r="D181" s="8">
        <v>178</v>
      </c>
      <c r="E181" s="8">
        <v>0.56599999999999995</v>
      </c>
      <c r="F181" s="8">
        <v>13000</v>
      </c>
      <c r="G181" s="8">
        <v>2.2000000000000001E-3</v>
      </c>
      <c r="H181" s="8">
        <v>0.10100000000000001</v>
      </c>
      <c r="I181" s="9">
        <v>1.17E-5</v>
      </c>
      <c r="J181" s="8">
        <v>20</v>
      </c>
      <c r="K181" s="8">
        <v>10</v>
      </c>
      <c r="L181" s="8">
        <v>2.4E-2</v>
      </c>
      <c r="M181" s="8">
        <v>0.75</v>
      </c>
      <c r="N181" s="8">
        <v>0.4</v>
      </c>
      <c r="O181" s="8">
        <v>9.0299999999999994</v>
      </c>
      <c r="P181" s="8">
        <v>1</v>
      </c>
      <c r="Q181" s="8">
        <v>8.64</v>
      </c>
      <c r="R181" s="8">
        <v>359</v>
      </c>
      <c r="S181" s="8">
        <v>6.86</v>
      </c>
      <c r="T181" s="8">
        <v>6.86</v>
      </c>
      <c r="U181" s="8">
        <v>6.1600000000000001E-4</v>
      </c>
      <c r="V181" s="8">
        <v>6.1600000000000001E-4</v>
      </c>
      <c r="W181" s="8">
        <v>1.84E-4</v>
      </c>
      <c r="X181" s="8">
        <v>8.7600000000000004E-4</v>
      </c>
      <c r="Y181" s="8">
        <v>1.06E-3</v>
      </c>
      <c r="Z181" s="8">
        <v>1.4300000000000001E-4</v>
      </c>
      <c r="AA181" s="8" t="s">
        <v>44</v>
      </c>
      <c r="AB181" s="8">
        <v>2</v>
      </c>
      <c r="AC181" s="8" t="s">
        <v>45</v>
      </c>
      <c r="AD181" s="8" t="s">
        <v>46</v>
      </c>
      <c r="AE181" s="8">
        <v>6.0000000000000001E-3</v>
      </c>
      <c r="AF181" s="8" t="s">
        <v>639</v>
      </c>
      <c r="AG181" s="8">
        <v>2E-3</v>
      </c>
      <c r="AH181" s="8" t="s">
        <v>639</v>
      </c>
      <c r="AI181" s="8">
        <v>0.6</v>
      </c>
      <c r="AJ181" s="9">
        <v>4.7E-7</v>
      </c>
      <c r="AK181" s="8" t="s">
        <v>49</v>
      </c>
      <c r="AL181" s="8" t="s">
        <v>50</v>
      </c>
      <c r="AM181" s="8" t="s">
        <v>51</v>
      </c>
      <c r="AN181" s="8">
        <v>6.86</v>
      </c>
      <c r="AO181" s="8">
        <v>3.6900000000000002E-4</v>
      </c>
      <c r="AP181" s="8">
        <v>6.4499999999999996E-4</v>
      </c>
      <c r="AQ181" s="8" t="s">
        <v>52</v>
      </c>
      <c r="AR181" s="8" t="s">
        <v>53</v>
      </c>
      <c r="AS181" s="8" t="s">
        <v>54</v>
      </c>
    </row>
    <row r="182" spans="1:45" x14ac:dyDescent="0.25">
      <c r="A182" s="8" t="s">
        <v>564</v>
      </c>
      <c r="B182" s="8" t="s">
        <v>77</v>
      </c>
      <c r="C182" s="8">
        <v>198.268</v>
      </c>
      <c r="D182" s="8">
        <v>365.65</v>
      </c>
      <c r="E182" s="8">
        <v>3.9085200000000004E-3</v>
      </c>
      <c r="F182" s="8">
        <v>1000</v>
      </c>
      <c r="G182" s="8">
        <v>7.7499999999999997E-4</v>
      </c>
      <c r="H182" s="8">
        <v>5.5899999999999998E-2</v>
      </c>
      <c r="I182" s="9">
        <v>6.4699999999999999E-6</v>
      </c>
      <c r="J182" s="8">
        <v>38.904514499999998</v>
      </c>
      <c r="K182" s="8">
        <v>36.580530549999999</v>
      </c>
      <c r="L182" s="8">
        <v>0.36580530500000003</v>
      </c>
      <c r="M182" s="8">
        <v>2.7435397909999999</v>
      </c>
      <c r="N182" s="8">
        <v>1.463221222</v>
      </c>
      <c r="O182" s="8">
        <v>3.3725999999999998</v>
      </c>
      <c r="P182" s="8">
        <v>0.99999984799999997</v>
      </c>
      <c r="Q182" s="8">
        <v>10.201339949999999</v>
      </c>
      <c r="R182" s="8">
        <v>27.88734827</v>
      </c>
      <c r="S182" s="8">
        <v>4.666378903</v>
      </c>
      <c r="T182" s="8">
        <v>4.666378903</v>
      </c>
      <c r="U182" s="8">
        <v>3.5603330000000002E-3</v>
      </c>
      <c r="V182" s="8">
        <v>3.5603330000000002E-3</v>
      </c>
      <c r="W182" s="8">
        <v>3.1100000000000002E-4</v>
      </c>
      <c r="X182" s="8">
        <v>1.48E-3</v>
      </c>
      <c r="Y182" s="8">
        <v>1.7899999999999999E-3</v>
      </c>
      <c r="Z182" s="8" t="s">
        <v>44</v>
      </c>
      <c r="AA182" s="8" t="s">
        <v>44</v>
      </c>
      <c r="AB182" s="8">
        <v>3.3442597350000001</v>
      </c>
      <c r="AC182" s="8" t="s">
        <v>45</v>
      </c>
      <c r="AD182" s="8" t="s">
        <v>46</v>
      </c>
      <c r="AE182" s="8">
        <v>0.08</v>
      </c>
      <c r="AF182" s="8" t="s">
        <v>653</v>
      </c>
      <c r="AG182" s="8">
        <v>1.6</v>
      </c>
      <c r="AH182" s="8" t="s">
        <v>640</v>
      </c>
      <c r="AI182" s="8">
        <v>0.02</v>
      </c>
      <c r="AJ182" s="8">
        <v>4.6000000000000001E-4</v>
      </c>
      <c r="AK182" s="8" t="s">
        <v>49</v>
      </c>
      <c r="AL182" s="8" t="s">
        <v>50</v>
      </c>
      <c r="AM182" s="8" t="s">
        <v>51</v>
      </c>
      <c r="AN182" s="8">
        <v>4.666378903</v>
      </c>
      <c r="AO182" s="8">
        <v>6.2200000000000005E-4</v>
      </c>
      <c r="AP182" s="8">
        <v>1.09E-3</v>
      </c>
      <c r="AQ182" s="8" t="s">
        <v>52</v>
      </c>
      <c r="AR182" s="8" t="s">
        <v>53</v>
      </c>
      <c r="AS182" s="8" t="s">
        <v>54</v>
      </c>
    </row>
    <row r="183" spans="1:45" x14ac:dyDescent="0.25">
      <c r="A183" s="8" t="s">
        <v>565</v>
      </c>
      <c r="B183" s="8" t="s">
        <v>78</v>
      </c>
      <c r="C183" s="8">
        <v>250</v>
      </c>
      <c r="D183" s="8">
        <v>311</v>
      </c>
      <c r="E183" s="9">
        <v>6.58E-9</v>
      </c>
      <c r="F183" s="8">
        <v>0.82899999999999996</v>
      </c>
      <c r="G183" s="9">
        <v>1.99E-6</v>
      </c>
      <c r="H183" s="8">
        <v>4.7800000000000002E-2</v>
      </c>
      <c r="I183" s="9">
        <v>5.5400000000000003E-6</v>
      </c>
      <c r="J183" s="8">
        <v>166000</v>
      </c>
      <c r="K183" s="8">
        <v>135000</v>
      </c>
      <c r="L183" s="8">
        <v>1350</v>
      </c>
      <c r="M183" s="8">
        <v>10200</v>
      </c>
      <c r="N183" s="8">
        <v>5420</v>
      </c>
      <c r="O183" s="8">
        <v>3.37</v>
      </c>
      <c r="P183" s="8">
        <v>0.91700000000000004</v>
      </c>
      <c r="Q183" s="8">
        <v>2430</v>
      </c>
      <c r="R183" s="8">
        <v>1.79</v>
      </c>
      <c r="S183" s="8">
        <v>3.7199999999999997E-2</v>
      </c>
      <c r="T183" s="8">
        <v>3.7199999999999997E-2</v>
      </c>
      <c r="U183" s="8">
        <v>10200</v>
      </c>
      <c r="V183" s="8">
        <v>10200</v>
      </c>
      <c r="W183" s="8">
        <v>8.5100000000000002E-3</v>
      </c>
      <c r="X183" s="8">
        <v>4.0399999999999998E-2</v>
      </c>
      <c r="Y183" s="8">
        <v>4.8899999999999999E-2</v>
      </c>
      <c r="Z183" s="8" t="s">
        <v>44</v>
      </c>
      <c r="AA183" s="8" t="s">
        <v>44</v>
      </c>
      <c r="AB183" s="8">
        <v>2090</v>
      </c>
      <c r="AC183" s="8">
        <v>10400</v>
      </c>
      <c r="AD183" s="8" t="s">
        <v>46</v>
      </c>
      <c r="AE183" s="8" t="s">
        <v>56</v>
      </c>
      <c r="AG183" s="8" t="s">
        <v>47</v>
      </c>
      <c r="AI183" s="8">
        <v>5.9999999999999995E-4</v>
      </c>
      <c r="AJ183" s="8" t="s">
        <v>48</v>
      </c>
      <c r="AK183" s="8" t="s">
        <v>49</v>
      </c>
      <c r="AL183" s="8" t="s">
        <v>50</v>
      </c>
      <c r="AM183" s="8" t="s">
        <v>51</v>
      </c>
      <c r="AN183" s="8">
        <v>82.7</v>
      </c>
      <c r="AO183" s="8">
        <v>1.7000000000000001E-2</v>
      </c>
      <c r="AP183" s="8">
        <v>2.98E-2</v>
      </c>
      <c r="AQ183" s="8" t="s">
        <v>52</v>
      </c>
      <c r="AR183" s="8" t="s">
        <v>53</v>
      </c>
      <c r="AS183" s="8" t="s">
        <v>54</v>
      </c>
    </row>
    <row r="184" spans="1:45" x14ac:dyDescent="0.25">
      <c r="A184" s="10" t="s">
        <v>620</v>
      </c>
      <c r="B184" s="10" t="s">
        <v>354</v>
      </c>
      <c r="C184" s="8">
        <v>142.19999999999999</v>
      </c>
      <c r="D184" s="8">
        <v>296.14999999999998</v>
      </c>
      <c r="E184" s="9">
        <v>4.8199999999999999E-5</v>
      </c>
      <c r="F184" s="8">
        <v>40.619999999999997</v>
      </c>
      <c r="G184" s="9">
        <v>5.8E-4</v>
      </c>
      <c r="H184" s="9">
        <v>5.28E-2</v>
      </c>
      <c r="I184" s="9">
        <v>7.8499999999999994E-6</v>
      </c>
      <c r="J184" s="9">
        <v>5250</v>
      </c>
      <c r="K184" s="8">
        <v>2528</v>
      </c>
      <c r="L184" s="8">
        <v>62.3</v>
      </c>
      <c r="M184" s="8">
        <f>(0.075*K184)</f>
        <v>189.6</v>
      </c>
      <c r="N184" s="8">
        <f>(0.04*K184)</f>
        <v>101.12</v>
      </c>
      <c r="O184" s="8">
        <v>8.4</v>
      </c>
      <c r="P184" s="8">
        <v>1</v>
      </c>
      <c r="Q184" s="8">
        <v>218</v>
      </c>
      <c r="R184" s="8">
        <v>3.5</v>
      </c>
      <c r="S184" s="8">
        <v>0.22800000000000001</v>
      </c>
      <c r="T184" s="8">
        <v>0.22800000000000001</v>
      </c>
      <c r="U184" s="8">
        <v>0.219</v>
      </c>
      <c r="V184" s="8">
        <v>0.219</v>
      </c>
      <c r="W184" s="9">
        <v>5.8600000000000001E-5</v>
      </c>
      <c r="X184" s="9">
        <v>1.85E-4</v>
      </c>
      <c r="Y184" s="8">
        <v>2.86E-2</v>
      </c>
      <c r="Z184" s="8">
        <v>1.8700000000000001E-2</v>
      </c>
      <c r="AA184" s="8" t="s">
        <v>44</v>
      </c>
      <c r="AB184" s="8">
        <v>498.2</v>
      </c>
      <c r="AC184" s="8">
        <v>500.2</v>
      </c>
      <c r="AD184" s="8" t="s">
        <v>46</v>
      </c>
      <c r="AE184" s="8" t="s">
        <v>56</v>
      </c>
      <c r="AG184" s="8" t="s">
        <v>47</v>
      </c>
      <c r="AI184" s="8" t="s">
        <v>57</v>
      </c>
      <c r="AJ184" s="8" t="s">
        <v>48</v>
      </c>
      <c r="AK184" s="8" t="s">
        <v>49</v>
      </c>
      <c r="AL184" s="8" t="s">
        <v>50</v>
      </c>
      <c r="AM184" s="8" t="s">
        <v>72</v>
      </c>
      <c r="AN184" s="8">
        <v>0.22800000000000001</v>
      </c>
      <c r="AO184" s="8">
        <v>9.9600000000000001E-3</v>
      </c>
      <c r="AP184" s="8">
        <v>1.7399999999999999E-2</v>
      </c>
      <c r="AQ184" s="8" t="s">
        <v>52</v>
      </c>
      <c r="AR184" s="8" t="s">
        <v>53</v>
      </c>
      <c r="AS184" s="8" t="s">
        <v>54</v>
      </c>
    </row>
    <row r="185" spans="1:45" x14ac:dyDescent="0.25">
      <c r="A185" s="8" t="s">
        <v>559</v>
      </c>
      <c r="B185" s="8" t="s">
        <v>71</v>
      </c>
      <c r="C185" s="8">
        <v>142</v>
      </c>
      <c r="D185" s="8">
        <v>307</v>
      </c>
      <c r="E185" s="9">
        <v>7.2399999999999998E-5</v>
      </c>
      <c r="F185" s="8">
        <v>24.6</v>
      </c>
      <c r="G185" s="8">
        <v>4.1899999999999999E-4</v>
      </c>
      <c r="H185" s="8">
        <v>6.9699999999999998E-2</v>
      </c>
      <c r="I185" s="9">
        <v>8.0800000000000006E-6</v>
      </c>
      <c r="J185" s="8">
        <v>7240</v>
      </c>
      <c r="K185" s="8">
        <v>6230</v>
      </c>
      <c r="L185" s="8">
        <v>62.3</v>
      </c>
      <c r="M185" s="8">
        <v>467</v>
      </c>
      <c r="N185" s="8">
        <v>249</v>
      </c>
      <c r="O185" s="8">
        <v>8.4</v>
      </c>
      <c r="P185" s="8">
        <v>1</v>
      </c>
      <c r="Q185" s="8">
        <v>218</v>
      </c>
      <c r="R185" s="8">
        <v>3.5</v>
      </c>
      <c r="S185" s="8">
        <v>0.22800000000000001</v>
      </c>
      <c r="T185" s="8">
        <v>0.22800000000000001</v>
      </c>
      <c r="U185" s="8">
        <v>1.72</v>
      </c>
      <c r="V185" s="8">
        <v>1.72</v>
      </c>
      <c r="W185" s="8">
        <v>4.9800000000000001E-3</v>
      </c>
      <c r="X185" s="8">
        <v>2.3699999999999999E-2</v>
      </c>
      <c r="Y185" s="8">
        <v>2.86E-2</v>
      </c>
      <c r="Z185" s="8">
        <v>1.8700000000000001E-2</v>
      </c>
      <c r="AA185" s="8" t="s">
        <v>44</v>
      </c>
      <c r="AB185" s="8">
        <v>187</v>
      </c>
      <c r="AC185" s="8">
        <v>500.2</v>
      </c>
      <c r="AD185" s="8" t="s">
        <v>46</v>
      </c>
      <c r="AE185" s="8">
        <v>4.0000000000000001E-3</v>
      </c>
      <c r="AF185" s="8" t="s">
        <v>639</v>
      </c>
      <c r="AG185" s="8" t="s">
        <v>47</v>
      </c>
      <c r="AI185" s="8" t="s">
        <v>57</v>
      </c>
      <c r="AJ185" s="8" t="s">
        <v>48</v>
      </c>
      <c r="AK185" s="8" t="s">
        <v>49</v>
      </c>
      <c r="AL185" s="8" t="s">
        <v>50</v>
      </c>
      <c r="AM185" s="8" t="s">
        <v>72</v>
      </c>
      <c r="AN185" s="8">
        <v>0.22800000000000001</v>
      </c>
      <c r="AO185" s="8">
        <v>9.9600000000000001E-3</v>
      </c>
      <c r="AP185" s="8">
        <v>1.7399999999999999E-2</v>
      </c>
      <c r="AQ185" s="8" t="s">
        <v>52</v>
      </c>
      <c r="AR185" s="8" t="s">
        <v>53</v>
      </c>
      <c r="AS185" s="8" t="s">
        <v>54</v>
      </c>
    </row>
    <row r="186" spans="1:45" x14ac:dyDescent="0.25">
      <c r="A186" s="8" t="s">
        <v>745</v>
      </c>
      <c r="B186" s="8" t="s">
        <v>746</v>
      </c>
      <c r="C186" s="8">
        <v>216.28</v>
      </c>
      <c r="D186" s="8">
        <v>406</v>
      </c>
      <c r="E186" s="9">
        <v>2.2999999999999999E-9</v>
      </c>
      <c r="F186" s="8">
        <v>5.8000000000000003E-2</v>
      </c>
      <c r="G186" s="9">
        <v>9.1600000000000004E-6</v>
      </c>
      <c r="I186" s="9"/>
      <c r="J186" s="9">
        <v>300000</v>
      </c>
      <c r="K186" s="9">
        <v>89000</v>
      </c>
      <c r="P186" s="8">
        <f>(1-0.0374)</f>
        <v>0.96260000000000001</v>
      </c>
      <c r="AB186" s="8">
        <v>502.6</v>
      </c>
      <c r="AC186" s="8">
        <v>515.9</v>
      </c>
    </row>
    <row r="187" spans="1:45" x14ac:dyDescent="0.25">
      <c r="A187" s="10" t="s">
        <v>560</v>
      </c>
      <c r="B187" s="10" t="s">
        <v>73</v>
      </c>
      <c r="C187" s="8">
        <v>326</v>
      </c>
      <c r="D187" s="8">
        <v>283</v>
      </c>
      <c r="E187" s="9">
        <v>1.01E-7</v>
      </c>
      <c r="F187" s="8">
        <v>4.2999999999999997E-2</v>
      </c>
      <c r="G187" s="8">
        <v>2.8299999999999999E-4</v>
      </c>
      <c r="H187" s="8">
        <v>1E-3</v>
      </c>
      <c r="I187" s="9">
        <v>1.0000000000000001E-5</v>
      </c>
      <c r="J187" s="8">
        <v>3160000</v>
      </c>
      <c r="K187" s="8">
        <v>2450000</v>
      </c>
      <c r="L187" s="8">
        <v>24500</v>
      </c>
      <c r="M187" s="8">
        <v>184000</v>
      </c>
      <c r="N187" s="8">
        <v>98100</v>
      </c>
      <c r="O187" s="8">
        <v>0.03</v>
      </c>
      <c r="P187" s="8">
        <v>0.99199999999999999</v>
      </c>
      <c r="Q187" s="8">
        <v>23500</v>
      </c>
      <c r="R187" s="8">
        <v>0.95799999999999996</v>
      </c>
      <c r="S187" s="8">
        <v>6.7799999999999996E-3</v>
      </c>
      <c r="T187" s="8">
        <v>6.7799999999999996E-3</v>
      </c>
      <c r="U187" s="8">
        <v>1650</v>
      </c>
      <c r="V187" s="8">
        <v>1650</v>
      </c>
      <c r="W187" s="8">
        <v>6.5199999999999998E-3</v>
      </c>
      <c r="X187" s="8">
        <v>3.1E-2</v>
      </c>
      <c r="Y187" s="8">
        <v>3.7499999999999999E-2</v>
      </c>
      <c r="Z187" s="8">
        <v>12.8</v>
      </c>
      <c r="AA187" s="8" t="s">
        <v>44</v>
      </c>
      <c r="AB187" s="8">
        <v>84100</v>
      </c>
      <c r="AC187" s="8" t="s">
        <v>45</v>
      </c>
      <c r="AD187" s="8">
        <v>2</v>
      </c>
      <c r="AE187" s="9"/>
      <c r="AF187" s="8" t="s">
        <v>656</v>
      </c>
      <c r="AH187" s="8" t="s">
        <v>667</v>
      </c>
      <c r="AI187" s="9">
        <v>1.2999999999999999E-3</v>
      </c>
      <c r="AJ187" s="9">
        <v>1E-4</v>
      </c>
      <c r="AK187" s="8" t="s">
        <v>49</v>
      </c>
      <c r="AL187" s="8" t="s">
        <v>50</v>
      </c>
      <c r="AN187" s="8">
        <v>0.01</v>
      </c>
      <c r="AO187" s="8">
        <v>1.2999999999999999E-2</v>
      </c>
      <c r="AP187" s="8">
        <v>3.2000000000000001E-2</v>
      </c>
      <c r="AQ187" s="8" t="s">
        <v>52</v>
      </c>
      <c r="AR187" s="8" t="s">
        <v>53</v>
      </c>
      <c r="AS187" s="8" t="s">
        <v>54</v>
      </c>
    </row>
    <row r="188" spans="1:45" x14ac:dyDescent="0.25">
      <c r="A188" s="8" t="s">
        <v>355</v>
      </c>
      <c r="B188" s="8" t="s">
        <v>356</v>
      </c>
      <c r="C188" s="8">
        <v>128</v>
      </c>
      <c r="D188" s="8">
        <v>353</v>
      </c>
      <c r="E188" s="8">
        <v>1.12E-4</v>
      </c>
      <c r="F188" s="8">
        <v>31</v>
      </c>
      <c r="G188" s="8">
        <v>4.8000000000000001E-4</v>
      </c>
      <c r="H188" s="8">
        <v>5.8999999999999997E-2</v>
      </c>
      <c r="I188" s="9">
        <v>7.5000000000000002E-6</v>
      </c>
      <c r="J188" s="8">
        <v>2000</v>
      </c>
      <c r="K188" s="8">
        <v>1190</v>
      </c>
      <c r="L188" s="8">
        <v>300</v>
      </c>
      <c r="M188" s="8">
        <v>89.3</v>
      </c>
      <c r="N188" s="8">
        <v>47.6</v>
      </c>
      <c r="O188" s="8">
        <v>5.27</v>
      </c>
      <c r="P188" s="8">
        <v>1</v>
      </c>
      <c r="Q188" s="8">
        <v>80.7</v>
      </c>
      <c r="R188" s="8">
        <v>0.26900000000000002</v>
      </c>
      <c r="S188" s="8">
        <v>0.47899999999999998</v>
      </c>
      <c r="T188" s="8">
        <v>0.47899999999999998</v>
      </c>
      <c r="U188" s="8">
        <v>0.38100000000000001</v>
      </c>
      <c r="V188" s="8">
        <v>0.38100000000000001</v>
      </c>
      <c r="W188" s="8">
        <v>3.13E-3</v>
      </c>
      <c r="X188" s="8">
        <v>1.49E-2</v>
      </c>
      <c r="Y188" s="8">
        <v>1.7999999999999999E-2</v>
      </c>
      <c r="Z188" s="8">
        <v>1.8700000000000001E-2</v>
      </c>
      <c r="AA188" s="8" t="s">
        <v>44</v>
      </c>
      <c r="AB188" s="8">
        <v>69.3</v>
      </c>
      <c r="AC188" s="8">
        <v>69.3</v>
      </c>
      <c r="AD188" s="8" t="s">
        <v>46</v>
      </c>
      <c r="AE188" s="8">
        <v>0.02</v>
      </c>
      <c r="AF188" s="8" t="s">
        <v>639</v>
      </c>
      <c r="AH188" s="8" t="s">
        <v>655</v>
      </c>
      <c r="AI188" s="8">
        <v>8.9999999999999993E-3</v>
      </c>
      <c r="AJ188" s="9">
        <v>3.4E-5</v>
      </c>
      <c r="AK188" s="8" t="s">
        <v>49</v>
      </c>
      <c r="AL188" s="8" t="s">
        <v>50</v>
      </c>
      <c r="AM188" s="8" t="s">
        <v>72</v>
      </c>
      <c r="AN188" s="8">
        <v>0.47899999999999998</v>
      </c>
      <c r="AO188" s="8">
        <v>6.2500000000000003E-3</v>
      </c>
      <c r="AP188" s="8">
        <v>1.09E-2</v>
      </c>
      <c r="AQ188" s="8" t="s">
        <v>52</v>
      </c>
      <c r="AR188" s="8" t="s">
        <v>53</v>
      </c>
      <c r="AS188" s="8" t="s">
        <v>54</v>
      </c>
    </row>
    <row r="189" spans="1:45" x14ac:dyDescent="0.25">
      <c r="A189" s="8" t="s">
        <v>621</v>
      </c>
      <c r="B189" s="8" t="s">
        <v>357</v>
      </c>
      <c r="C189" s="8">
        <v>86.2</v>
      </c>
      <c r="D189" s="8">
        <v>178</v>
      </c>
      <c r="E189" s="8">
        <v>0.19900000000000001</v>
      </c>
      <c r="F189" s="8">
        <v>9.5</v>
      </c>
      <c r="G189" s="8">
        <v>1.8</v>
      </c>
      <c r="H189" s="8">
        <v>9.74E-2</v>
      </c>
      <c r="I189" s="9">
        <v>1.13E-5</v>
      </c>
      <c r="J189" s="8">
        <v>7940</v>
      </c>
      <c r="K189" s="8">
        <v>1470</v>
      </c>
      <c r="L189" s="8">
        <v>14.7</v>
      </c>
      <c r="M189" s="8">
        <v>110</v>
      </c>
      <c r="N189" s="8">
        <v>58.7</v>
      </c>
      <c r="O189" s="8">
        <v>14.9</v>
      </c>
      <c r="P189" s="8">
        <v>1</v>
      </c>
      <c r="Q189" s="8">
        <v>234</v>
      </c>
      <c r="R189" s="8">
        <v>15.9</v>
      </c>
      <c r="S189" s="8">
        <v>0.216</v>
      </c>
      <c r="T189" s="8">
        <v>0.216</v>
      </c>
      <c r="U189" s="8">
        <v>4.4200000000000001E-4</v>
      </c>
      <c r="V189" s="8">
        <v>4.4200000000000001E-4</v>
      </c>
      <c r="W189" s="8">
        <v>5.1200000000000004E-3</v>
      </c>
      <c r="X189" s="8">
        <v>2.4299999999999999E-2</v>
      </c>
      <c r="Y189" s="8">
        <v>2.9399999999999999E-2</v>
      </c>
      <c r="Z189" s="8" t="s">
        <v>44</v>
      </c>
      <c r="AA189" s="8" t="s">
        <v>44</v>
      </c>
      <c r="AB189" s="8">
        <v>201</v>
      </c>
      <c r="AC189" s="8" t="s">
        <v>45</v>
      </c>
      <c r="AD189" s="8" t="s">
        <v>46</v>
      </c>
      <c r="AF189" s="8" t="s">
        <v>646</v>
      </c>
      <c r="AG189" s="8" t="s">
        <v>47</v>
      </c>
      <c r="AI189" s="8">
        <v>2</v>
      </c>
      <c r="AJ189" s="8" t="s">
        <v>48</v>
      </c>
      <c r="AK189" s="8" t="s">
        <v>49</v>
      </c>
      <c r="AL189" s="8" t="s">
        <v>50</v>
      </c>
      <c r="AM189" s="8" t="s">
        <v>51</v>
      </c>
      <c r="AN189" s="8">
        <v>0.216</v>
      </c>
      <c r="AO189" s="8">
        <v>1.0200000000000001E-2</v>
      </c>
      <c r="AP189" s="8">
        <v>1.7899999999999999E-2</v>
      </c>
      <c r="AQ189" s="8" t="s">
        <v>52</v>
      </c>
      <c r="AR189" s="8" t="s">
        <v>53</v>
      </c>
      <c r="AS189" s="8" t="s">
        <v>54</v>
      </c>
    </row>
    <row r="190" spans="1:45" x14ac:dyDescent="0.25">
      <c r="A190" s="8" t="s">
        <v>622</v>
      </c>
      <c r="B190" s="8" t="s">
        <v>358</v>
      </c>
      <c r="C190" s="8">
        <v>190.29</v>
      </c>
      <c r="D190" s="8">
        <v>314.52</v>
      </c>
      <c r="E190" s="9">
        <v>2.2299999999999998E-6</v>
      </c>
      <c r="F190" s="8">
        <v>5602</v>
      </c>
      <c r="G190" s="9">
        <v>2.6799999999999998E-9</v>
      </c>
      <c r="H190" s="8" t="s">
        <v>44</v>
      </c>
      <c r="I190" s="8" t="s">
        <v>44</v>
      </c>
      <c r="J190" s="8">
        <v>18.600000000000001</v>
      </c>
      <c r="K190" s="8">
        <v>10</v>
      </c>
      <c r="L190" s="8" t="s">
        <v>57</v>
      </c>
      <c r="M190" s="8">
        <f>(0.075*K190)</f>
        <v>0.75</v>
      </c>
      <c r="N190" s="8">
        <f>(0.04*K190)</f>
        <v>0.4</v>
      </c>
      <c r="O190" s="8" t="s">
        <v>57</v>
      </c>
      <c r="P190" s="8">
        <f>1-0.000688</f>
        <v>0.99931199999999998</v>
      </c>
      <c r="Q190" s="8" t="s">
        <v>57</v>
      </c>
      <c r="R190" s="8" t="s">
        <v>57</v>
      </c>
      <c r="S190" s="8" t="s">
        <v>56</v>
      </c>
      <c r="T190" s="8" t="s">
        <v>56</v>
      </c>
      <c r="U190" s="8" t="s">
        <v>57</v>
      </c>
      <c r="V190" s="8" t="s">
        <v>57</v>
      </c>
      <c r="W190" s="8" t="s">
        <v>62</v>
      </c>
      <c r="X190" s="8" t="s">
        <v>62</v>
      </c>
      <c r="Y190" s="8" t="s">
        <v>62</v>
      </c>
      <c r="Z190" s="8" t="s">
        <v>44</v>
      </c>
      <c r="AA190" s="8" t="s">
        <v>44</v>
      </c>
      <c r="AB190" s="8">
        <v>4.4969999999999999</v>
      </c>
      <c r="AC190" s="8">
        <v>4.4969999999999999</v>
      </c>
      <c r="AD190" s="8" t="s">
        <v>46</v>
      </c>
      <c r="AE190" s="8" t="s">
        <v>56</v>
      </c>
      <c r="AG190" s="8" t="s">
        <v>47</v>
      </c>
      <c r="AI190" s="8" t="s">
        <v>57</v>
      </c>
      <c r="AJ190" s="8" t="s">
        <v>48</v>
      </c>
      <c r="AK190" s="8" t="s">
        <v>49</v>
      </c>
      <c r="AL190" s="8" t="s">
        <v>50</v>
      </c>
      <c r="AM190" s="8" t="s">
        <v>51</v>
      </c>
      <c r="AN190" s="8" t="s">
        <v>44</v>
      </c>
      <c r="AO190" s="8" t="s">
        <v>44</v>
      </c>
      <c r="AP190" s="8" t="s">
        <v>44</v>
      </c>
      <c r="AQ190" s="8" t="s">
        <v>52</v>
      </c>
      <c r="AR190" s="8" t="s">
        <v>53</v>
      </c>
      <c r="AS190" s="8" t="s">
        <v>54</v>
      </c>
    </row>
    <row r="191" spans="1:45" x14ac:dyDescent="0.25">
      <c r="A191" s="8" t="s">
        <v>359</v>
      </c>
      <c r="B191" s="8" t="s">
        <v>360</v>
      </c>
      <c r="C191" s="8">
        <v>58.7</v>
      </c>
      <c r="D191" s="8">
        <v>1770</v>
      </c>
      <c r="E191" s="8">
        <v>0</v>
      </c>
      <c r="F191" s="8">
        <v>422000</v>
      </c>
      <c r="G191" s="8">
        <v>2.5000000000000001E-2</v>
      </c>
      <c r="H191" s="8">
        <v>7.7200000000000005E-2</v>
      </c>
      <c r="I191" s="9">
        <v>9.5699999999999999E-6</v>
      </c>
      <c r="J191" s="8">
        <v>0.26900000000000002</v>
      </c>
      <c r="K191" s="8" t="s">
        <v>44</v>
      </c>
      <c r="L191" s="8">
        <v>65</v>
      </c>
      <c r="M191" s="8">
        <v>65</v>
      </c>
      <c r="N191" s="8">
        <v>65</v>
      </c>
      <c r="O191" s="8" t="s">
        <v>57</v>
      </c>
      <c r="P191" s="8">
        <v>0</v>
      </c>
      <c r="Q191" s="8" t="s">
        <v>57</v>
      </c>
      <c r="R191" s="8">
        <v>8.0000000000000002E-3</v>
      </c>
      <c r="S191" s="8">
        <v>9.3100000000000006E-3</v>
      </c>
      <c r="T191" s="8">
        <v>3.2000000000000001E-2</v>
      </c>
      <c r="U191" s="8" t="s">
        <v>57</v>
      </c>
      <c r="V191" s="8" t="s">
        <v>57</v>
      </c>
      <c r="W191" s="8">
        <v>1E-3</v>
      </c>
      <c r="X191" s="8">
        <v>6.0000000000000001E-3</v>
      </c>
      <c r="Y191" s="8" t="s">
        <v>62</v>
      </c>
      <c r="Z191" s="8" t="s">
        <v>44</v>
      </c>
      <c r="AA191" s="8" t="s">
        <v>44</v>
      </c>
      <c r="AB191" s="8">
        <v>78</v>
      </c>
      <c r="AC191" s="8" t="s">
        <v>45</v>
      </c>
      <c r="AD191" s="8" t="s">
        <v>46</v>
      </c>
      <c r="AE191" s="9">
        <v>0.02</v>
      </c>
      <c r="AF191" s="8" t="s">
        <v>639</v>
      </c>
      <c r="AG191" s="8" t="s">
        <v>47</v>
      </c>
      <c r="AI191" s="9">
        <v>1.4E-5</v>
      </c>
      <c r="AJ191" s="8">
        <v>4.8000000000000001E-4</v>
      </c>
      <c r="AK191" s="8" t="s">
        <v>49</v>
      </c>
      <c r="AL191" s="8" t="s">
        <v>110</v>
      </c>
      <c r="AM191" s="8" t="s">
        <v>111</v>
      </c>
      <c r="AN191" s="8">
        <v>6.0000000000000001E-3</v>
      </c>
      <c r="AO191" s="8" t="s">
        <v>44</v>
      </c>
      <c r="AP191" s="8" t="s">
        <v>44</v>
      </c>
      <c r="AQ191" s="8" t="s">
        <v>52</v>
      </c>
      <c r="AR191" s="8" t="s">
        <v>53</v>
      </c>
      <c r="AS191" s="8" t="s">
        <v>54</v>
      </c>
    </row>
    <row r="192" spans="1:45" x14ac:dyDescent="0.25">
      <c r="A192" s="8" t="s">
        <v>361</v>
      </c>
      <c r="B192" s="8" t="s">
        <v>362</v>
      </c>
      <c r="C192" s="8">
        <v>123</v>
      </c>
      <c r="D192" s="8">
        <v>279</v>
      </c>
      <c r="E192" s="8">
        <v>3.2200000000000002E-4</v>
      </c>
      <c r="F192" s="8">
        <v>2090</v>
      </c>
      <c r="G192" s="9">
        <v>2.4000000000000001E-5</v>
      </c>
      <c r="H192" s="8">
        <v>7.5999999999999998E-2</v>
      </c>
      <c r="I192" s="9">
        <v>8.6000000000000007E-6</v>
      </c>
      <c r="J192" s="8">
        <v>70.8</v>
      </c>
      <c r="K192" s="8">
        <v>119</v>
      </c>
      <c r="L192" s="8">
        <v>1.19</v>
      </c>
      <c r="M192" s="8">
        <v>8.93</v>
      </c>
      <c r="N192" s="8">
        <v>4.76</v>
      </c>
      <c r="O192" s="8">
        <v>1.28</v>
      </c>
      <c r="P192" s="8">
        <v>1</v>
      </c>
      <c r="Q192" s="8">
        <v>12.5</v>
      </c>
      <c r="R192" s="8">
        <v>10.5</v>
      </c>
      <c r="S192" s="8">
        <v>3.3</v>
      </c>
      <c r="T192" s="8">
        <v>3.3</v>
      </c>
      <c r="U192" s="8">
        <v>0.217</v>
      </c>
      <c r="V192" s="8">
        <v>0.217</v>
      </c>
      <c r="W192" s="8">
        <v>4.8200000000000001E-4</v>
      </c>
      <c r="X192" s="8">
        <v>2.2899999999999999E-3</v>
      </c>
      <c r="Y192" s="8">
        <v>2.7699999999999999E-3</v>
      </c>
      <c r="Z192" s="8">
        <v>5.4000000000000001E-4</v>
      </c>
      <c r="AA192" s="8" t="s">
        <v>44</v>
      </c>
      <c r="AB192" s="8">
        <v>5.3</v>
      </c>
      <c r="AC192" s="8" t="s">
        <v>45</v>
      </c>
      <c r="AD192" s="8" t="s">
        <v>46</v>
      </c>
      <c r="AE192" s="8">
        <v>2E-3</v>
      </c>
      <c r="AF192" s="8" t="s">
        <v>639</v>
      </c>
      <c r="AG192" s="8" t="s">
        <v>47</v>
      </c>
      <c r="AI192" s="8">
        <v>8.9999999999999993E-3</v>
      </c>
      <c r="AJ192" s="9">
        <v>4.0000000000000003E-5</v>
      </c>
      <c r="AK192" s="8" t="s">
        <v>49</v>
      </c>
      <c r="AL192" s="8" t="s">
        <v>50</v>
      </c>
      <c r="AM192" s="8" t="s">
        <v>51</v>
      </c>
      <c r="AN192" s="8">
        <v>3.3</v>
      </c>
      <c r="AO192" s="8">
        <v>9.6299999999999999E-4</v>
      </c>
      <c r="AP192" s="8">
        <v>1.6900000000000001E-3</v>
      </c>
      <c r="AQ192" s="8" t="s">
        <v>52</v>
      </c>
      <c r="AR192" s="8" t="s">
        <v>53</v>
      </c>
      <c r="AS192" s="8" t="s">
        <v>54</v>
      </c>
    </row>
    <row r="193" spans="1:45" x14ac:dyDescent="0.25">
      <c r="A193" s="8" t="s">
        <v>740</v>
      </c>
      <c r="B193" s="8" t="s">
        <v>741</v>
      </c>
      <c r="C193" s="8">
        <v>199.21</v>
      </c>
      <c r="D193" s="8">
        <v>384.29</v>
      </c>
      <c r="E193" s="9">
        <v>3.8999999999999999E-5</v>
      </c>
      <c r="F193" s="8">
        <v>9.8350000000000009</v>
      </c>
      <c r="G193" s="9">
        <v>1.5999999999999999E-6</v>
      </c>
      <c r="H193" s="9">
        <v>5.57E-2</v>
      </c>
      <c r="I193" s="9">
        <v>6.5100000000000004E-6</v>
      </c>
      <c r="J193" s="9">
        <v>3720</v>
      </c>
      <c r="K193" s="9">
        <v>7966</v>
      </c>
      <c r="P193" s="8">
        <v>1</v>
      </c>
      <c r="U193" s="8">
        <v>0.23400000000000001</v>
      </c>
      <c r="V193" s="8">
        <v>0.23400000000000001</v>
      </c>
      <c r="W193" s="9">
        <v>5.2200000000000002E-5</v>
      </c>
      <c r="X193" s="9">
        <v>1.65E-4</v>
      </c>
      <c r="AB193" s="8">
        <v>405.9</v>
      </c>
      <c r="AC193" s="8">
        <v>406.7</v>
      </c>
      <c r="AJ193" s="9"/>
    </row>
    <row r="194" spans="1:45" x14ac:dyDescent="0.25">
      <c r="A194" s="8" t="s">
        <v>465</v>
      </c>
      <c r="B194" s="8" t="s">
        <v>466</v>
      </c>
      <c r="C194" s="8">
        <v>46</v>
      </c>
      <c r="D194" s="8">
        <v>262</v>
      </c>
      <c r="E194" s="8">
        <v>0.94799999999999995</v>
      </c>
      <c r="F194" s="8">
        <v>1000000</v>
      </c>
      <c r="G194" s="8" t="s">
        <v>56</v>
      </c>
      <c r="H194" s="8">
        <v>0.14799999999999999</v>
      </c>
      <c r="I194" s="8" t="s">
        <v>44</v>
      </c>
      <c r="J194" s="8" t="s">
        <v>57</v>
      </c>
      <c r="K194" s="8" t="s">
        <v>44</v>
      </c>
      <c r="L194" s="8" t="s">
        <v>57</v>
      </c>
      <c r="O194" s="8" t="s">
        <v>57</v>
      </c>
      <c r="P194" s="8">
        <v>1</v>
      </c>
      <c r="Q194" s="8" t="s">
        <v>57</v>
      </c>
      <c r="R194" s="8" t="s">
        <v>57</v>
      </c>
      <c r="S194" s="8" t="s">
        <v>56</v>
      </c>
      <c r="T194" s="8" t="s">
        <v>56</v>
      </c>
      <c r="U194" s="8" t="s">
        <v>57</v>
      </c>
      <c r="V194" s="8" t="s">
        <v>57</v>
      </c>
      <c r="W194" s="8" t="s">
        <v>62</v>
      </c>
      <c r="X194" s="8" t="s">
        <v>62</v>
      </c>
      <c r="Y194" s="8" t="s">
        <v>62</v>
      </c>
      <c r="Z194" s="8" t="s">
        <v>44</v>
      </c>
      <c r="AA194" s="8" t="s">
        <v>44</v>
      </c>
      <c r="AB194" s="8" t="s">
        <v>63</v>
      </c>
      <c r="AC194" s="8" t="s">
        <v>45</v>
      </c>
      <c r="AD194" s="8" t="s">
        <v>46</v>
      </c>
      <c r="AE194" s="8" t="s">
        <v>56</v>
      </c>
      <c r="AG194" s="8" t="s">
        <v>47</v>
      </c>
      <c r="AI194" s="8" t="s">
        <v>57</v>
      </c>
      <c r="AJ194" s="8" t="s">
        <v>48</v>
      </c>
      <c r="AK194" s="8" t="s">
        <v>49</v>
      </c>
      <c r="AL194" s="8" t="s">
        <v>110</v>
      </c>
      <c r="AM194" s="8" t="s">
        <v>51</v>
      </c>
      <c r="AN194" s="8" t="s">
        <v>44</v>
      </c>
      <c r="AO194" s="8" t="s">
        <v>44</v>
      </c>
      <c r="AP194" s="8" t="s">
        <v>44</v>
      </c>
      <c r="AQ194" s="8" t="s">
        <v>52</v>
      </c>
      <c r="AR194" s="8" t="s">
        <v>53</v>
      </c>
      <c r="AS194" s="8" t="s">
        <v>54</v>
      </c>
    </row>
    <row r="195" spans="1:45" x14ac:dyDescent="0.25">
      <c r="A195" s="8" t="s">
        <v>678</v>
      </c>
      <c r="B195" s="8" t="s">
        <v>679</v>
      </c>
      <c r="C195" s="8">
        <v>46</v>
      </c>
      <c r="D195" s="8">
        <v>262</v>
      </c>
      <c r="E195" s="8">
        <v>0.94799999999999995</v>
      </c>
      <c r="F195" s="8">
        <v>1000000</v>
      </c>
      <c r="G195" s="8" t="s">
        <v>56</v>
      </c>
      <c r="H195" s="8">
        <v>0.14799999999999999</v>
      </c>
      <c r="I195" s="8" t="s">
        <v>44</v>
      </c>
      <c r="J195" s="8" t="s">
        <v>57</v>
      </c>
      <c r="K195" s="8" t="s">
        <v>44</v>
      </c>
      <c r="L195" s="8" t="s">
        <v>57</v>
      </c>
      <c r="O195" s="8" t="s">
        <v>57</v>
      </c>
      <c r="P195" s="8">
        <v>1</v>
      </c>
      <c r="Q195" s="8" t="s">
        <v>57</v>
      </c>
      <c r="R195" s="8" t="s">
        <v>57</v>
      </c>
      <c r="S195" s="8" t="s">
        <v>56</v>
      </c>
      <c r="T195" s="8" t="s">
        <v>56</v>
      </c>
      <c r="U195" s="8" t="s">
        <v>57</v>
      </c>
      <c r="V195" s="8" t="s">
        <v>57</v>
      </c>
      <c r="W195" s="8" t="s">
        <v>62</v>
      </c>
      <c r="X195" s="8" t="s">
        <v>62</v>
      </c>
      <c r="Y195" s="8" t="s">
        <v>62</v>
      </c>
      <c r="Z195" s="8" t="s">
        <v>44</v>
      </c>
      <c r="AA195" s="8" t="s">
        <v>44</v>
      </c>
      <c r="AB195" s="8" t="s">
        <v>63</v>
      </c>
      <c r="AC195" s="8" t="s">
        <v>45</v>
      </c>
      <c r="AD195" s="8" t="s">
        <v>46</v>
      </c>
      <c r="AE195" s="8" t="s">
        <v>56</v>
      </c>
      <c r="AG195" s="8" t="s">
        <v>47</v>
      </c>
      <c r="AI195" s="8" t="s">
        <v>57</v>
      </c>
      <c r="AJ195" s="8" t="s">
        <v>48</v>
      </c>
      <c r="AK195" s="8" t="s">
        <v>49</v>
      </c>
      <c r="AL195" s="8" t="s">
        <v>110</v>
      </c>
      <c r="AM195" s="8" t="s">
        <v>51</v>
      </c>
      <c r="AN195" s="8" t="s">
        <v>44</v>
      </c>
      <c r="AO195" s="8" t="s">
        <v>44</v>
      </c>
      <c r="AP195" s="8" t="s">
        <v>44</v>
      </c>
      <c r="AQ195" s="8" t="s">
        <v>52</v>
      </c>
      <c r="AR195" s="8" t="s">
        <v>53</v>
      </c>
      <c r="AS195" s="8" t="s">
        <v>54</v>
      </c>
    </row>
    <row r="196" spans="1:45" x14ac:dyDescent="0.25">
      <c r="A196" s="8" t="s">
        <v>363</v>
      </c>
      <c r="B196" s="8" t="s">
        <v>364</v>
      </c>
      <c r="C196" s="8">
        <v>139</v>
      </c>
      <c r="D196" s="8">
        <v>387</v>
      </c>
      <c r="E196" s="9">
        <v>5.39E-8</v>
      </c>
      <c r="F196" s="8">
        <v>11600</v>
      </c>
      <c r="G196" s="9">
        <v>4.1500000000000001E-10</v>
      </c>
      <c r="H196" s="8">
        <v>1E-3</v>
      </c>
      <c r="I196" s="9">
        <v>1.0000000000000001E-5</v>
      </c>
      <c r="J196" s="8">
        <v>81.3</v>
      </c>
      <c r="K196" s="8">
        <v>75.5</v>
      </c>
      <c r="L196" s="8">
        <v>0.75</v>
      </c>
      <c r="M196" s="8">
        <v>5.66</v>
      </c>
      <c r="N196" s="8">
        <v>3.02</v>
      </c>
      <c r="O196" s="8">
        <v>209</v>
      </c>
      <c r="P196" s="8">
        <v>0.999</v>
      </c>
      <c r="Q196" s="8">
        <v>13.2</v>
      </c>
      <c r="R196" s="8">
        <v>17.5</v>
      </c>
      <c r="S196" s="8">
        <v>3.05</v>
      </c>
      <c r="T196" s="8">
        <v>3.05</v>
      </c>
      <c r="U196" s="8">
        <v>14600</v>
      </c>
      <c r="V196" s="8">
        <v>14600</v>
      </c>
      <c r="W196" s="8">
        <v>5.2999999999999998E-4</v>
      </c>
      <c r="X196" s="8">
        <v>2.5200000000000001E-3</v>
      </c>
      <c r="Y196" s="8">
        <v>3.0500000000000002E-3</v>
      </c>
      <c r="Z196" s="8">
        <v>6.4599999999999998E-4</v>
      </c>
      <c r="AA196" s="8" t="s">
        <v>44</v>
      </c>
      <c r="AB196" s="8">
        <v>5.9</v>
      </c>
      <c r="AC196" s="8" t="s">
        <v>45</v>
      </c>
      <c r="AD196" s="8" t="s">
        <v>46</v>
      </c>
      <c r="AF196" s="8" t="s">
        <v>652</v>
      </c>
      <c r="AG196" s="8" t="s">
        <v>47</v>
      </c>
      <c r="AI196" s="8" t="s">
        <v>57</v>
      </c>
      <c r="AJ196" s="8" t="s">
        <v>48</v>
      </c>
      <c r="AK196" s="8" t="s">
        <v>49</v>
      </c>
      <c r="AL196" s="8" t="s">
        <v>50</v>
      </c>
      <c r="AM196" s="8" t="s">
        <v>51</v>
      </c>
      <c r="AN196" s="8">
        <v>3.05</v>
      </c>
      <c r="AO196" s="8">
        <v>1.06E-3</v>
      </c>
      <c r="AP196" s="8">
        <v>1.8600000000000001E-3</v>
      </c>
      <c r="AQ196" s="8" t="s">
        <v>52</v>
      </c>
      <c r="AR196" s="8" t="s">
        <v>53</v>
      </c>
      <c r="AS196" s="8" t="s">
        <v>54</v>
      </c>
    </row>
    <row r="197" spans="1:45" x14ac:dyDescent="0.25">
      <c r="A197" s="8" t="s">
        <v>563</v>
      </c>
      <c r="B197" s="8" t="s">
        <v>74</v>
      </c>
      <c r="C197" s="8">
        <v>89.1</v>
      </c>
      <c r="D197" s="8">
        <v>182</v>
      </c>
      <c r="E197" s="8">
        <v>2.2599999999999999E-2</v>
      </c>
      <c r="F197" s="8">
        <v>17000</v>
      </c>
      <c r="G197" s="8">
        <v>1.1900000000000001E-4</v>
      </c>
      <c r="H197" s="8">
        <v>9.5200000000000007E-2</v>
      </c>
      <c r="I197" s="9">
        <v>1.1E-5</v>
      </c>
      <c r="J197" s="8">
        <v>8.51</v>
      </c>
      <c r="K197" s="8">
        <v>8.2100000000000009</v>
      </c>
      <c r="L197" s="8">
        <v>8.2100000000000006E-2</v>
      </c>
      <c r="M197" s="8">
        <v>0.61599999999999999</v>
      </c>
      <c r="N197" s="8">
        <v>0.32900000000000001</v>
      </c>
      <c r="O197" s="8">
        <v>8.43</v>
      </c>
      <c r="P197" s="8">
        <v>1</v>
      </c>
      <c r="Q197" s="8">
        <v>7.52</v>
      </c>
      <c r="R197" s="8">
        <v>91.5</v>
      </c>
      <c r="S197" s="8">
        <v>11.2</v>
      </c>
      <c r="T197" s="8">
        <v>11.2</v>
      </c>
      <c r="U197" s="8">
        <v>4.6100000000000004E-3</v>
      </c>
      <c r="V197" s="8">
        <v>4.6100000000000004E-3</v>
      </c>
      <c r="W197" s="9">
        <v>8.9400000000000005E-5</v>
      </c>
      <c r="X197" s="8">
        <v>4.2499999999999998E-4</v>
      </c>
      <c r="Y197" s="8">
        <v>5.1400000000000003E-4</v>
      </c>
      <c r="Z197" s="8" t="s">
        <v>44</v>
      </c>
      <c r="AA197" s="8" t="s">
        <v>44</v>
      </c>
      <c r="AB197" s="8">
        <v>3.16</v>
      </c>
      <c r="AC197" s="8" t="s">
        <v>45</v>
      </c>
      <c r="AD197" s="8" t="s">
        <v>46</v>
      </c>
      <c r="AF197" s="8" t="s">
        <v>657</v>
      </c>
      <c r="AH197" s="8" t="s">
        <v>646</v>
      </c>
      <c r="AI197" s="8">
        <v>0.02</v>
      </c>
      <c r="AJ197" s="8" t="s">
        <v>48</v>
      </c>
      <c r="AK197" s="8" t="s">
        <v>49</v>
      </c>
      <c r="AL197" s="8" t="s">
        <v>50</v>
      </c>
      <c r="AM197" s="8" t="s">
        <v>51</v>
      </c>
      <c r="AN197" s="8">
        <v>11.2</v>
      </c>
      <c r="AO197" s="8">
        <v>1.7899999999999999E-4</v>
      </c>
      <c r="AP197" s="8">
        <v>3.1300000000000002E-4</v>
      </c>
      <c r="AQ197" s="8" t="s">
        <v>52</v>
      </c>
      <c r="AR197" s="8" t="s">
        <v>53</v>
      </c>
      <c r="AS197" s="8" t="s">
        <v>54</v>
      </c>
    </row>
    <row r="198" spans="1:45" x14ac:dyDescent="0.25">
      <c r="A198" s="8" t="s">
        <v>476</v>
      </c>
      <c r="B198" s="8" t="s">
        <v>477</v>
      </c>
      <c r="C198" s="8">
        <v>247.26</v>
      </c>
      <c r="D198" s="8">
        <v>444.56</v>
      </c>
      <c r="E198" s="9">
        <v>1.09E-10</v>
      </c>
      <c r="F198" s="8">
        <v>3.6970000000000003E-2</v>
      </c>
      <c r="G198" s="9">
        <v>3.2700000000000002E-8</v>
      </c>
      <c r="J198" s="9">
        <v>56200</v>
      </c>
      <c r="K198" s="9">
        <v>86000</v>
      </c>
      <c r="M198" s="8">
        <f>(0.075*K198)</f>
        <v>6450</v>
      </c>
      <c r="N198" s="8">
        <f>(0.04*K198)</f>
        <v>3440</v>
      </c>
      <c r="P198" s="8">
        <f>1-0.316</f>
        <v>0.68399999999999994</v>
      </c>
      <c r="AB198" s="8">
        <v>103.8</v>
      </c>
      <c r="AC198" s="8">
        <v>103.8</v>
      </c>
      <c r="AJ198" s="8">
        <v>1.8000000000000001E-4</v>
      </c>
    </row>
    <row r="199" spans="1:45" x14ac:dyDescent="0.25">
      <c r="A199" s="8" t="s">
        <v>517</v>
      </c>
      <c r="B199" s="8" t="s">
        <v>365</v>
      </c>
      <c r="C199" s="8">
        <v>74.099999999999994</v>
      </c>
      <c r="D199" s="8">
        <v>234</v>
      </c>
      <c r="E199" s="8">
        <v>3.5500000000000002E-3</v>
      </c>
      <c r="F199" s="8">
        <v>1000000</v>
      </c>
      <c r="G199" s="9">
        <v>1.8199999999999999E-6</v>
      </c>
      <c r="H199" s="8">
        <v>9.8799999999999999E-2</v>
      </c>
      <c r="I199" s="9">
        <v>1.15E-5</v>
      </c>
      <c r="J199" s="8">
        <v>0.27</v>
      </c>
      <c r="K199" s="8">
        <v>22.8</v>
      </c>
      <c r="L199" s="8">
        <v>0.22800000000000001</v>
      </c>
      <c r="M199" s="8">
        <v>1.71</v>
      </c>
      <c r="N199" s="8">
        <v>0.91200000000000003</v>
      </c>
      <c r="O199" s="8">
        <v>3.8499999999999998E-4</v>
      </c>
      <c r="P199" s="8">
        <v>1</v>
      </c>
      <c r="Q199" s="8">
        <v>6.39</v>
      </c>
      <c r="R199" s="8">
        <v>28</v>
      </c>
      <c r="S199" s="8">
        <v>82.5</v>
      </c>
      <c r="T199" s="8">
        <v>82.5</v>
      </c>
      <c r="U199" s="8">
        <v>7.62E-3</v>
      </c>
      <c r="V199" s="8">
        <v>7.62E-3</v>
      </c>
      <c r="W199" s="9">
        <v>2.52E-6</v>
      </c>
      <c r="X199" s="9">
        <v>1.2E-5</v>
      </c>
      <c r="Y199" s="9">
        <v>1.45E-5</v>
      </c>
      <c r="Z199" s="8" t="s">
        <v>44</v>
      </c>
      <c r="AA199" s="8" t="s">
        <v>44</v>
      </c>
      <c r="AB199" s="8">
        <v>3.16</v>
      </c>
      <c r="AC199" s="8" t="s">
        <v>45</v>
      </c>
      <c r="AD199" s="8" t="s">
        <v>46</v>
      </c>
      <c r="AE199" s="9">
        <v>7.9999999999999996E-6</v>
      </c>
      <c r="AF199" s="9" t="s">
        <v>644</v>
      </c>
      <c r="AG199" s="8">
        <v>51</v>
      </c>
      <c r="AH199" s="8" t="s">
        <v>639</v>
      </c>
      <c r="AI199" s="8" t="s">
        <v>57</v>
      </c>
      <c r="AJ199" s="8">
        <v>1.4E-2</v>
      </c>
      <c r="AK199" s="8" t="s">
        <v>49</v>
      </c>
      <c r="AL199" s="8" t="s">
        <v>50</v>
      </c>
      <c r="AM199" s="8" t="s">
        <v>51</v>
      </c>
      <c r="AN199" s="8">
        <v>82.7</v>
      </c>
      <c r="AO199" s="9">
        <v>5.04E-6</v>
      </c>
      <c r="AP199" s="9">
        <v>8.8200000000000003E-6</v>
      </c>
      <c r="AQ199" s="8" t="s">
        <v>52</v>
      </c>
      <c r="AR199" s="8" t="s">
        <v>53</v>
      </c>
      <c r="AS199" s="8" t="s">
        <v>54</v>
      </c>
    </row>
    <row r="200" spans="1:45" x14ac:dyDescent="0.25">
      <c r="A200" s="8" t="s">
        <v>518</v>
      </c>
      <c r="B200" s="8" t="s">
        <v>519</v>
      </c>
      <c r="C200" s="8">
        <v>116.12</v>
      </c>
      <c r="D200" s="8">
        <v>289.93</v>
      </c>
      <c r="E200" s="9">
        <v>1.76E-4</v>
      </c>
      <c r="F200" s="9">
        <v>246000</v>
      </c>
      <c r="G200" s="9">
        <v>1.4100000000000001E-8</v>
      </c>
      <c r="I200" s="9"/>
      <c r="J200" s="8">
        <v>0.371</v>
      </c>
      <c r="K200" s="9">
        <v>22.51</v>
      </c>
      <c r="M200" s="8">
        <f t="shared" ref="M200:M201" si="7">(0.075*K200)</f>
        <v>1.68825</v>
      </c>
      <c r="N200" s="8">
        <f t="shared" ref="N200:N201" si="8">(0.04*K200)</f>
        <v>0.90040000000000009</v>
      </c>
      <c r="P200" s="8">
        <v>1</v>
      </c>
      <c r="W200" s="9"/>
      <c r="X200" s="9"/>
      <c r="Y200" s="9"/>
      <c r="AB200" s="8">
        <v>0.90339999999999998</v>
      </c>
      <c r="AC200" s="8">
        <v>0.90339999999999998</v>
      </c>
      <c r="AE200" s="9"/>
      <c r="AF200" s="9"/>
      <c r="AO200" s="9"/>
      <c r="AP200" s="9"/>
    </row>
    <row r="201" spans="1:45" x14ac:dyDescent="0.25">
      <c r="A201" s="8" t="s">
        <v>520</v>
      </c>
      <c r="B201" s="8" t="s">
        <v>521</v>
      </c>
      <c r="C201" s="8">
        <v>46</v>
      </c>
      <c r="D201" s="8">
        <v>262</v>
      </c>
      <c r="E201" s="8">
        <v>0.94799999999999995</v>
      </c>
      <c r="F201" s="8">
        <v>1000000</v>
      </c>
      <c r="G201" s="8" t="s">
        <v>56</v>
      </c>
      <c r="H201" s="8">
        <v>0.14799999999999999</v>
      </c>
      <c r="I201" s="9"/>
      <c r="M201" s="8">
        <f t="shared" si="7"/>
        <v>0</v>
      </c>
      <c r="N201" s="8">
        <f t="shared" si="8"/>
        <v>0</v>
      </c>
      <c r="P201" s="8">
        <v>1</v>
      </c>
      <c r="W201" s="9"/>
      <c r="X201" s="9"/>
      <c r="Y201" s="9"/>
      <c r="AE201" s="9"/>
      <c r="AF201" s="9"/>
      <c r="AO201" s="9"/>
      <c r="AP201" s="9"/>
    </row>
    <row r="202" spans="1:45" x14ac:dyDescent="0.25">
      <c r="A202" s="8" t="s">
        <v>366</v>
      </c>
      <c r="B202" s="8" t="s">
        <v>367</v>
      </c>
      <c r="C202" s="8">
        <v>46</v>
      </c>
      <c r="D202" s="8">
        <v>262</v>
      </c>
      <c r="E202" s="8">
        <v>0.94799999999999995</v>
      </c>
      <c r="F202" s="8">
        <v>1000000</v>
      </c>
      <c r="G202" s="8" t="s">
        <v>56</v>
      </c>
      <c r="H202" s="8">
        <v>0.14799999999999999</v>
      </c>
      <c r="I202" s="8" t="s">
        <v>44</v>
      </c>
      <c r="J202" s="8" t="s">
        <v>57</v>
      </c>
      <c r="K202" s="8" t="s">
        <v>44</v>
      </c>
      <c r="L202" s="8" t="s">
        <v>57</v>
      </c>
      <c r="O202" s="8" t="s">
        <v>57</v>
      </c>
      <c r="P202" s="8">
        <v>1</v>
      </c>
      <c r="Q202" s="8" t="s">
        <v>57</v>
      </c>
      <c r="R202" s="8" t="s">
        <v>57</v>
      </c>
      <c r="S202" s="8" t="s">
        <v>56</v>
      </c>
      <c r="T202" s="8" t="s">
        <v>56</v>
      </c>
      <c r="U202" s="8" t="s">
        <v>57</v>
      </c>
      <c r="V202" s="8" t="s">
        <v>57</v>
      </c>
      <c r="W202" s="8" t="s">
        <v>62</v>
      </c>
      <c r="X202" s="8" t="s">
        <v>62</v>
      </c>
      <c r="Y202" s="8" t="s">
        <v>62</v>
      </c>
      <c r="Z202" s="8" t="s">
        <v>44</v>
      </c>
      <c r="AA202" s="8" t="s">
        <v>44</v>
      </c>
      <c r="AB202" s="8" t="s">
        <v>63</v>
      </c>
      <c r="AC202" s="8" t="s">
        <v>45</v>
      </c>
      <c r="AD202" s="8" t="s">
        <v>46</v>
      </c>
      <c r="AE202" s="8" t="s">
        <v>56</v>
      </c>
      <c r="AG202" s="8" t="s">
        <v>47</v>
      </c>
      <c r="AI202" s="8" t="s">
        <v>57</v>
      </c>
      <c r="AJ202" s="8" t="s">
        <v>48</v>
      </c>
      <c r="AK202" s="8" t="s">
        <v>49</v>
      </c>
      <c r="AL202" s="8" t="s">
        <v>110</v>
      </c>
      <c r="AM202" s="8" t="s">
        <v>51</v>
      </c>
      <c r="AN202" s="8" t="s">
        <v>44</v>
      </c>
      <c r="AO202" s="8" t="s">
        <v>44</v>
      </c>
      <c r="AP202" s="8" t="s">
        <v>44</v>
      </c>
      <c r="AQ202" s="8" t="s">
        <v>52</v>
      </c>
      <c r="AR202" s="8" t="s">
        <v>53</v>
      </c>
      <c r="AS202" s="8" t="s">
        <v>54</v>
      </c>
    </row>
    <row r="203" spans="1:45" x14ac:dyDescent="0.25">
      <c r="A203" s="8" t="s">
        <v>677</v>
      </c>
      <c r="B203" s="8" t="s">
        <v>680</v>
      </c>
      <c r="C203" s="8">
        <v>46</v>
      </c>
      <c r="D203" s="8">
        <v>262</v>
      </c>
      <c r="E203" s="8">
        <v>0.94799999999999995</v>
      </c>
      <c r="F203" s="8">
        <v>1000000</v>
      </c>
      <c r="G203" s="8" t="s">
        <v>56</v>
      </c>
      <c r="H203" s="8">
        <v>0.14799999999999999</v>
      </c>
      <c r="I203" s="8" t="s">
        <v>44</v>
      </c>
      <c r="J203" s="8" t="s">
        <v>57</v>
      </c>
      <c r="K203" s="8" t="s">
        <v>44</v>
      </c>
      <c r="L203" s="8" t="s">
        <v>57</v>
      </c>
      <c r="O203" s="8" t="s">
        <v>57</v>
      </c>
      <c r="P203" s="8">
        <v>1</v>
      </c>
      <c r="Q203" s="8" t="s">
        <v>57</v>
      </c>
      <c r="R203" s="8" t="s">
        <v>57</v>
      </c>
      <c r="S203" s="8" t="s">
        <v>56</v>
      </c>
      <c r="T203" s="8" t="s">
        <v>56</v>
      </c>
      <c r="U203" s="8" t="s">
        <v>57</v>
      </c>
      <c r="V203" s="8" t="s">
        <v>57</v>
      </c>
      <c r="W203" s="8" t="s">
        <v>62</v>
      </c>
      <c r="X203" s="8" t="s">
        <v>62</v>
      </c>
      <c r="Y203" s="8" t="s">
        <v>62</v>
      </c>
      <c r="Z203" s="8" t="s">
        <v>44</v>
      </c>
      <c r="AA203" s="8" t="s">
        <v>44</v>
      </c>
      <c r="AB203" s="8" t="s">
        <v>63</v>
      </c>
      <c r="AC203" s="8" t="s">
        <v>45</v>
      </c>
      <c r="AD203" s="8" t="s">
        <v>46</v>
      </c>
      <c r="AE203" s="8" t="s">
        <v>56</v>
      </c>
      <c r="AG203" s="8" t="s">
        <v>47</v>
      </c>
      <c r="AI203" s="8" t="s">
        <v>57</v>
      </c>
      <c r="AJ203" s="8" t="s">
        <v>48</v>
      </c>
      <c r="AK203" s="8" t="s">
        <v>49</v>
      </c>
      <c r="AL203" s="8" t="s">
        <v>110</v>
      </c>
      <c r="AM203" s="8" t="s">
        <v>51</v>
      </c>
      <c r="AN203" s="8" t="s">
        <v>44</v>
      </c>
      <c r="AO203" s="8" t="s">
        <v>44</v>
      </c>
      <c r="AP203" s="8" t="s">
        <v>44</v>
      </c>
      <c r="AQ203" s="8" t="s">
        <v>52</v>
      </c>
      <c r="AR203" s="8" t="s">
        <v>53</v>
      </c>
      <c r="AS203" s="8" t="s">
        <v>54</v>
      </c>
    </row>
    <row r="204" spans="1:45" x14ac:dyDescent="0.25">
      <c r="A204" s="10" t="s">
        <v>368</v>
      </c>
      <c r="B204" s="8" t="s">
        <v>369</v>
      </c>
      <c r="C204" s="8">
        <v>461</v>
      </c>
      <c r="D204" s="8">
        <v>599</v>
      </c>
      <c r="E204" s="9">
        <v>1.09E-15</v>
      </c>
      <c r="F204" s="9">
        <v>7.4000000000000001E-8</v>
      </c>
      <c r="G204" s="9">
        <v>6.7499999999999997E-6</v>
      </c>
      <c r="H204" s="8">
        <v>8.6900000000000005E-2</v>
      </c>
      <c r="I204" s="9">
        <v>7.9999999999999996E-6</v>
      </c>
      <c r="J204" s="8">
        <v>158000000</v>
      </c>
      <c r="K204" s="8">
        <v>97700000</v>
      </c>
      <c r="L204" s="8">
        <v>977000</v>
      </c>
      <c r="M204" s="8">
        <v>7330000</v>
      </c>
      <c r="N204" s="8">
        <v>3910000</v>
      </c>
      <c r="O204" s="8">
        <v>0.03</v>
      </c>
      <c r="P204" s="8">
        <v>2E-3</v>
      </c>
      <c r="Q204" s="8">
        <v>479000</v>
      </c>
      <c r="R204" s="8">
        <v>0.49</v>
      </c>
      <c r="S204" s="8">
        <v>7.0500000000000001E-4</v>
      </c>
      <c r="T204" s="8">
        <v>7.0500000000000001E-4</v>
      </c>
      <c r="U204" s="8">
        <v>2360000</v>
      </c>
      <c r="V204" s="8">
        <v>2360000</v>
      </c>
      <c r="W204" s="8">
        <v>1.4400000000000001E-3</v>
      </c>
      <c r="X204" s="8">
        <v>6.8599999999999998E-3</v>
      </c>
      <c r="Y204" s="8">
        <v>8.3000000000000001E-3</v>
      </c>
      <c r="Z204" s="8">
        <v>9.9000000000000008E-3</v>
      </c>
      <c r="AA204" s="8">
        <v>0.05</v>
      </c>
      <c r="AB204" s="8">
        <v>1470</v>
      </c>
      <c r="AC204" s="8" t="s">
        <v>45</v>
      </c>
      <c r="AD204" s="8">
        <v>1E-4</v>
      </c>
      <c r="AE204" s="9">
        <v>2.3300000000000001E-6</v>
      </c>
      <c r="AF204" s="9" t="s">
        <v>645</v>
      </c>
      <c r="AG204" s="8">
        <v>420</v>
      </c>
      <c r="AH204" s="9" t="s">
        <v>645</v>
      </c>
      <c r="AI204" s="8">
        <v>1.3333299999999999E-4</v>
      </c>
      <c r="AJ204" s="8">
        <v>0.12</v>
      </c>
      <c r="AK204" s="8" t="s">
        <v>49</v>
      </c>
      <c r="AL204" s="8" t="s">
        <v>50</v>
      </c>
      <c r="AM204" s="8" t="s">
        <v>262</v>
      </c>
      <c r="AN204" s="8">
        <v>7.0500000000000001E-4</v>
      </c>
      <c r="AO204" s="8">
        <v>2.8900000000000002E-3</v>
      </c>
      <c r="AP204" s="8">
        <v>5.0499999999999998E-3</v>
      </c>
      <c r="AQ204" s="8">
        <v>2.9999999999999997E-4</v>
      </c>
      <c r="AR204" s="8" t="s">
        <v>53</v>
      </c>
      <c r="AS204" s="8" t="s">
        <v>54</v>
      </c>
    </row>
    <row r="205" spans="1:45" x14ac:dyDescent="0.25">
      <c r="A205" s="10" t="s">
        <v>370</v>
      </c>
      <c r="B205" s="8" t="s">
        <v>371</v>
      </c>
      <c r="C205" s="8">
        <v>445</v>
      </c>
      <c r="D205" s="8">
        <v>532</v>
      </c>
      <c r="E205" s="9">
        <v>4.93E-15</v>
      </c>
      <c r="F205" s="9">
        <v>1.1599999999999999E-6</v>
      </c>
      <c r="G205" s="9">
        <v>1.88E-6</v>
      </c>
      <c r="H205" s="8">
        <v>1.95E-2</v>
      </c>
      <c r="I205" s="9">
        <v>7.9999999999999996E-6</v>
      </c>
      <c r="J205" s="8">
        <v>100000000</v>
      </c>
      <c r="K205" s="8">
        <v>61700000</v>
      </c>
      <c r="L205" s="8">
        <v>617000</v>
      </c>
      <c r="M205" s="8">
        <v>4620000</v>
      </c>
      <c r="N205" s="8">
        <v>2470000</v>
      </c>
      <c r="O205" s="8">
        <v>0.03</v>
      </c>
      <c r="P205" s="8">
        <v>2E-3</v>
      </c>
      <c r="Q205" s="8">
        <v>479000</v>
      </c>
      <c r="R205" s="8">
        <v>0.77600000000000002</v>
      </c>
      <c r="S205" s="8">
        <v>9.2000000000000003E-4</v>
      </c>
      <c r="T205" s="8">
        <v>9.2000000000000003E-4</v>
      </c>
      <c r="U205" s="8">
        <v>2280000</v>
      </c>
      <c r="V205" s="8">
        <v>2280000</v>
      </c>
      <c r="W205" s="8">
        <v>1.8500000000000001E-3</v>
      </c>
      <c r="X205" s="8">
        <v>8.77E-3</v>
      </c>
      <c r="Y205" s="8">
        <v>1.06E-2</v>
      </c>
      <c r="Z205" s="8">
        <v>7.92E-3</v>
      </c>
      <c r="AA205" s="8">
        <v>0.02</v>
      </c>
      <c r="AB205" s="8">
        <v>2750</v>
      </c>
      <c r="AC205" s="8" t="s">
        <v>45</v>
      </c>
      <c r="AD205" s="8">
        <v>1E-4</v>
      </c>
      <c r="AE205" s="9">
        <v>2.3300000000000001E-6</v>
      </c>
      <c r="AF205" s="9" t="s">
        <v>645</v>
      </c>
      <c r="AG205" s="8">
        <v>420</v>
      </c>
      <c r="AH205" s="9" t="s">
        <v>645</v>
      </c>
      <c r="AI205" s="8">
        <v>1.3333299999999999E-4</v>
      </c>
      <c r="AJ205" s="8">
        <v>0.12</v>
      </c>
      <c r="AK205" s="8" t="s">
        <v>49</v>
      </c>
      <c r="AL205" s="8" t="s">
        <v>50</v>
      </c>
      <c r="AM205" s="8" t="s">
        <v>219</v>
      </c>
      <c r="AN205" s="8">
        <v>9.2000000000000003E-4</v>
      </c>
      <c r="AO205" s="8">
        <v>3.6900000000000001E-3</v>
      </c>
      <c r="AP205" s="8">
        <v>6.4599999999999996E-3</v>
      </c>
      <c r="AQ205" s="8">
        <v>2.9999999999999997E-4</v>
      </c>
      <c r="AR205" s="8" t="s">
        <v>53</v>
      </c>
      <c r="AS205" s="8" t="s">
        <v>54</v>
      </c>
    </row>
    <row r="206" spans="1:45" x14ac:dyDescent="0.25">
      <c r="A206" s="10" t="s">
        <v>372</v>
      </c>
      <c r="B206" s="8" t="s">
        <v>373</v>
      </c>
      <c r="C206" s="8">
        <v>356</v>
      </c>
      <c r="D206" s="8">
        <v>514</v>
      </c>
      <c r="E206" s="9">
        <v>5.7899999999999996E-13</v>
      </c>
      <c r="F206" s="8">
        <v>1.18E-4</v>
      </c>
      <c r="G206" s="9">
        <v>2.6000000000000001E-6</v>
      </c>
      <c r="H206" s="8">
        <v>9.8900000000000002E-2</v>
      </c>
      <c r="I206" s="9">
        <v>7.9999999999999996E-6</v>
      </c>
      <c r="J206" s="8">
        <v>4370000</v>
      </c>
      <c r="K206" s="8">
        <v>2690000</v>
      </c>
      <c r="L206" s="8">
        <v>26900</v>
      </c>
      <c r="M206" s="8">
        <v>202000</v>
      </c>
      <c r="N206" s="8">
        <v>108000</v>
      </c>
      <c r="O206" s="8">
        <v>0.03</v>
      </c>
      <c r="P206" s="8">
        <v>0.11700000000000001</v>
      </c>
      <c r="Q206" s="8">
        <v>30100</v>
      </c>
      <c r="R206" s="8">
        <v>1.1200000000000001</v>
      </c>
      <c r="S206" s="8">
        <v>5.62E-3</v>
      </c>
      <c r="T206" s="8">
        <v>5.62E-3</v>
      </c>
      <c r="U206" s="8">
        <v>239000</v>
      </c>
      <c r="V206" s="8">
        <v>239000</v>
      </c>
      <c r="W206" s="8">
        <v>6.0499999999999998E-3</v>
      </c>
      <c r="X206" s="8">
        <v>2.8799999999999999E-2</v>
      </c>
      <c r="Y206" s="8">
        <v>3.4799999999999998E-2</v>
      </c>
      <c r="Z206" s="8">
        <v>4.7100000000000003E-2</v>
      </c>
      <c r="AA206" s="8">
        <v>2.5</v>
      </c>
      <c r="AB206" s="8">
        <v>25900</v>
      </c>
      <c r="AC206" s="8" t="s">
        <v>45</v>
      </c>
      <c r="AD206" s="8">
        <v>0.09</v>
      </c>
      <c r="AE206" s="9">
        <v>6.9999999999999996E-10</v>
      </c>
      <c r="AF206" s="9" t="s">
        <v>645</v>
      </c>
      <c r="AG206" s="8">
        <v>1400000</v>
      </c>
      <c r="AH206" s="9" t="s">
        <v>645</v>
      </c>
      <c r="AI206" s="9">
        <v>4.0000000000000001E-8</v>
      </c>
      <c r="AJ206" s="8">
        <v>400</v>
      </c>
      <c r="AK206" s="8" t="s">
        <v>49</v>
      </c>
      <c r="AL206" s="8" t="s">
        <v>50</v>
      </c>
      <c r="AM206" s="8" t="s">
        <v>262</v>
      </c>
      <c r="AN206" s="8">
        <v>5.62E-3</v>
      </c>
      <c r="AO206" s="8">
        <v>1.21E-2</v>
      </c>
      <c r="AP206" s="8">
        <v>2.12E-2</v>
      </c>
      <c r="AQ206" s="8">
        <v>1</v>
      </c>
      <c r="AR206" s="8" t="s">
        <v>53</v>
      </c>
      <c r="AS206" s="8" t="s">
        <v>54</v>
      </c>
    </row>
    <row r="207" spans="1:45" x14ac:dyDescent="0.25">
      <c r="A207" s="10" t="s">
        <v>374</v>
      </c>
      <c r="B207" s="8" t="s">
        <v>375</v>
      </c>
      <c r="C207" s="8">
        <v>340</v>
      </c>
      <c r="D207" s="8">
        <v>499</v>
      </c>
      <c r="E207" s="9">
        <v>2.23E-12</v>
      </c>
      <c r="F207" s="8">
        <v>2.4000000000000001E-4</v>
      </c>
      <c r="G207" s="9">
        <v>5.0000000000000004E-6</v>
      </c>
      <c r="H207" s="8">
        <v>2.23E-2</v>
      </c>
      <c r="I207" s="9">
        <v>7.9999999999999996E-6</v>
      </c>
      <c r="J207" s="8">
        <v>6170000</v>
      </c>
      <c r="K207" s="8">
        <v>3800000</v>
      </c>
      <c r="L207" s="8">
        <v>38000</v>
      </c>
      <c r="M207" s="8">
        <v>285000</v>
      </c>
      <c r="N207" s="8">
        <v>152000</v>
      </c>
      <c r="O207" s="8">
        <v>0.03</v>
      </c>
      <c r="P207" s="8">
        <v>0.26800000000000002</v>
      </c>
      <c r="Q207" s="8">
        <v>39300</v>
      </c>
      <c r="R207" s="8">
        <v>1.03</v>
      </c>
      <c r="S207" s="8">
        <v>4.6100000000000004E-3</v>
      </c>
      <c r="T207" s="8">
        <v>4.6100000000000004E-3</v>
      </c>
      <c r="U207" s="8">
        <v>97500</v>
      </c>
      <c r="V207" s="8">
        <v>97500</v>
      </c>
      <c r="W207" s="8">
        <v>5.5300000000000002E-3</v>
      </c>
      <c r="X207" s="8">
        <v>2.63E-2</v>
      </c>
      <c r="Y207" s="8">
        <v>3.1800000000000002E-2</v>
      </c>
      <c r="Z207" s="8" t="s">
        <v>44</v>
      </c>
      <c r="AA207" s="8" t="s">
        <v>44</v>
      </c>
      <c r="AB207" s="8">
        <v>33800</v>
      </c>
      <c r="AC207" s="8" t="s">
        <v>45</v>
      </c>
      <c r="AD207" s="8">
        <v>0.09</v>
      </c>
      <c r="AE207" s="9">
        <v>2.33E-9</v>
      </c>
      <c r="AF207" s="9" t="s">
        <v>645</v>
      </c>
      <c r="AG207" s="8">
        <v>42000</v>
      </c>
      <c r="AH207" s="9" t="s">
        <v>645</v>
      </c>
      <c r="AI207" s="9">
        <v>1.33E-6</v>
      </c>
      <c r="AJ207" s="8">
        <v>12</v>
      </c>
      <c r="AK207" s="8" t="s">
        <v>49</v>
      </c>
      <c r="AL207" s="8" t="s">
        <v>50</v>
      </c>
      <c r="AM207" s="8" t="s">
        <v>219</v>
      </c>
      <c r="AN207" s="8">
        <v>4.6100000000000004E-3</v>
      </c>
      <c r="AO207" s="8">
        <v>1.11E-2</v>
      </c>
      <c r="AP207" s="8">
        <v>1.9400000000000001E-2</v>
      </c>
      <c r="AQ207" s="8">
        <v>0.03</v>
      </c>
      <c r="AR207" s="8" t="s">
        <v>53</v>
      </c>
      <c r="AS207" s="8" t="s">
        <v>54</v>
      </c>
    </row>
    <row r="208" spans="1:45" x14ac:dyDescent="0.25">
      <c r="A208" s="10" t="s">
        <v>376</v>
      </c>
      <c r="B208" s="8" t="s">
        <v>377</v>
      </c>
      <c r="C208" s="8">
        <v>340</v>
      </c>
      <c r="D208" s="8">
        <v>469</v>
      </c>
      <c r="E208" s="9">
        <v>3.42E-12</v>
      </c>
      <c r="F208" s="8">
        <v>2.3599999999999999E-4</v>
      </c>
      <c r="G208" s="9">
        <v>4.9799999999999998E-6</v>
      </c>
      <c r="H208" s="8">
        <v>2.23E-2</v>
      </c>
      <c r="I208" s="9">
        <v>7.9999999999999996E-6</v>
      </c>
      <c r="J208" s="8">
        <v>3160000</v>
      </c>
      <c r="K208" s="8">
        <v>1950000</v>
      </c>
      <c r="L208" s="8">
        <v>19500</v>
      </c>
      <c r="M208" s="8">
        <v>146000</v>
      </c>
      <c r="N208" s="8">
        <v>78000</v>
      </c>
      <c r="O208" s="8">
        <v>0.03</v>
      </c>
      <c r="P208" s="8">
        <v>0.221</v>
      </c>
      <c r="Q208" s="8">
        <v>23500</v>
      </c>
      <c r="R208" s="8">
        <v>1.21</v>
      </c>
      <c r="S208" s="8">
        <v>6.7799999999999996E-3</v>
      </c>
      <c r="T208" s="8">
        <v>6.7799999999999996E-3</v>
      </c>
      <c r="U208" s="8">
        <v>97500</v>
      </c>
      <c r="V208" s="8">
        <v>97500</v>
      </c>
      <c r="W208" s="8">
        <v>6.5199999999999998E-3</v>
      </c>
      <c r="X208" s="8">
        <v>3.1E-2</v>
      </c>
      <c r="Y208" s="8">
        <v>3.7499999999999999E-2</v>
      </c>
      <c r="Z208" s="8">
        <v>5.6099999999999997E-2</v>
      </c>
      <c r="AA208" s="8">
        <v>3.28</v>
      </c>
      <c r="AB208" s="8">
        <v>20200</v>
      </c>
      <c r="AC208" s="8" t="s">
        <v>45</v>
      </c>
      <c r="AD208" s="8">
        <v>0.09</v>
      </c>
      <c r="AE208" s="9">
        <v>2.3300000000000002E-10</v>
      </c>
      <c r="AF208" s="9" t="s">
        <v>645</v>
      </c>
      <c r="AG208" s="8">
        <v>420000</v>
      </c>
      <c r="AH208" s="9" t="s">
        <v>645</v>
      </c>
      <c r="AI208" s="9">
        <v>1.3300000000000001E-7</v>
      </c>
      <c r="AJ208" s="8">
        <v>120</v>
      </c>
      <c r="AK208" s="8" t="s">
        <v>49</v>
      </c>
      <c r="AL208" s="8" t="s">
        <v>50</v>
      </c>
      <c r="AM208" s="8" t="s">
        <v>219</v>
      </c>
      <c r="AN208" s="8">
        <v>6.7799999999999996E-3</v>
      </c>
      <c r="AO208" s="8">
        <v>1.2999999999999999E-2</v>
      </c>
      <c r="AP208" s="8">
        <v>2.2800000000000001E-2</v>
      </c>
      <c r="AQ208" s="8">
        <v>0.3</v>
      </c>
      <c r="AR208" s="8" t="s">
        <v>53</v>
      </c>
      <c r="AS208" s="8" t="s">
        <v>54</v>
      </c>
    </row>
    <row r="209" spans="1:45" x14ac:dyDescent="0.25">
      <c r="A209" s="8" t="s">
        <v>703</v>
      </c>
      <c r="B209" s="8" t="s">
        <v>378</v>
      </c>
      <c r="C209" s="8">
        <v>326</v>
      </c>
      <c r="D209" s="8">
        <v>283</v>
      </c>
      <c r="E209" s="9">
        <v>1.01E-7</v>
      </c>
      <c r="F209" s="8">
        <v>4.2999999999999997E-2</v>
      </c>
      <c r="G209" s="8">
        <v>2.8299999999999999E-4</v>
      </c>
      <c r="H209" s="8">
        <v>1E-3</v>
      </c>
      <c r="I209" s="9">
        <v>1.0000000000000001E-5</v>
      </c>
      <c r="J209" s="8">
        <v>3160000</v>
      </c>
      <c r="K209" s="8">
        <v>2450000</v>
      </c>
      <c r="L209" s="8">
        <v>24500</v>
      </c>
      <c r="M209" s="8">
        <v>184000</v>
      </c>
      <c r="N209" s="8">
        <v>98100</v>
      </c>
      <c r="O209" s="8">
        <v>0.03</v>
      </c>
      <c r="P209" s="8">
        <v>0.99199999999999999</v>
      </c>
      <c r="Q209" s="8">
        <v>23500</v>
      </c>
      <c r="R209" s="8">
        <v>0.95799999999999996</v>
      </c>
      <c r="S209" s="8">
        <v>6.7799999999999996E-3</v>
      </c>
      <c r="T209" s="8">
        <v>6.7799999999999996E-3</v>
      </c>
      <c r="U209" s="8">
        <v>1650</v>
      </c>
      <c r="V209" s="8">
        <v>1650</v>
      </c>
      <c r="W209" s="8">
        <v>6.5199999999999998E-3</v>
      </c>
      <c r="X209" s="8">
        <v>3.1E-2</v>
      </c>
      <c r="Y209" s="8">
        <v>3.7499999999999999E-2</v>
      </c>
      <c r="Z209" s="8">
        <v>12.8</v>
      </c>
      <c r="AA209" s="8" t="s">
        <v>44</v>
      </c>
      <c r="AB209" s="8">
        <v>84100</v>
      </c>
      <c r="AC209" s="8" t="s">
        <v>45</v>
      </c>
      <c r="AD209" s="8">
        <v>2</v>
      </c>
      <c r="AE209" s="9">
        <v>2.0000000000000002E-5</v>
      </c>
      <c r="AF209" s="9" t="s">
        <v>666</v>
      </c>
      <c r="AG209" s="8">
        <v>140000</v>
      </c>
      <c r="AH209" s="9" t="s">
        <v>658</v>
      </c>
      <c r="AI209" s="9">
        <v>3.9999999999999998E-7</v>
      </c>
      <c r="AJ209" s="8">
        <v>3.8</v>
      </c>
      <c r="AK209" s="8" t="s">
        <v>49</v>
      </c>
      <c r="AL209" s="8" t="s">
        <v>50</v>
      </c>
      <c r="AM209" s="8" t="s">
        <v>65</v>
      </c>
      <c r="AN209" s="8">
        <v>0.01</v>
      </c>
      <c r="AO209" s="8">
        <v>1.2999999999999999E-2</v>
      </c>
      <c r="AP209" s="8">
        <v>3.2000000000000001E-2</v>
      </c>
      <c r="AQ209" s="8" t="s">
        <v>52</v>
      </c>
      <c r="AR209" s="8" t="s">
        <v>53</v>
      </c>
      <c r="AS209" s="8" t="s">
        <v>54</v>
      </c>
    </row>
    <row r="210" spans="1:45" x14ac:dyDescent="0.25">
      <c r="A210" s="10" t="s">
        <v>379</v>
      </c>
      <c r="B210" s="10" t="s">
        <v>380</v>
      </c>
      <c r="C210" s="8">
        <v>295.32</v>
      </c>
      <c r="D210" s="8">
        <v>417.15</v>
      </c>
      <c r="E210" s="9">
        <v>1.49E-7</v>
      </c>
      <c r="F210" s="8">
        <v>0.55000000000000004</v>
      </c>
      <c r="G210" s="8">
        <v>3.8000000000000002E-4</v>
      </c>
      <c r="H210" s="8">
        <v>1E-3</v>
      </c>
      <c r="I210" s="9">
        <v>1.0000000000000001E-5</v>
      </c>
      <c r="J210" s="8">
        <v>43651.58322</v>
      </c>
      <c r="K210" s="8">
        <v>36425.040000000001</v>
      </c>
      <c r="L210" s="8">
        <v>364.25</v>
      </c>
      <c r="M210" s="8">
        <v>2731.88</v>
      </c>
      <c r="N210" s="8">
        <v>1457</v>
      </c>
      <c r="O210" s="8">
        <v>0.36</v>
      </c>
      <c r="P210" s="8">
        <v>1</v>
      </c>
      <c r="Q210" s="8">
        <v>869</v>
      </c>
      <c r="R210" s="8">
        <v>2.38</v>
      </c>
      <c r="S210" s="8">
        <v>8.0600000000000005E-2</v>
      </c>
      <c r="T210" s="8">
        <v>8.0600000000000005E-2</v>
      </c>
      <c r="U210" s="8">
        <v>12.9</v>
      </c>
      <c r="V210" s="8">
        <v>12.9</v>
      </c>
      <c r="W210" s="8">
        <v>7.5063630000000003E-3</v>
      </c>
      <c r="X210" s="8">
        <v>3.5655226999999998E-2</v>
      </c>
      <c r="Y210" s="8">
        <v>4.316159E-2</v>
      </c>
      <c r="Z210" s="8">
        <v>0.34674016099999999</v>
      </c>
      <c r="AA210" s="8" t="s">
        <v>44</v>
      </c>
      <c r="AB210" s="8">
        <v>746</v>
      </c>
      <c r="AC210" s="8">
        <v>1622.77856</v>
      </c>
      <c r="AD210" s="8" t="s">
        <v>46</v>
      </c>
      <c r="AE210" s="8">
        <v>3.0000000000000001E-3</v>
      </c>
      <c r="AF210" s="9" t="s">
        <v>639</v>
      </c>
      <c r="AH210" s="9" t="s">
        <v>646</v>
      </c>
      <c r="AI210" s="8">
        <v>1.0999999999999999E-2</v>
      </c>
      <c r="AJ210" s="9">
        <v>7.3999999999999996E-5</v>
      </c>
      <c r="AK210" s="8" t="s">
        <v>49</v>
      </c>
      <c r="AL210" s="8" t="s">
        <v>50</v>
      </c>
      <c r="AM210" s="8" t="s">
        <v>51</v>
      </c>
      <c r="AN210" s="8">
        <v>8.0600000000000005E-2</v>
      </c>
      <c r="AO210" s="8">
        <v>1.5012727E-2</v>
      </c>
      <c r="AP210" s="8">
        <v>2.6272271999999999E-2</v>
      </c>
      <c r="AQ210" s="8" t="s">
        <v>52</v>
      </c>
      <c r="AR210" s="8" t="s">
        <v>53</v>
      </c>
      <c r="AS210" s="8" t="s">
        <v>54</v>
      </c>
    </row>
    <row r="211" spans="1:45" x14ac:dyDescent="0.25">
      <c r="A211" s="8" t="s">
        <v>381</v>
      </c>
      <c r="B211" s="8" t="s">
        <v>382</v>
      </c>
      <c r="C211" s="8">
        <v>266</v>
      </c>
      <c r="D211" s="8">
        <v>443</v>
      </c>
      <c r="E211" s="9">
        <v>4.21E-8</v>
      </c>
      <c r="F211" s="8">
        <v>2000</v>
      </c>
      <c r="G211" s="9">
        <v>2.4E-8</v>
      </c>
      <c r="H211" s="8">
        <v>5.6000000000000001E-2</v>
      </c>
      <c r="I211" s="9">
        <v>6.1E-6</v>
      </c>
      <c r="J211" s="8">
        <v>126000</v>
      </c>
      <c r="K211" s="8">
        <v>592</v>
      </c>
      <c r="L211" s="8">
        <v>1.2</v>
      </c>
      <c r="M211" s="8">
        <v>44.4</v>
      </c>
      <c r="N211" s="8">
        <v>23.7</v>
      </c>
      <c r="O211" s="8">
        <v>1.42</v>
      </c>
      <c r="P211" s="8">
        <v>0.999</v>
      </c>
      <c r="Q211" s="8">
        <v>1960</v>
      </c>
      <c r="R211" s="8">
        <v>1640</v>
      </c>
      <c r="S211" s="8">
        <v>4.3700000000000003E-2</v>
      </c>
      <c r="T211" s="8">
        <v>4.3700000000000003E-2</v>
      </c>
      <c r="U211" s="8">
        <v>629000</v>
      </c>
      <c r="V211" s="8">
        <v>629000</v>
      </c>
      <c r="W211" s="9">
        <v>1.3900000000000001E-5</v>
      </c>
      <c r="X211" s="9">
        <v>6.6199999999999996E-5</v>
      </c>
      <c r="Y211" s="9">
        <v>8.0199999999999998E-5</v>
      </c>
      <c r="Z211" s="8">
        <v>0.95499999999999996</v>
      </c>
      <c r="AA211" s="8" t="s">
        <v>44</v>
      </c>
      <c r="AB211" s="8">
        <v>671</v>
      </c>
      <c r="AC211" s="8">
        <v>2450</v>
      </c>
      <c r="AD211" s="8" t="s">
        <v>46</v>
      </c>
      <c r="AE211" s="8">
        <v>5.0000000000000001E-3</v>
      </c>
      <c r="AF211" s="9" t="s">
        <v>639</v>
      </c>
      <c r="AG211" s="8">
        <v>0.4</v>
      </c>
      <c r="AH211" s="9" t="s">
        <v>639</v>
      </c>
      <c r="AI211" s="8" t="s">
        <v>57</v>
      </c>
      <c r="AJ211" s="9">
        <v>5.1000000000000003E-6</v>
      </c>
      <c r="AK211" s="8" t="s">
        <v>49</v>
      </c>
      <c r="AL211" s="8" t="s">
        <v>50</v>
      </c>
      <c r="AM211" s="8" t="s">
        <v>67</v>
      </c>
      <c r="AN211" s="8">
        <v>4.3700000000000003E-2</v>
      </c>
      <c r="AO211" s="9">
        <v>2.7900000000000001E-5</v>
      </c>
      <c r="AP211" s="9">
        <v>4.88E-5</v>
      </c>
      <c r="AQ211" s="8" t="s">
        <v>52</v>
      </c>
      <c r="AR211" s="8" t="s">
        <v>53</v>
      </c>
      <c r="AS211" s="8" t="s">
        <v>54</v>
      </c>
    </row>
    <row r="212" spans="1:45" x14ac:dyDescent="0.25">
      <c r="A212" s="10" t="s">
        <v>504</v>
      </c>
      <c r="B212" s="10" t="s">
        <v>505</v>
      </c>
      <c r="C212" s="8">
        <v>120.02</v>
      </c>
      <c r="D212" s="8">
        <v>111.93</v>
      </c>
      <c r="E212" s="9">
        <v>9.33</v>
      </c>
      <c r="F212" s="8">
        <v>867.3</v>
      </c>
      <c r="G212" s="9">
        <v>3.05</v>
      </c>
      <c r="I212" s="9"/>
      <c r="J212" s="8">
        <v>35.5</v>
      </c>
      <c r="K212" s="9">
        <v>136.19999999999999</v>
      </c>
      <c r="M212" s="8">
        <f t="shared" ref="M212:M214" si="9">(0.075*K212)</f>
        <v>10.214999999999998</v>
      </c>
      <c r="N212" s="8">
        <f t="shared" ref="N212:N214" si="10">(0.04*K212)</f>
        <v>5.4479999999999995</v>
      </c>
      <c r="P212" s="8">
        <v>1</v>
      </c>
      <c r="W212" s="9"/>
      <c r="X212" s="9"/>
      <c r="Y212" s="9"/>
      <c r="AB212" s="8">
        <v>4.3869999999999996</v>
      </c>
      <c r="AC212" s="8">
        <v>4.3869999999999996</v>
      </c>
      <c r="AJ212" s="9"/>
      <c r="AM212" s="8" t="s">
        <v>713</v>
      </c>
      <c r="AO212" s="9"/>
      <c r="AP212" s="9"/>
    </row>
    <row r="213" spans="1:45" x14ac:dyDescent="0.25">
      <c r="A213" s="10" t="s">
        <v>704</v>
      </c>
      <c r="B213" s="10" t="s">
        <v>524</v>
      </c>
      <c r="C213" s="8">
        <v>588.08000000000004</v>
      </c>
      <c r="D213" s="8">
        <v>258.45999999999998</v>
      </c>
      <c r="E213" s="9">
        <v>2.3400000000000001E-3</v>
      </c>
      <c r="F213" s="9">
        <v>3.6200000000000001E-6</v>
      </c>
      <c r="G213" s="9">
        <v>73800000</v>
      </c>
      <c r="I213" s="9"/>
      <c r="J213" s="9">
        <v>151000000</v>
      </c>
      <c r="K213" s="9">
        <v>144000000</v>
      </c>
      <c r="M213" s="8">
        <f t="shared" si="9"/>
        <v>10800000</v>
      </c>
      <c r="N213" s="8">
        <f t="shared" si="10"/>
        <v>5760000</v>
      </c>
      <c r="P213" s="8">
        <v>1</v>
      </c>
      <c r="W213" s="9"/>
      <c r="X213" s="9"/>
      <c r="Y213" s="9"/>
      <c r="AB213" s="8">
        <v>2301</v>
      </c>
      <c r="AC213" s="9">
        <v>8460000</v>
      </c>
      <c r="AJ213" s="9"/>
      <c r="AM213" s="8" t="s">
        <v>715</v>
      </c>
      <c r="AO213" s="9"/>
      <c r="AP213" s="9"/>
    </row>
    <row r="214" spans="1:45" x14ac:dyDescent="0.25">
      <c r="A214" s="8" t="s">
        <v>623</v>
      </c>
      <c r="B214" s="8" t="s">
        <v>384</v>
      </c>
      <c r="C214" s="8">
        <v>252.32</v>
      </c>
      <c r="D214" s="8">
        <v>443.4</v>
      </c>
      <c r="E214" s="9">
        <v>1.76E-12</v>
      </c>
      <c r="F214" s="8">
        <v>8.1949999999999992E-3</v>
      </c>
      <c r="G214" s="9">
        <v>8.0999999999999997E-7</v>
      </c>
      <c r="H214" s="9">
        <v>2.5499999999999998E-2</v>
      </c>
      <c r="I214" s="9">
        <v>6.5799999999999997E-6</v>
      </c>
      <c r="J214" s="9">
        <v>1290000</v>
      </c>
      <c r="K214" s="9">
        <v>599000</v>
      </c>
      <c r="L214" s="8">
        <v>160000</v>
      </c>
      <c r="M214" s="8">
        <f t="shared" si="9"/>
        <v>44925</v>
      </c>
      <c r="N214" s="8">
        <f t="shared" si="10"/>
        <v>23960</v>
      </c>
      <c r="O214" s="8">
        <v>0.48</v>
      </c>
      <c r="P214" s="8">
        <f>1-0.348</f>
        <v>0.65200000000000002</v>
      </c>
      <c r="Q214" s="8">
        <v>9680</v>
      </c>
      <c r="R214" s="8">
        <v>6.0499999999999998E-2</v>
      </c>
      <c r="S214" s="8">
        <v>1.32E-2</v>
      </c>
      <c r="T214" s="8">
        <v>1.32E-2</v>
      </c>
      <c r="U214" s="9">
        <v>9.1299999999999992E-3</v>
      </c>
      <c r="V214" s="9">
        <v>9.1299999999999992E-3</v>
      </c>
      <c r="W214" s="9">
        <v>1.4E-2</v>
      </c>
      <c r="X214" s="9">
        <v>4.4499999999999998E-2</v>
      </c>
      <c r="Y214" s="8">
        <v>4.5499999999999999E-2</v>
      </c>
      <c r="Z214" s="8">
        <v>10.7</v>
      </c>
      <c r="AA214" s="8" t="s">
        <v>44</v>
      </c>
      <c r="AB214" s="8">
        <v>267.7</v>
      </c>
      <c r="AC214" s="8">
        <v>286.39999999999998</v>
      </c>
      <c r="AD214" s="8" t="s">
        <v>46</v>
      </c>
      <c r="AE214" s="8" t="s">
        <v>56</v>
      </c>
      <c r="AG214" s="8" t="s">
        <v>47</v>
      </c>
      <c r="AI214" s="8" t="s">
        <v>57</v>
      </c>
      <c r="AJ214" s="8" t="s">
        <v>48</v>
      </c>
      <c r="AK214" s="8" t="s">
        <v>49</v>
      </c>
      <c r="AL214" s="8" t="s">
        <v>50</v>
      </c>
      <c r="AM214" s="8" t="s">
        <v>72</v>
      </c>
      <c r="AN214" s="8">
        <v>1.32E-2</v>
      </c>
      <c r="AO214" s="8">
        <v>1.5800000000000002E-2</v>
      </c>
      <c r="AP214" s="8">
        <v>2.7699999999999999E-2</v>
      </c>
      <c r="AQ214" s="8" t="s">
        <v>52</v>
      </c>
      <c r="AR214" s="8" t="s">
        <v>53</v>
      </c>
      <c r="AS214" s="8" t="s">
        <v>54</v>
      </c>
    </row>
    <row r="215" spans="1:45" x14ac:dyDescent="0.25">
      <c r="A215" s="8" t="s">
        <v>386</v>
      </c>
      <c r="B215" s="8" t="s">
        <v>387</v>
      </c>
      <c r="C215" s="8">
        <v>178</v>
      </c>
      <c r="D215" s="8">
        <v>372</v>
      </c>
      <c r="E215" s="9">
        <v>1.4499999999999999E-7</v>
      </c>
      <c r="F215" s="8">
        <v>1.1000000000000001</v>
      </c>
      <c r="G215" s="9">
        <v>2.3E-5</v>
      </c>
      <c r="H215" s="8">
        <v>1E-3</v>
      </c>
      <c r="I215" s="9">
        <v>1.0000000000000001E-5</v>
      </c>
      <c r="J215" s="8">
        <v>31600</v>
      </c>
      <c r="K215" s="8">
        <v>26500</v>
      </c>
      <c r="L215" s="8">
        <v>3700</v>
      </c>
      <c r="M215" s="8">
        <v>1990</v>
      </c>
      <c r="N215" s="8">
        <v>1060</v>
      </c>
      <c r="O215" s="8">
        <v>1.26</v>
      </c>
      <c r="P215" s="8">
        <v>0.999</v>
      </c>
      <c r="Q215" s="8">
        <v>678</v>
      </c>
      <c r="R215" s="8">
        <v>0.183</v>
      </c>
      <c r="S215" s="8">
        <v>9.7000000000000003E-2</v>
      </c>
      <c r="T215" s="8">
        <v>9.7100000000000006E-2</v>
      </c>
      <c r="U215" s="8">
        <v>151</v>
      </c>
      <c r="V215" s="8">
        <v>151</v>
      </c>
      <c r="W215" s="8">
        <v>7.1199999999999996E-3</v>
      </c>
      <c r="X215" s="8">
        <v>3.3799999999999997E-2</v>
      </c>
      <c r="Y215" s="8">
        <v>4.0899999999999999E-2</v>
      </c>
      <c r="Z215" s="8">
        <v>0.28199999999999997</v>
      </c>
      <c r="AA215" s="8" t="s">
        <v>44</v>
      </c>
      <c r="AB215" s="8">
        <v>582</v>
      </c>
      <c r="AC215" s="8">
        <v>1030</v>
      </c>
      <c r="AD215" s="8" t="s">
        <v>46</v>
      </c>
      <c r="AE215" s="8" t="s">
        <v>56</v>
      </c>
      <c r="AG215" s="8" t="s">
        <v>47</v>
      </c>
      <c r="AI215" s="8" t="s">
        <v>57</v>
      </c>
      <c r="AJ215" s="8" t="s">
        <v>48</v>
      </c>
      <c r="AK215" s="8" t="s">
        <v>49</v>
      </c>
      <c r="AL215" s="8" t="s">
        <v>50</v>
      </c>
      <c r="AM215" s="8" t="s">
        <v>72</v>
      </c>
      <c r="AN215" s="8">
        <v>9.7100000000000006E-2</v>
      </c>
      <c r="AO215" s="8">
        <v>1.4200000000000001E-2</v>
      </c>
      <c r="AP215" s="8">
        <v>2.4899999999999999E-2</v>
      </c>
      <c r="AQ215" s="8" t="s">
        <v>52</v>
      </c>
      <c r="AR215" s="8" t="s">
        <v>53</v>
      </c>
      <c r="AS215" s="8" t="s">
        <v>54</v>
      </c>
    </row>
    <row r="216" spans="1:45" x14ac:dyDescent="0.25">
      <c r="A216" s="8" t="s">
        <v>388</v>
      </c>
      <c r="B216" s="8" t="s">
        <v>389</v>
      </c>
      <c r="C216" s="8">
        <v>94.1</v>
      </c>
      <c r="D216" s="8">
        <v>314</v>
      </c>
      <c r="E216" s="8">
        <v>3.68E-4</v>
      </c>
      <c r="F216" s="8">
        <v>83000</v>
      </c>
      <c r="G216" s="9">
        <v>3.9999999999999998E-7</v>
      </c>
      <c r="H216" s="8">
        <v>8.2000000000000003E-2</v>
      </c>
      <c r="I216" s="9">
        <v>9.0999999999999993E-6</v>
      </c>
      <c r="J216" s="8">
        <v>31.6</v>
      </c>
      <c r="K216" s="8">
        <v>29.8</v>
      </c>
      <c r="L216" s="8">
        <v>4.4000000000000004</v>
      </c>
      <c r="M216" s="8">
        <v>2.2400000000000002</v>
      </c>
      <c r="N216" s="8">
        <v>1.2</v>
      </c>
      <c r="O216" s="8">
        <v>25.3</v>
      </c>
      <c r="P216" s="8">
        <v>1</v>
      </c>
      <c r="Q216" s="8">
        <v>9.6300000000000008</v>
      </c>
      <c r="R216" s="8">
        <v>2.19</v>
      </c>
      <c r="S216" s="8">
        <v>5.26</v>
      </c>
      <c r="T216" s="8">
        <v>5.26</v>
      </c>
      <c r="U216" s="8">
        <v>5.53</v>
      </c>
      <c r="V216" s="8">
        <v>5.53</v>
      </c>
      <c r="W216" s="8">
        <v>2.6499999999999999E-4</v>
      </c>
      <c r="X216" s="8">
        <v>1.2600000000000001E-3</v>
      </c>
      <c r="Y216" s="8">
        <v>1.5299999999999999E-3</v>
      </c>
      <c r="Z216" s="8">
        <v>2.3800000000000001E-4</v>
      </c>
      <c r="AA216" s="8" t="s">
        <v>44</v>
      </c>
      <c r="AB216" s="8">
        <v>2.85</v>
      </c>
      <c r="AC216" s="8" t="s">
        <v>45</v>
      </c>
      <c r="AD216" s="8" t="s">
        <v>46</v>
      </c>
      <c r="AE216" s="8">
        <v>0.3</v>
      </c>
      <c r="AF216" s="8" t="s">
        <v>639</v>
      </c>
      <c r="AG216" s="8" t="s">
        <v>47</v>
      </c>
      <c r="AI216" s="8">
        <v>0.2</v>
      </c>
      <c r="AJ216" s="8" t="s">
        <v>48</v>
      </c>
      <c r="AK216" s="8" t="s">
        <v>49</v>
      </c>
      <c r="AL216" s="8" t="s">
        <v>50</v>
      </c>
      <c r="AM216" s="8" t="s">
        <v>67</v>
      </c>
      <c r="AN216" s="8">
        <v>5.26</v>
      </c>
      <c r="AO216" s="8">
        <v>5.2999999999999998E-4</v>
      </c>
      <c r="AP216" s="8">
        <v>9.2800000000000001E-4</v>
      </c>
      <c r="AQ216" s="8" t="s">
        <v>52</v>
      </c>
      <c r="AR216" s="8" t="s">
        <v>53</v>
      </c>
      <c r="AS216" s="8" t="s">
        <v>54</v>
      </c>
    </row>
    <row r="217" spans="1:45" x14ac:dyDescent="0.25">
      <c r="A217" s="8" t="s">
        <v>624</v>
      </c>
      <c r="B217" s="8" t="s">
        <v>385</v>
      </c>
      <c r="C217" s="8">
        <v>138.16999999999999</v>
      </c>
      <c r="D217" s="8">
        <v>296.47000000000003</v>
      </c>
      <c r="E217" s="9">
        <v>5.9000000000000003E-6</v>
      </c>
      <c r="F217" s="9">
        <v>28000</v>
      </c>
      <c r="G217" s="9">
        <v>1.5500000000000001E-5</v>
      </c>
      <c r="H217" s="8" t="s">
        <v>44</v>
      </c>
      <c r="I217" s="8" t="s">
        <v>44</v>
      </c>
      <c r="J217" s="8">
        <v>12.6</v>
      </c>
      <c r="K217" s="8">
        <v>14.92</v>
      </c>
      <c r="L217" s="8" t="s">
        <v>57</v>
      </c>
      <c r="M217" s="8">
        <f t="shared" ref="M217:M220" si="11">(0.075*K217)</f>
        <v>1.119</v>
      </c>
      <c r="N217" s="8">
        <f t="shared" ref="N217:N220" si="12">(0.04*K217)</f>
        <v>0.5968</v>
      </c>
      <c r="O217" s="8" t="s">
        <v>57</v>
      </c>
      <c r="P217" s="8">
        <f>(1-0.000187)</f>
        <v>0.99981299999999995</v>
      </c>
      <c r="Q217" s="8" t="s">
        <v>57</v>
      </c>
      <c r="R217" s="8" t="s">
        <v>57</v>
      </c>
      <c r="S217" s="8" t="s">
        <v>56</v>
      </c>
      <c r="T217" s="8" t="s">
        <v>56</v>
      </c>
      <c r="U217" s="8" t="s">
        <v>57</v>
      </c>
      <c r="V217" s="8" t="s">
        <v>57</v>
      </c>
      <c r="W217" s="8" t="s">
        <v>62</v>
      </c>
      <c r="X217" s="8" t="s">
        <v>62</v>
      </c>
      <c r="Y217" s="8" t="s">
        <v>62</v>
      </c>
      <c r="Z217" s="8" t="s">
        <v>44</v>
      </c>
      <c r="AA217" s="8" t="s">
        <v>44</v>
      </c>
      <c r="AB217" s="8">
        <v>1.8640000000000001</v>
      </c>
      <c r="AC217" s="8">
        <v>1.8640000000000001</v>
      </c>
      <c r="AD217" s="8" t="s">
        <v>46</v>
      </c>
      <c r="AE217" s="8" t="s">
        <v>56</v>
      </c>
      <c r="AG217" s="8" t="s">
        <v>47</v>
      </c>
      <c r="AI217" s="8" t="s">
        <v>57</v>
      </c>
      <c r="AJ217" s="8" t="s">
        <v>48</v>
      </c>
      <c r="AK217" s="8" t="s">
        <v>49</v>
      </c>
      <c r="AL217" s="8" t="s">
        <v>61</v>
      </c>
      <c r="AM217" s="8" t="s">
        <v>51</v>
      </c>
      <c r="AN217" s="8" t="s">
        <v>44</v>
      </c>
      <c r="AO217" s="8" t="s">
        <v>44</v>
      </c>
      <c r="AP217" s="8" t="s">
        <v>44</v>
      </c>
      <c r="AQ217" s="8" t="s">
        <v>52</v>
      </c>
      <c r="AR217" s="8" t="s">
        <v>53</v>
      </c>
      <c r="AS217" s="8" t="s">
        <v>54</v>
      </c>
    </row>
    <row r="218" spans="1:45" x14ac:dyDescent="0.25">
      <c r="A218" s="10" t="s">
        <v>528</v>
      </c>
      <c r="B218" s="10" t="s">
        <v>529</v>
      </c>
      <c r="C218" s="8">
        <v>108.14</v>
      </c>
      <c r="D218" s="8">
        <v>236.83</v>
      </c>
      <c r="E218" s="9">
        <v>8.5799999999999998E-7</v>
      </c>
      <c r="F218" s="9">
        <v>199000</v>
      </c>
      <c r="G218" s="9">
        <v>6.7299999999999995E-10</v>
      </c>
      <c r="H218" s="9">
        <v>8.3699999999999997E-2</v>
      </c>
      <c r="I218" s="9">
        <v>9.7799999999999995E-6</v>
      </c>
      <c r="J218" s="9">
        <v>0.40699999999999997</v>
      </c>
      <c r="K218" s="9">
        <v>33.83</v>
      </c>
      <c r="M218" s="8">
        <f t="shared" si="11"/>
        <v>2.5372499999999998</v>
      </c>
      <c r="N218" s="8">
        <f t="shared" si="12"/>
        <v>1.3532</v>
      </c>
      <c r="P218" s="8">
        <v>0.99990000000000001</v>
      </c>
      <c r="U218" s="9">
        <v>57.5</v>
      </c>
      <c r="V218" s="9">
        <v>57.5</v>
      </c>
      <c r="W218" s="9">
        <v>3.9600000000000004E-9</v>
      </c>
      <c r="X218" s="9">
        <v>1.2499999999999999E-8</v>
      </c>
      <c r="AB218" s="8">
        <v>0.91239999999999999</v>
      </c>
      <c r="AC218" s="8">
        <v>0.91239999999999999</v>
      </c>
    </row>
    <row r="219" spans="1:45" x14ac:dyDescent="0.25">
      <c r="A219" s="8" t="s">
        <v>625</v>
      </c>
      <c r="B219" s="8" t="s">
        <v>390</v>
      </c>
      <c r="C219" s="8">
        <v>34</v>
      </c>
      <c r="D219" s="8">
        <v>140</v>
      </c>
      <c r="E219" s="8">
        <v>41</v>
      </c>
      <c r="F219" s="8">
        <v>312</v>
      </c>
      <c r="G219" s="8" t="s">
        <v>56</v>
      </c>
      <c r="H219" s="8">
        <v>0.18099999999999999</v>
      </c>
      <c r="I219" s="8" t="s">
        <v>44</v>
      </c>
      <c r="J219" s="8">
        <v>490000</v>
      </c>
      <c r="K219" s="8" t="s">
        <v>44</v>
      </c>
      <c r="L219" s="8" t="s">
        <v>57</v>
      </c>
      <c r="M219" s="8" t="e">
        <f t="shared" si="11"/>
        <v>#VALUE!</v>
      </c>
      <c r="N219" s="8" t="e">
        <f t="shared" si="12"/>
        <v>#VALUE!</v>
      </c>
      <c r="O219" s="8">
        <v>36.1</v>
      </c>
      <c r="P219" s="8">
        <v>0</v>
      </c>
      <c r="Q219" s="8" t="s">
        <v>57</v>
      </c>
      <c r="R219" s="8" t="s">
        <v>57</v>
      </c>
      <c r="S219" s="8" t="s">
        <v>56</v>
      </c>
      <c r="T219" s="8" t="s">
        <v>56</v>
      </c>
      <c r="U219" s="8" t="s">
        <v>57</v>
      </c>
      <c r="V219" s="8" t="s">
        <v>57</v>
      </c>
      <c r="W219" s="8" t="s">
        <v>62</v>
      </c>
      <c r="X219" s="8" t="s">
        <v>62</v>
      </c>
      <c r="Y219" s="8" t="s">
        <v>62</v>
      </c>
      <c r="Z219" s="8" t="s">
        <v>44</v>
      </c>
      <c r="AA219" s="8" t="s">
        <v>44</v>
      </c>
      <c r="AB219" s="8" t="s">
        <v>63</v>
      </c>
      <c r="AC219" s="8" t="s">
        <v>45</v>
      </c>
      <c r="AD219" s="8" t="s">
        <v>46</v>
      </c>
      <c r="AE219" s="8">
        <v>2.9999999999999997E-4</v>
      </c>
      <c r="AF219" s="8" t="s">
        <v>639</v>
      </c>
      <c r="AG219" s="8" t="s">
        <v>47</v>
      </c>
      <c r="AI219" s="8">
        <v>2.9999999999999997E-4</v>
      </c>
      <c r="AJ219" s="8" t="s">
        <v>48</v>
      </c>
      <c r="AK219" s="8" t="s">
        <v>49</v>
      </c>
      <c r="AL219" s="8" t="s">
        <v>110</v>
      </c>
      <c r="AM219" s="8" t="s">
        <v>51</v>
      </c>
      <c r="AN219" s="8" t="s">
        <v>44</v>
      </c>
      <c r="AO219" s="8" t="s">
        <v>44</v>
      </c>
      <c r="AP219" s="8" t="s">
        <v>44</v>
      </c>
      <c r="AQ219" s="8" t="s">
        <v>52</v>
      </c>
      <c r="AR219" s="8" t="s">
        <v>53</v>
      </c>
      <c r="AS219" s="8" t="s">
        <v>54</v>
      </c>
    </row>
    <row r="220" spans="1:45" x14ac:dyDescent="0.25">
      <c r="A220" s="8" t="s">
        <v>626</v>
      </c>
      <c r="B220" s="8" t="s">
        <v>391</v>
      </c>
      <c r="C220" s="8">
        <v>124</v>
      </c>
      <c r="D220" s="8">
        <v>317</v>
      </c>
      <c r="E220" s="9">
        <v>3.4199999999999998E-5</v>
      </c>
      <c r="F220" s="8">
        <v>3</v>
      </c>
      <c r="G220" s="8" t="s">
        <v>56</v>
      </c>
      <c r="H220" s="8" t="s">
        <v>44</v>
      </c>
      <c r="I220" s="8" t="s">
        <v>44</v>
      </c>
      <c r="J220" s="8">
        <v>1200</v>
      </c>
      <c r="K220" s="8" t="s">
        <v>44</v>
      </c>
      <c r="L220" s="8" t="s">
        <v>57</v>
      </c>
      <c r="M220" s="8" t="e">
        <f t="shared" si="11"/>
        <v>#VALUE!</v>
      </c>
      <c r="N220" s="8" t="e">
        <f t="shared" si="12"/>
        <v>#VALUE!</v>
      </c>
      <c r="O220" s="8">
        <v>10.1</v>
      </c>
      <c r="P220" s="8">
        <v>0</v>
      </c>
      <c r="Q220" s="8" t="s">
        <v>57</v>
      </c>
      <c r="R220" s="8" t="s">
        <v>57</v>
      </c>
      <c r="S220" s="8" t="s">
        <v>56</v>
      </c>
      <c r="T220" s="8" t="s">
        <v>56</v>
      </c>
      <c r="U220" s="8" t="s">
        <v>57</v>
      </c>
      <c r="V220" s="8" t="s">
        <v>57</v>
      </c>
      <c r="W220" s="8" t="s">
        <v>62</v>
      </c>
      <c r="X220" s="8" t="s">
        <v>62</v>
      </c>
      <c r="Y220" s="8" t="s">
        <v>62</v>
      </c>
      <c r="Z220" s="8" t="s">
        <v>44</v>
      </c>
      <c r="AA220" s="8" t="s">
        <v>44</v>
      </c>
      <c r="AB220" s="8" t="s">
        <v>63</v>
      </c>
      <c r="AC220" s="8" t="s">
        <v>45</v>
      </c>
      <c r="AD220" s="8" t="s">
        <v>46</v>
      </c>
      <c r="AE220" s="9">
        <v>2.0000000000000002E-5</v>
      </c>
      <c r="AF220" s="9" t="s">
        <v>639</v>
      </c>
      <c r="AG220" s="8" t="s">
        <v>47</v>
      </c>
      <c r="AI220" s="8" t="s">
        <v>57</v>
      </c>
      <c r="AJ220" s="8" t="s">
        <v>48</v>
      </c>
      <c r="AK220" s="8" t="s">
        <v>49</v>
      </c>
      <c r="AL220" s="8" t="s">
        <v>110</v>
      </c>
      <c r="AM220" s="8" t="s">
        <v>111</v>
      </c>
      <c r="AN220" s="8" t="s">
        <v>44</v>
      </c>
      <c r="AO220" s="8" t="s">
        <v>44</v>
      </c>
      <c r="AP220" s="8" t="s">
        <v>44</v>
      </c>
      <c r="AQ220" s="8" t="s">
        <v>52</v>
      </c>
      <c r="AR220" s="8" t="s">
        <v>53</v>
      </c>
      <c r="AS220" s="8" t="s">
        <v>54</v>
      </c>
    </row>
    <row r="221" spans="1:45" x14ac:dyDescent="0.25">
      <c r="A221" s="8" t="s">
        <v>392</v>
      </c>
      <c r="B221" s="8" t="s">
        <v>393</v>
      </c>
      <c r="C221" s="8">
        <v>148.12</v>
      </c>
      <c r="D221" s="8">
        <v>403.95</v>
      </c>
      <c r="E221" s="9">
        <v>6.7999999999999995E-7</v>
      </c>
      <c r="F221" s="8">
        <v>6200</v>
      </c>
      <c r="G221" s="9">
        <v>1.63E-8</v>
      </c>
      <c r="H221" s="8">
        <v>7.0999999999999994E-2</v>
      </c>
      <c r="I221" s="9">
        <v>8.6000000000000007E-6</v>
      </c>
      <c r="J221" s="8">
        <v>0.239883292</v>
      </c>
      <c r="K221" s="8">
        <v>0.25</v>
      </c>
      <c r="L221" s="8">
        <v>2E-3</v>
      </c>
      <c r="M221" s="8">
        <v>0.02</v>
      </c>
      <c r="N221" s="8">
        <v>0.01</v>
      </c>
      <c r="O221" s="8">
        <v>13490.4</v>
      </c>
      <c r="P221" s="8">
        <v>1</v>
      </c>
      <c r="Q221" s="8">
        <v>6.39</v>
      </c>
      <c r="R221" s="8">
        <v>2599</v>
      </c>
      <c r="S221" s="8">
        <v>8.3800000000000008</v>
      </c>
      <c r="T221" s="8">
        <v>8.3800000000000008</v>
      </c>
      <c r="U221" s="8">
        <v>0.75</v>
      </c>
      <c r="V221" s="8">
        <v>0.75</v>
      </c>
      <c r="W221" s="9">
        <v>2.1900000000000002E-6</v>
      </c>
      <c r="X221" s="9">
        <v>1.04E-5</v>
      </c>
      <c r="Y221" s="9">
        <v>1.26E-5</v>
      </c>
      <c r="Z221" s="9">
        <v>1.99E-6</v>
      </c>
      <c r="AA221" s="8" t="s">
        <v>44</v>
      </c>
      <c r="AB221" s="8">
        <v>3.16</v>
      </c>
      <c r="AC221" s="8" t="s">
        <v>45</v>
      </c>
      <c r="AD221" s="8" t="s">
        <v>46</v>
      </c>
      <c r="AE221" s="8">
        <v>2</v>
      </c>
      <c r="AF221" s="8" t="s">
        <v>639</v>
      </c>
      <c r="AG221" s="8" t="s">
        <v>47</v>
      </c>
      <c r="AI221" s="8">
        <v>0.02</v>
      </c>
      <c r="AJ221" s="8" t="s">
        <v>48</v>
      </c>
      <c r="AK221" s="8" t="s">
        <v>49</v>
      </c>
      <c r="AL221" s="8" t="s">
        <v>50</v>
      </c>
      <c r="AM221" s="8" t="s">
        <v>51</v>
      </c>
      <c r="AN221" s="8">
        <v>8.3800000000000008</v>
      </c>
      <c r="AO221" s="9">
        <v>4.3800000000000004E-6</v>
      </c>
      <c r="AP221" s="9">
        <v>7.6699999999999994E-6</v>
      </c>
      <c r="AQ221" s="8" t="s">
        <v>52</v>
      </c>
      <c r="AR221" s="8" t="s">
        <v>53</v>
      </c>
      <c r="AS221" s="8" t="s">
        <v>54</v>
      </c>
    </row>
    <row r="222" spans="1:45" x14ac:dyDescent="0.25">
      <c r="A222" s="8" t="s">
        <v>394</v>
      </c>
      <c r="B222" s="8" t="s">
        <v>395</v>
      </c>
      <c r="C222" s="8" t="s">
        <v>44</v>
      </c>
      <c r="D222" s="8">
        <v>273</v>
      </c>
      <c r="E222" s="8" t="s">
        <v>57</v>
      </c>
      <c r="F222" s="8" t="s">
        <v>46</v>
      </c>
      <c r="G222" s="8" t="s">
        <v>56</v>
      </c>
      <c r="H222" s="8" t="s">
        <v>44</v>
      </c>
      <c r="I222" s="8" t="s">
        <v>44</v>
      </c>
      <c r="J222" s="8" t="s">
        <v>57</v>
      </c>
      <c r="K222" s="8" t="s">
        <v>44</v>
      </c>
      <c r="L222" s="8" t="s">
        <v>57</v>
      </c>
      <c r="O222" s="8" t="s">
        <v>57</v>
      </c>
      <c r="P222" s="8">
        <v>0</v>
      </c>
      <c r="Q222" s="8" t="s">
        <v>57</v>
      </c>
      <c r="R222" s="8" t="s">
        <v>57</v>
      </c>
      <c r="S222" s="8" t="s">
        <v>56</v>
      </c>
      <c r="T222" s="8" t="s">
        <v>56</v>
      </c>
      <c r="U222" s="8" t="s">
        <v>57</v>
      </c>
      <c r="V222" s="8" t="s">
        <v>57</v>
      </c>
      <c r="W222" s="8" t="s">
        <v>62</v>
      </c>
      <c r="X222" s="8" t="s">
        <v>62</v>
      </c>
      <c r="Y222" s="8" t="s">
        <v>62</v>
      </c>
      <c r="Z222" s="8" t="s">
        <v>44</v>
      </c>
      <c r="AA222" s="8" t="s">
        <v>44</v>
      </c>
      <c r="AB222" s="8" t="s">
        <v>63</v>
      </c>
      <c r="AC222" s="8" t="s">
        <v>45</v>
      </c>
      <c r="AD222" s="8" t="s">
        <v>46</v>
      </c>
      <c r="AE222" s="8" t="s">
        <v>56</v>
      </c>
      <c r="AG222" s="8" t="s">
        <v>47</v>
      </c>
      <c r="AI222" s="8" t="s">
        <v>57</v>
      </c>
      <c r="AJ222" s="8" t="s">
        <v>48</v>
      </c>
      <c r="AK222" s="8" t="s">
        <v>49</v>
      </c>
      <c r="AL222" s="8" t="s">
        <v>61</v>
      </c>
      <c r="AM222" s="8" t="s">
        <v>51</v>
      </c>
      <c r="AN222" s="8" t="s">
        <v>44</v>
      </c>
      <c r="AO222" s="8" t="s">
        <v>44</v>
      </c>
      <c r="AP222" s="8" t="s">
        <v>44</v>
      </c>
      <c r="AQ222" s="8" t="s">
        <v>52</v>
      </c>
      <c r="AR222" s="8" t="s">
        <v>53</v>
      </c>
      <c r="AS222" s="8" t="s">
        <v>54</v>
      </c>
    </row>
    <row r="223" spans="1:45" x14ac:dyDescent="0.25">
      <c r="A223" s="8" t="s">
        <v>767</v>
      </c>
      <c r="B223" s="8" t="s">
        <v>766</v>
      </c>
    </row>
    <row r="224" spans="1:45" x14ac:dyDescent="0.25">
      <c r="A224" s="8" t="s">
        <v>396</v>
      </c>
      <c r="B224" s="8" t="s">
        <v>397</v>
      </c>
      <c r="C224" s="8" t="s">
        <v>44</v>
      </c>
      <c r="D224" s="8">
        <v>273</v>
      </c>
      <c r="E224" s="8" t="s">
        <v>57</v>
      </c>
      <c r="F224" s="8" t="s">
        <v>46</v>
      </c>
      <c r="G224" s="8" t="s">
        <v>56</v>
      </c>
      <c r="H224" s="8" t="s">
        <v>44</v>
      </c>
      <c r="I224" s="8" t="s">
        <v>44</v>
      </c>
      <c r="J224" s="8" t="s">
        <v>57</v>
      </c>
      <c r="K224" s="8" t="s">
        <v>44</v>
      </c>
      <c r="L224" s="8" t="s">
        <v>57</v>
      </c>
      <c r="O224" s="8" t="s">
        <v>57</v>
      </c>
      <c r="P224" s="8">
        <v>0</v>
      </c>
      <c r="Q224" s="8" t="s">
        <v>57</v>
      </c>
      <c r="R224" s="8" t="s">
        <v>57</v>
      </c>
      <c r="S224" s="8" t="s">
        <v>56</v>
      </c>
      <c r="T224" s="8" t="s">
        <v>56</v>
      </c>
      <c r="U224" s="8" t="s">
        <v>57</v>
      </c>
      <c r="V224" s="8" t="s">
        <v>57</v>
      </c>
      <c r="W224" s="8" t="s">
        <v>62</v>
      </c>
      <c r="X224" s="8" t="s">
        <v>62</v>
      </c>
      <c r="Y224" s="8" t="s">
        <v>62</v>
      </c>
      <c r="Z224" s="8" t="s">
        <v>44</v>
      </c>
      <c r="AA224" s="8" t="s">
        <v>44</v>
      </c>
      <c r="AB224" s="8" t="s">
        <v>63</v>
      </c>
      <c r="AC224" s="8" t="s">
        <v>45</v>
      </c>
      <c r="AD224" s="8" t="s">
        <v>46</v>
      </c>
      <c r="AE224" s="8" t="s">
        <v>56</v>
      </c>
      <c r="AG224" s="8" t="s">
        <v>47</v>
      </c>
      <c r="AI224" s="8" t="s">
        <v>57</v>
      </c>
      <c r="AJ224" s="8" t="s">
        <v>48</v>
      </c>
      <c r="AK224" s="8" t="s">
        <v>49</v>
      </c>
      <c r="AL224" s="8" t="s">
        <v>61</v>
      </c>
      <c r="AM224" s="8" t="s">
        <v>51</v>
      </c>
      <c r="AN224" s="8" t="s">
        <v>44</v>
      </c>
      <c r="AO224" s="8" t="s">
        <v>44</v>
      </c>
      <c r="AP224" s="8" t="s">
        <v>44</v>
      </c>
      <c r="AQ224" s="8" t="s">
        <v>52</v>
      </c>
      <c r="AR224" s="8" t="s">
        <v>53</v>
      </c>
      <c r="AS224" s="8" t="s">
        <v>54</v>
      </c>
    </row>
    <row r="225" spans="1:45" x14ac:dyDescent="0.25">
      <c r="A225" s="8" t="s">
        <v>673</v>
      </c>
      <c r="B225" s="8" t="s">
        <v>672</v>
      </c>
      <c r="C225" s="8" t="s">
        <v>44</v>
      </c>
      <c r="D225" s="8">
        <v>273</v>
      </c>
      <c r="E225" s="8" t="s">
        <v>57</v>
      </c>
      <c r="F225" s="8" t="s">
        <v>46</v>
      </c>
      <c r="G225" s="8" t="s">
        <v>56</v>
      </c>
      <c r="H225" s="8" t="s">
        <v>44</v>
      </c>
      <c r="I225" s="8" t="s">
        <v>44</v>
      </c>
      <c r="J225" s="8" t="s">
        <v>57</v>
      </c>
      <c r="K225" s="8" t="s">
        <v>44</v>
      </c>
      <c r="L225" s="8" t="s">
        <v>57</v>
      </c>
      <c r="O225" s="8" t="s">
        <v>57</v>
      </c>
      <c r="P225" s="8">
        <v>0</v>
      </c>
      <c r="Q225" s="8" t="s">
        <v>57</v>
      </c>
      <c r="R225" s="8" t="s">
        <v>57</v>
      </c>
      <c r="S225" s="8" t="s">
        <v>56</v>
      </c>
      <c r="T225" s="8" t="s">
        <v>56</v>
      </c>
      <c r="U225" s="8" t="s">
        <v>57</v>
      </c>
      <c r="V225" s="8" t="s">
        <v>57</v>
      </c>
      <c r="W225" s="8" t="s">
        <v>62</v>
      </c>
      <c r="X225" s="8" t="s">
        <v>62</v>
      </c>
      <c r="Y225" s="8" t="s">
        <v>62</v>
      </c>
      <c r="Z225" s="8" t="s">
        <v>44</v>
      </c>
      <c r="AA225" s="8" t="s">
        <v>44</v>
      </c>
      <c r="AB225" s="8" t="s">
        <v>63</v>
      </c>
      <c r="AC225" s="8" t="s">
        <v>45</v>
      </c>
      <c r="AD225" s="8" t="s">
        <v>46</v>
      </c>
      <c r="AE225" s="8" t="s">
        <v>56</v>
      </c>
      <c r="AG225" s="8" t="s">
        <v>47</v>
      </c>
      <c r="AI225" s="8" t="s">
        <v>57</v>
      </c>
      <c r="AJ225" s="8" t="s">
        <v>48</v>
      </c>
      <c r="AK225" s="8" t="s">
        <v>49</v>
      </c>
      <c r="AL225" s="8" t="s">
        <v>61</v>
      </c>
      <c r="AM225" s="8" t="s">
        <v>51</v>
      </c>
      <c r="AN225" s="8" t="s">
        <v>44</v>
      </c>
      <c r="AO225" s="8" t="s">
        <v>44</v>
      </c>
      <c r="AP225" s="8" t="s">
        <v>44</v>
      </c>
      <c r="AQ225" s="8" t="s">
        <v>52</v>
      </c>
      <c r="AR225" s="8" t="s">
        <v>53</v>
      </c>
      <c r="AS225" s="8" t="s">
        <v>54</v>
      </c>
    </row>
    <row r="226" spans="1:45" x14ac:dyDescent="0.25">
      <c r="A226" s="8" t="s">
        <v>627</v>
      </c>
      <c r="B226" s="8" t="s">
        <v>398</v>
      </c>
      <c r="C226" s="8" t="s">
        <v>44</v>
      </c>
      <c r="D226" s="8">
        <v>273</v>
      </c>
      <c r="E226" s="8" t="s">
        <v>57</v>
      </c>
      <c r="F226" s="8" t="s">
        <v>46</v>
      </c>
      <c r="G226" s="8" t="s">
        <v>56</v>
      </c>
      <c r="H226" s="8" t="s">
        <v>44</v>
      </c>
      <c r="I226" s="8" t="s">
        <v>44</v>
      </c>
      <c r="J226" s="8" t="s">
        <v>57</v>
      </c>
      <c r="K226" s="8" t="s">
        <v>44</v>
      </c>
      <c r="L226" s="8" t="s">
        <v>57</v>
      </c>
      <c r="O226" s="8" t="s">
        <v>57</v>
      </c>
      <c r="P226" s="8">
        <v>0</v>
      </c>
      <c r="Q226" s="8" t="s">
        <v>57</v>
      </c>
      <c r="R226" s="8" t="s">
        <v>57</v>
      </c>
      <c r="S226" s="8" t="s">
        <v>56</v>
      </c>
      <c r="T226" s="8" t="s">
        <v>56</v>
      </c>
      <c r="U226" s="8" t="s">
        <v>57</v>
      </c>
      <c r="V226" s="8" t="s">
        <v>57</v>
      </c>
      <c r="W226" s="8" t="s">
        <v>62</v>
      </c>
      <c r="X226" s="8" t="s">
        <v>62</v>
      </c>
      <c r="Y226" s="8" t="s">
        <v>62</v>
      </c>
      <c r="Z226" s="8" t="s">
        <v>44</v>
      </c>
      <c r="AA226" s="8" t="s">
        <v>44</v>
      </c>
      <c r="AB226" s="8" t="s">
        <v>63</v>
      </c>
      <c r="AC226" s="8" t="s">
        <v>45</v>
      </c>
      <c r="AD226" s="8" t="s">
        <v>46</v>
      </c>
      <c r="AE226" s="8" t="s">
        <v>56</v>
      </c>
      <c r="AG226" s="8" t="s">
        <v>47</v>
      </c>
      <c r="AI226" s="8">
        <v>5.0000000000000001E-3</v>
      </c>
      <c r="AJ226" s="8">
        <v>2.9999999999999997E-4</v>
      </c>
      <c r="AK226" s="8" t="s">
        <v>49</v>
      </c>
      <c r="AL226" s="8" t="s">
        <v>50</v>
      </c>
      <c r="AM226" s="8" t="s">
        <v>51</v>
      </c>
      <c r="AN226" s="8" t="s">
        <v>44</v>
      </c>
      <c r="AO226" s="8" t="s">
        <v>44</v>
      </c>
      <c r="AP226" s="8" t="s">
        <v>44</v>
      </c>
      <c r="AQ226" s="8" t="s">
        <v>52</v>
      </c>
      <c r="AR226" s="8" t="s">
        <v>53</v>
      </c>
      <c r="AS226" s="8" t="s">
        <v>54</v>
      </c>
    </row>
    <row r="227" spans="1:45" x14ac:dyDescent="0.25">
      <c r="A227" s="8" t="s">
        <v>763</v>
      </c>
      <c r="B227" s="8" t="s">
        <v>762</v>
      </c>
    </row>
    <row r="228" spans="1:45" x14ac:dyDescent="0.25">
      <c r="A228" s="8" t="s">
        <v>399</v>
      </c>
      <c r="B228" s="8" t="s">
        <v>400</v>
      </c>
      <c r="C228" s="8" t="s">
        <v>44</v>
      </c>
      <c r="D228" s="8">
        <v>273</v>
      </c>
      <c r="E228" s="8" t="s">
        <v>57</v>
      </c>
      <c r="F228" s="8" t="s">
        <v>46</v>
      </c>
      <c r="G228" s="8" t="s">
        <v>56</v>
      </c>
      <c r="H228" s="8" t="s">
        <v>44</v>
      </c>
      <c r="I228" s="8" t="s">
        <v>44</v>
      </c>
      <c r="J228" s="8" t="s">
        <v>57</v>
      </c>
      <c r="K228" s="8" t="s">
        <v>44</v>
      </c>
      <c r="L228" s="8" t="s">
        <v>57</v>
      </c>
      <c r="O228" s="8" t="s">
        <v>57</v>
      </c>
      <c r="P228" s="8">
        <v>0</v>
      </c>
      <c r="Q228" s="8" t="s">
        <v>57</v>
      </c>
      <c r="R228" s="8" t="s">
        <v>57</v>
      </c>
      <c r="S228" s="8" t="s">
        <v>56</v>
      </c>
      <c r="T228" s="8" t="s">
        <v>56</v>
      </c>
      <c r="U228" s="8" t="s">
        <v>57</v>
      </c>
      <c r="V228" s="8" t="s">
        <v>57</v>
      </c>
      <c r="W228" s="8" t="s">
        <v>62</v>
      </c>
      <c r="X228" s="8" t="s">
        <v>62</v>
      </c>
      <c r="Y228" s="8" t="s">
        <v>62</v>
      </c>
      <c r="Z228" s="8" t="s">
        <v>44</v>
      </c>
      <c r="AA228" s="8" t="s">
        <v>44</v>
      </c>
      <c r="AB228" s="8" t="s">
        <v>63</v>
      </c>
      <c r="AC228" s="8" t="s">
        <v>45</v>
      </c>
      <c r="AD228" s="8" t="s">
        <v>46</v>
      </c>
      <c r="AE228" s="8" t="s">
        <v>56</v>
      </c>
      <c r="AG228" s="8" t="s">
        <v>47</v>
      </c>
      <c r="AI228" s="8" t="s">
        <v>57</v>
      </c>
      <c r="AJ228" s="8" t="s">
        <v>48</v>
      </c>
      <c r="AK228" s="8" t="s">
        <v>49</v>
      </c>
      <c r="AL228" s="8" t="s">
        <v>61</v>
      </c>
      <c r="AM228" s="8" t="s">
        <v>51</v>
      </c>
      <c r="AN228" s="8" t="s">
        <v>44</v>
      </c>
      <c r="AO228" s="8" t="s">
        <v>44</v>
      </c>
      <c r="AP228" s="8" t="s">
        <v>44</v>
      </c>
      <c r="AQ228" s="8" t="s">
        <v>52</v>
      </c>
      <c r="AR228" s="8" t="s">
        <v>53</v>
      </c>
      <c r="AS228" s="8" t="s">
        <v>54</v>
      </c>
    </row>
    <row r="229" spans="1:45" x14ac:dyDescent="0.25">
      <c r="A229" s="8" t="s">
        <v>674</v>
      </c>
      <c r="B229" s="8" t="s">
        <v>671</v>
      </c>
      <c r="C229" s="8" t="s">
        <v>44</v>
      </c>
      <c r="D229" s="8">
        <v>273</v>
      </c>
      <c r="E229" s="8" t="s">
        <v>57</v>
      </c>
      <c r="F229" s="8" t="s">
        <v>46</v>
      </c>
      <c r="G229" s="8" t="s">
        <v>56</v>
      </c>
      <c r="H229" s="8" t="s">
        <v>44</v>
      </c>
      <c r="I229" s="8" t="s">
        <v>44</v>
      </c>
      <c r="J229" s="8" t="s">
        <v>57</v>
      </c>
      <c r="K229" s="8" t="s">
        <v>44</v>
      </c>
      <c r="L229" s="8" t="s">
        <v>57</v>
      </c>
      <c r="O229" s="8" t="s">
        <v>57</v>
      </c>
      <c r="P229" s="8">
        <v>0</v>
      </c>
      <c r="Q229" s="8" t="s">
        <v>57</v>
      </c>
      <c r="R229" s="8" t="s">
        <v>57</v>
      </c>
      <c r="S229" s="8" t="s">
        <v>56</v>
      </c>
      <c r="T229" s="8" t="s">
        <v>56</v>
      </c>
      <c r="U229" s="8" t="s">
        <v>57</v>
      </c>
      <c r="V229" s="8" t="s">
        <v>57</v>
      </c>
      <c r="W229" s="8" t="s">
        <v>62</v>
      </c>
      <c r="X229" s="8" t="s">
        <v>62</v>
      </c>
      <c r="Y229" s="8" t="s">
        <v>62</v>
      </c>
      <c r="Z229" s="8" t="s">
        <v>44</v>
      </c>
      <c r="AA229" s="8" t="s">
        <v>44</v>
      </c>
      <c r="AB229" s="8" t="s">
        <v>63</v>
      </c>
      <c r="AC229" s="8" t="s">
        <v>45</v>
      </c>
      <c r="AD229" s="8" t="s">
        <v>46</v>
      </c>
      <c r="AE229" s="8" t="s">
        <v>56</v>
      </c>
      <c r="AG229" s="8" t="s">
        <v>47</v>
      </c>
      <c r="AI229" s="8" t="s">
        <v>57</v>
      </c>
      <c r="AJ229" s="8" t="s">
        <v>48</v>
      </c>
      <c r="AK229" s="8" t="s">
        <v>49</v>
      </c>
      <c r="AL229" s="8" t="s">
        <v>61</v>
      </c>
      <c r="AM229" s="8" t="s">
        <v>51</v>
      </c>
      <c r="AN229" s="8" t="s">
        <v>44</v>
      </c>
      <c r="AO229" s="8" t="s">
        <v>44</v>
      </c>
      <c r="AP229" s="8" t="s">
        <v>44</v>
      </c>
      <c r="AQ229" s="8" t="s">
        <v>52</v>
      </c>
      <c r="AR229" s="8" t="s">
        <v>53</v>
      </c>
      <c r="AS229" s="8" t="s">
        <v>54</v>
      </c>
    </row>
    <row r="230" spans="1:45" x14ac:dyDescent="0.25">
      <c r="A230" s="8" t="s">
        <v>401</v>
      </c>
      <c r="B230" s="8" t="s">
        <v>402</v>
      </c>
      <c r="C230" s="8" t="s">
        <v>44</v>
      </c>
      <c r="D230" s="8">
        <v>273.14999999999998</v>
      </c>
      <c r="E230" s="8" t="s">
        <v>57</v>
      </c>
      <c r="F230" s="8" t="s">
        <v>46</v>
      </c>
      <c r="G230" s="8" t="s">
        <v>56</v>
      </c>
      <c r="H230" s="8" t="s">
        <v>44</v>
      </c>
      <c r="I230" s="8" t="s">
        <v>44</v>
      </c>
      <c r="J230" s="8" t="s">
        <v>57</v>
      </c>
      <c r="K230" s="8" t="s">
        <v>44</v>
      </c>
      <c r="L230" s="8" t="s">
        <v>57</v>
      </c>
      <c r="O230" s="8" t="s">
        <v>57</v>
      </c>
      <c r="P230" s="8">
        <v>0</v>
      </c>
      <c r="Q230" s="8" t="s">
        <v>57</v>
      </c>
      <c r="R230" s="8" t="s">
        <v>57</v>
      </c>
      <c r="S230" s="8" t="s">
        <v>56</v>
      </c>
      <c r="T230" s="8" t="s">
        <v>56</v>
      </c>
      <c r="U230" s="8" t="s">
        <v>57</v>
      </c>
      <c r="V230" s="8" t="s">
        <v>57</v>
      </c>
      <c r="W230" s="8" t="s">
        <v>62</v>
      </c>
      <c r="X230" s="8" t="s">
        <v>62</v>
      </c>
      <c r="Y230" s="8" t="s">
        <v>62</v>
      </c>
      <c r="Z230" s="8" t="s">
        <v>44</v>
      </c>
      <c r="AA230" s="8" t="s">
        <v>44</v>
      </c>
      <c r="AB230" s="8" t="s">
        <v>63</v>
      </c>
      <c r="AC230" s="8" t="s">
        <v>45</v>
      </c>
      <c r="AD230" s="8" t="s">
        <v>46</v>
      </c>
      <c r="AE230" s="8" t="s">
        <v>56</v>
      </c>
      <c r="AG230" s="8" t="s">
        <v>47</v>
      </c>
      <c r="AI230" s="8" t="s">
        <v>57</v>
      </c>
      <c r="AJ230" s="8" t="s">
        <v>48</v>
      </c>
      <c r="AK230" s="8" t="s">
        <v>49</v>
      </c>
      <c r="AL230" s="8" t="s">
        <v>61</v>
      </c>
      <c r="AM230" s="8" t="s">
        <v>51</v>
      </c>
      <c r="AN230" s="8" t="s">
        <v>44</v>
      </c>
      <c r="AO230" s="8" t="s">
        <v>44</v>
      </c>
      <c r="AP230" s="8" t="s">
        <v>44</v>
      </c>
      <c r="AQ230" s="8" t="s">
        <v>52</v>
      </c>
      <c r="AR230" s="8" t="s">
        <v>53</v>
      </c>
      <c r="AS230" s="8" t="s">
        <v>54</v>
      </c>
    </row>
    <row r="231" spans="1:45" x14ac:dyDescent="0.25">
      <c r="A231" s="10" t="s">
        <v>705</v>
      </c>
      <c r="B231" s="10" t="s">
        <v>403</v>
      </c>
      <c r="C231" s="8">
        <v>326</v>
      </c>
      <c r="D231" s="8">
        <v>283</v>
      </c>
      <c r="E231" s="9">
        <v>1.01E-7</v>
      </c>
      <c r="F231" s="8">
        <v>4.2999999999999997E-2</v>
      </c>
      <c r="G231" s="8">
        <v>2.8299999999999999E-4</v>
      </c>
      <c r="H231" s="8">
        <v>1E-3</v>
      </c>
      <c r="I231" s="9">
        <v>1.0000000000000001E-5</v>
      </c>
      <c r="J231" s="8">
        <v>3160000</v>
      </c>
      <c r="K231" s="8">
        <v>2450000</v>
      </c>
      <c r="L231" s="8">
        <v>24500</v>
      </c>
      <c r="M231" s="8">
        <v>184000</v>
      </c>
      <c r="N231" s="8">
        <v>98100</v>
      </c>
      <c r="O231" s="8">
        <v>0.03</v>
      </c>
      <c r="P231" s="8">
        <v>0.99199999999999999</v>
      </c>
      <c r="Q231" s="8">
        <v>23500</v>
      </c>
      <c r="R231" s="8">
        <v>0.95799999999999996</v>
      </c>
      <c r="S231" s="8">
        <v>6.7799999999999996E-3</v>
      </c>
      <c r="T231" s="8">
        <v>6.7799999999999996E-3</v>
      </c>
      <c r="U231" s="8">
        <v>1650</v>
      </c>
      <c r="V231" s="8">
        <v>1650</v>
      </c>
      <c r="W231" s="8">
        <v>6.5199999999999998E-3</v>
      </c>
      <c r="X231" s="8">
        <v>3.1E-2</v>
      </c>
      <c r="Y231" s="8">
        <v>3.7499999999999999E-2</v>
      </c>
      <c r="Z231" s="8">
        <v>12.8</v>
      </c>
      <c r="AA231" s="8" t="s">
        <v>44</v>
      </c>
      <c r="AB231" s="8">
        <v>84100</v>
      </c>
      <c r="AC231" s="8" t="s">
        <v>45</v>
      </c>
      <c r="AD231" s="8">
        <v>2</v>
      </c>
      <c r="AE231" s="9">
        <v>5.0000000000000002E-5</v>
      </c>
      <c r="AF231" s="9" t="s">
        <v>654</v>
      </c>
      <c r="AG231" s="8">
        <v>2</v>
      </c>
      <c r="AH231" s="8" t="s">
        <v>639</v>
      </c>
      <c r="AI231" s="9">
        <v>3.9999999999999998E-7</v>
      </c>
      <c r="AJ231" s="9">
        <v>1E-4</v>
      </c>
      <c r="AK231" s="8" t="s">
        <v>49</v>
      </c>
      <c r="AL231" s="8" t="s">
        <v>50</v>
      </c>
      <c r="AM231" s="8" t="s">
        <v>65</v>
      </c>
      <c r="AN231" s="8">
        <v>0.01</v>
      </c>
      <c r="AO231" s="8">
        <v>1.2999999999999999E-2</v>
      </c>
      <c r="AP231" s="8">
        <v>3.2000000000000001E-2</v>
      </c>
      <c r="AQ231" s="8" t="s">
        <v>52</v>
      </c>
      <c r="AR231" s="8" t="s">
        <v>53</v>
      </c>
      <c r="AS231" s="8" t="s">
        <v>54</v>
      </c>
    </row>
    <row r="232" spans="1:45" x14ac:dyDescent="0.25">
      <c r="A232" s="10" t="s">
        <v>532</v>
      </c>
      <c r="B232" s="10" t="s">
        <v>537</v>
      </c>
      <c r="C232" s="8">
        <v>122.14</v>
      </c>
      <c r="D232" s="8">
        <v>299.5</v>
      </c>
      <c r="E232" s="9">
        <v>3.1300000000000002E-4</v>
      </c>
      <c r="F232" s="9">
        <v>170700</v>
      </c>
      <c r="G232" s="9">
        <v>2.3599999999999999E-6</v>
      </c>
      <c r="H232" s="9">
        <v>7.3099999999999998E-2</v>
      </c>
      <c r="I232" s="9">
        <v>1.04E-5</v>
      </c>
      <c r="J232" s="8">
        <v>0.52500000000000002</v>
      </c>
      <c r="K232" s="9">
        <v>9.4109999999999996</v>
      </c>
      <c r="M232" s="8">
        <f t="shared" ref="M232:M234" si="13">(0.075*K232)</f>
        <v>0.70582499999999992</v>
      </c>
      <c r="N232" s="8">
        <f t="shared" ref="N232:N234" si="14">(0.04*K232)</f>
        <v>0.37644</v>
      </c>
      <c r="P232" s="8">
        <v>1</v>
      </c>
      <c r="U232" s="8">
        <v>56</v>
      </c>
      <c r="V232" s="8">
        <v>56</v>
      </c>
      <c r="W232" s="9">
        <v>4.1499999999999999E-9</v>
      </c>
      <c r="X232" s="9">
        <v>1.31E-8</v>
      </c>
      <c r="AB232" s="8">
        <v>0.91959999999999997</v>
      </c>
      <c r="AC232" s="8">
        <v>0.91959999999999997</v>
      </c>
      <c r="AE232" s="9"/>
      <c r="AF232" s="9"/>
      <c r="AG232" s="8">
        <v>2.4</v>
      </c>
      <c r="AH232" s="8" t="s">
        <v>640</v>
      </c>
      <c r="AI232" s="9"/>
      <c r="AJ232" s="9">
        <v>6.8999999999999997E-4</v>
      </c>
      <c r="AL232" s="8" t="s">
        <v>50</v>
      </c>
    </row>
    <row r="233" spans="1:45" x14ac:dyDescent="0.25">
      <c r="A233" s="10" t="s">
        <v>533</v>
      </c>
      <c r="B233" s="10" t="s">
        <v>538</v>
      </c>
      <c r="C233" s="8">
        <v>146.18</v>
      </c>
      <c r="E233" s="9">
        <v>9.1699999999999995E-4</v>
      </c>
      <c r="I233" s="9"/>
      <c r="K233" s="8">
        <v>104.82</v>
      </c>
      <c r="M233" s="8">
        <f t="shared" si="13"/>
        <v>7.8614999999999995</v>
      </c>
      <c r="N233" s="8">
        <f t="shared" si="14"/>
        <v>4.1928000000000001</v>
      </c>
      <c r="P233" s="8">
        <v>1</v>
      </c>
      <c r="AE233" s="9"/>
      <c r="AF233" s="9"/>
      <c r="AI233" s="9"/>
      <c r="AJ233" s="9"/>
    </row>
    <row r="234" spans="1:45" x14ac:dyDescent="0.25">
      <c r="A234" s="8" t="s">
        <v>628</v>
      </c>
      <c r="B234" s="8" t="s">
        <v>410</v>
      </c>
      <c r="C234" s="8">
        <v>104.15</v>
      </c>
      <c r="D234" s="8">
        <v>241.86</v>
      </c>
      <c r="E234" s="8">
        <v>1.7949999999999999E-3</v>
      </c>
      <c r="F234" s="9">
        <v>317000</v>
      </c>
      <c r="G234" s="9">
        <v>7.3799999999999999E-8</v>
      </c>
      <c r="H234" s="8" t="s">
        <v>44</v>
      </c>
      <c r="I234" s="8" t="s">
        <v>44</v>
      </c>
      <c r="J234" s="8">
        <v>1.2</v>
      </c>
      <c r="K234" s="8">
        <v>1.5489999999999999</v>
      </c>
      <c r="L234" s="8" t="s">
        <v>57</v>
      </c>
      <c r="M234" s="8">
        <f t="shared" si="13"/>
        <v>0.11617499999999999</v>
      </c>
      <c r="N234" s="8">
        <f t="shared" si="14"/>
        <v>6.1960000000000001E-2</v>
      </c>
      <c r="O234" s="8" t="s">
        <v>57</v>
      </c>
      <c r="P234" s="8">
        <v>1</v>
      </c>
      <c r="Q234" s="8" t="s">
        <v>57</v>
      </c>
      <c r="R234" s="8" t="s">
        <v>57</v>
      </c>
      <c r="S234" s="8" t="s">
        <v>56</v>
      </c>
      <c r="T234" s="8" t="s">
        <v>56</v>
      </c>
      <c r="U234" s="8" t="s">
        <v>57</v>
      </c>
      <c r="V234" s="8" t="s">
        <v>57</v>
      </c>
      <c r="W234" s="8" t="s">
        <v>62</v>
      </c>
      <c r="X234" s="8" t="s">
        <v>62</v>
      </c>
      <c r="Y234" s="8" t="s">
        <v>62</v>
      </c>
      <c r="Z234" s="8" t="s">
        <v>44</v>
      </c>
      <c r="AA234" s="8" t="s">
        <v>44</v>
      </c>
      <c r="AB234" s="8">
        <v>0.96199999999999997</v>
      </c>
      <c r="AC234" s="8">
        <v>0.96199999999999997</v>
      </c>
      <c r="AD234" s="8" t="s">
        <v>46</v>
      </c>
      <c r="AE234" s="8" t="s">
        <v>56</v>
      </c>
      <c r="AG234" s="8" t="s">
        <v>47</v>
      </c>
      <c r="AI234" s="8" t="s">
        <v>57</v>
      </c>
      <c r="AJ234" s="8" t="s">
        <v>48</v>
      </c>
      <c r="AK234" s="8" t="s">
        <v>49</v>
      </c>
      <c r="AL234" s="8" t="s">
        <v>50</v>
      </c>
      <c r="AM234" s="8" t="s">
        <v>51</v>
      </c>
      <c r="AN234" s="8" t="s">
        <v>44</v>
      </c>
      <c r="AO234" s="8" t="s">
        <v>44</v>
      </c>
      <c r="AP234" s="8" t="s">
        <v>44</v>
      </c>
      <c r="AQ234" s="8" t="s">
        <v>52</v>
      </c>
      <c r="AR234" s="8" t="s">
        <v>53</v>
      </c>
      <c r="AS234" s="8" t="s">
        <v>54</v>
      </c>
    </row>
    <row r="235" spans="1:45" x14ac:dyDescent="0.25">
      <c r="A235" s="8" t="s">
        <v>743</v>
      </c>
      <c r="B235" s="8" t="s">
        <v>744</v>
      </c>
      <c r="C235" s="8">
        <v>42.08</v>
      </c>
      <c r="D235" s="9">
        <v>138.62</v>
      </c>
      <c r="E235" s="9">
        <v>9.17</v>
      </c>
      <c r="F235" s="9">
        <v>1162</v>
      </c>
      <c r="G235" s="9">
        <v>1.5299999999999999E-5</v>
      </c>
      <c r="H235" s="9">
        <v>0.11</v>
      </c>
      <c r="I235" s="9">
        <v>1.0699999999999999E-5</v>
      </c>
      <c r="J235" s="8">
        <v>47.9</v>
      </c>
      <c r="K235" s="8">
        <v>21.73</v>
      </c>
      <c r="P235" s="8">
        <v>1</v>
      </c>
      <c r="U235" s="8">
        <v>3.62</v>
      </c>
      <c r="V235" s="8">
        <v>3.62</v>
      </c>
      <c r="W235" s="9">
        <v>4.6499999999999999E-7</v>
      </c>
      <c r="X235" s="9">
        <v>1.4699999999999999E-6</v>
      </c>
      <c r="AB235" s="8">
        <v>6.3979999999999997</v>
      </c>
      <c r="AC235" s="8">
        <v>6.3979999999999997</v>
      </c>
      <c r="AI235" s="8">
        <v>3</v>
      </c>
    </row>
    <row r="236" spans="1:45" x14ac:dyDescent="0.25">
      <c r="A236" s="8" t="s">
        <v>534</v>
      </c>
      <c r="B236" s="8" t="s">
        <v>411</v>
      </c>
      <c r="C236" s="8">
        <v>58.1</v>
      </c>
      <c r="D236" s="8">
        <v>161</v>
      </c>
      <c r="E236" s="8">
        <v>0.70799999999999996</v>
      </c>
      <c r="F236" s="8">
        <v>590000</v>
      </c>
      <c r="G236" s="9">
        <v>6.97E-5</v>
      </c>
      <c r="H236" s="8">
        <v>0.127</v>
      </c>
      <c r="I236" s="9">
        <v>1.47E-5</v>
      </c>
      <c r="J236" s="8">
        <v>1.07</v>
      </c>
      <c r="K236" s="8">
        <v>1.07</v>
      </c>
      <c r="L236" s="8">
        <v>1.0699999999999999E-2</v>
      </c>
      <c r="M236" s="8">
        <v>8.0299999999999996E-2</v>
      </c>
      <c r="N236" s="8">
        <v>4.2799999999999998E-2</v>
      </c>
      <c r="O236" s="8">
        <v>8.43</v>
      </c>
      <c r="P236" s="8">
        <v>1</v>
      </c>
      <c r="Q236" s="8">
        <v>6.55</v>
      </c>
      <c r="R236" s="8">
        <v>612</v>
      </c>
      <c r="S236" s="8">
        <v>37.200000000000003</v>
      </c>
      <c r="T236" s="8">
        <v>37.200000000000003</v>
      </c>
      <c r="U236" s="8">
        <v>8.6300000000000005E-4</v>
      </c>
      <c r="V236" s="8">
        <v>8.6300000000000005E-4</v>
      </c>
      <c r="W236" s="9">
        <v>1.19E-5</v>
      </c>
      <c r="X236" s="9">
        <v>5.63E-5</v>
      </c>
      <c r="Y236" s="9">
        <v>6.8200000000000004E-5</v>
      </c>
      <c r="Z236" s="8" t="s">
        <v>44</v>
      </c>
      <c r="AA236" s="8" t="s">
        <v>44</v>
      </c>
      <c r="AB236" s="8">
        <v>3.16</v>
      </c>
      <c r="AC236" s="8" t="s">
        <v>45</v>
      </c>
      <c r="AD236" s="8" t="s">
        <v>46</v>
      </c>
      <c r="AF236" s="8" t="s">
        <v>659</v>
      </c>
      <c r="AG236" s="8">
        <v>0.24</v>
      </c>
      <c r="AH236" s="8" t="s">
        <v>639</v>
      </c>
      <c r="AI236" s="8">
        <v>0.03</v>
      </c>
      <c r="AJ236" s="9">
        <v>3.7000000000000002E-6</v>
      </c>
      <c r="AK236" s="8" t="s">
        <v>49</v>
      </c>
      <c r="AL236" s="8" t="s">
        <v>50</v>
      </c>
      <c r="AM236" s="8" t="s">
        <v>51</v>
      </c>
      <c r="AN236" s="8">
        <v>37.200000000000003</v>
      </c>
      <c r="AO236" s="9">
        <v>2.37E-5</v>
      </c>
      <c r="AP236" s="9">
        <v>4.1499999999999999E-5</v>
      </c>
      <c r="AQ236" s="8" t="s">
        <v>52</v>
      </c>
      <c r="AR236" s="8" t="s">
        <v>53</v>
      </c>
      <c r="AS236" s="8" t="s">
        <v>54</v>
      </c>
    </row>
    <row r="237" spans="1:45" x14ac:dyDescent="0.25">
      <c r="A237" s="10" t="s">
        <v>530</v>
      </c>
      <c r="B237" s="10" t="s">
        <v>531</v>
      </c>
      <c r="C237" s="8">
        <v>57.1</v>
      </c>
      <c r="D237" s="8">
        <v>223.15</v>
      </c>
      <c r="E237" s="9">
        <v>0.19500000000000001</v>
      </c>
      <c r="F237" s="9">
        <v>1000000</v>
      </c>
      <c r="G237" s="9">
        <v>9.7399999999999999E-6</v>
      </c>
      <c r="H237" s="9">
        <v>0.108</v>
      </c>
      <c r="I237" s="9">
        <v>1.1800000000000001E-5</v>
      </c>
      <c r="J237" s="8">
        <v>1.35</v>
      </c>
      <c r="K237" s="8">
        <v>14.51</v>
      </c>
      <c r="M237" s="8">
        <f>(0.075*K237)</f>
        <v>1.0882499999999999</v>
      </c>
      <c r="N237" s="8">
        <f>(0.04*K237)</f>
        <v>0.58040000000000003</v>
      </c>
      <c r="P237" s="8">
        <v>1</v>
      </c>
      <c r="U237" s="8">
        <v>32.4</v>
      </c>
      <c r="V237" s="8">
        <v>32.4</v>
      </c>
      <c r="W237" s="9">
        <v>1.07E-8</v>
      </c>
      <c r="X237" s="9">
        <v>3.3699999999999997E-8</v>
      </c>
      <c r="AB237" s="8">
        <v>1.0149999999999999</v>
      </c>
      <c r="AC237" s="8">
        <v>1.0149999999999999</v>
      </c>
    </row>
    <row r="238" spans="1:45" x14ac:dyDescent="0.25">
      <c r="A238" s="8" t="s">
        <v>412</v>
      </c>
      <c r="B238" s="8" t="s">
        <v>413</v>
      </c>
      <c r="C238" s="8">
        <v>202</v>
      </c>
      <c r="D238" s="8">
        <v>423</v>
      </c>
      <c r="E238" s="9">
        <v>6.0500000000000004E-9</v>
      </c>
      <c r="F238" s="8">
        <v>1.4</v>
      </c>
      <c r="G238" s="9">
        <v>1.1E-5</v>
      </c>
      <c r="H238" s="8">
        <v>1E-3</v>
      </c>
      <c r="I238" s="9">
        <v>1.0000000000000001E-5</v>
      </c>
      <c r="J238" s="8">
        <v>79400</v>
      </c>
      <c r="K238" s="8">
        <v>68000</v>
      </c>
      <c r="L238" s="8">
        <v>9500</v>
      </c>
      <c r="M238" s="8">
        <v>5100</v>
      </c>
      <c r="N238" s="8">
        <v>2720</v>
      </c>
      <c r="O238" s="8">
        <v>0.13</v>
      </c>
      <c r="P238" s="8">
        <v>0.99399999999999999</v>
      </c>
      <c r="Q238" s="8">
        <v>1380</v>
      </c>
      <c r="R238" s="8">
        <v>0.14499999999999999</v>
      </c>
      <c r="S238" s="8">
        <v>5.7000000000000002E-2</v>
      </c>
      <c r="T238" s="8">
        <v>5.7000000000000002E-2</v>
      </c>
      <c r="U238" s="8">
        <v>840</v>
      </c>
      <c r="V238" s="8">
        <v>840</v>
      </c>
      <c r="W238" s="8">
        <v>8.09E-3</v>
      </c>
      <c r="X238" s="8">
        <v>3.8399999999999997E-2</v>
      </c>
      <c r="Y238" s="8">
        <v>4.65E-2</v>
      </c>
      <c r="Z238" s="8">
        <v>0.79800000000000004</v>
      </c>
      <c r="AA238" s="8" t="s">
        <v>44</v>
      </c>
      <c r="AB238" s="8">
        <v>1180</v>
      </c>
      <c r="AC238" s="8">
        <v>3290</v>
      </c>
      <c r="AD238" s="8" t="s">
        <v>46</v>
      </c>
      <c r="AE238" s="8">
        <v>0.03</v>
      </c>
      <c r="AF238" s="8" t="s">
        <v>639</v>
      </c>
      <c r="AG238" s="8" t="s">
        <v>47</v>
      </c>
      <c r="AI238" s="8" t="s">
        <v>57</v>
      </c>
      <c r="AJ238" s="8" t="s">
        <v>48</v>
      </c>
      <c r="AK238" s="8" t="s">
        <v>49</v>
      </c>
      <c r="AL238" s="8" t="s">
        <v>50</v>
      </c>
      <c r="AM238" s="8" t="s">
        <v>72</v>
      </c>
      <c r="AN238" s="8">
        <v>5.7000000000000002E-2</v>
      </c>
      <c r="AO238" s="8">
        <v>1.6199999999999999E-2</v>
      </c>
      <c r="AP238" s="8">
        <v>2.8299999999999999E-2</v>
      </c>
      <c r="AQ238" s="8" t="s">
        <v>52</v>
      </c>
      <c r="AR238" s="8" t="s">
        <v>53</v>
      </c>
      <c r="AS238" s="8" t="s">
        <v>54</v>
      </c>
    </row>
    <row r="239" spans="1:45" x14ac:dyDescent="0.25">
      <c r="A239" s="8" t="s">
        <v>629</v>
      </c>
      <c r="B239" s="8" t="s">
        <v>414</v>
      </c>
      <c r="C239" s="8">
        <v>108.1</v>
      </c>
      <c r="D239" s="8">
        <v>297.74</v>
      </c>
      <c r="E239" s="9">
        <v>3.3500000000000001E-5</v>
      </c>
      <c r="F239" s="9">
        <v>74500</v>
      </c>
      <c r="G239" s="9">
        <v>1.2199999999999999E-9</v>
      </c>
      <c r="H239" s="8" t="s">
        <v>44</v>
      </c>
      <c r="I239" s="8" t="s">
        <v>44</v>
      </c>
      <c r="J239" s="8">
        <v>1.78</v>
      </c>
      <c r="K239" s="8">
        <v>41.19</v>
      </c>
      <c r="L239" s="8" t="s">
        <v>57</v>
      </c>
      <c r="M239" s="8">
        <f>(0.075*K239)</f>
        <v>3.0892499999999998</v>
      </c>
      <c r="N239" s="8">
        <f>(0.04*K239)</f>
        <v>1.6476</v>
      </c>
      <c r="O239" s="8" t="s">
        <v>57</v>
      </c>
      <c r="P239" s="8">
        <v>1</v>
      </c>
      <c r="Q239" s="8" t="s">
        <v>57</v>
      </c>
      <c r="R239" s="8" t="s">
        <v>57</v>
      </c>
      <c r="S239" s="8" t="s">
        <v>56</v>
      </c>
      <c r="T239" s="8" t="s">
        <v>56</v>
      </c>
      <c r="U239" s="8" t="s">
        <v>57</v>
      </c>
      <c r="V239" s="8" t="s">
        <v>57</v>
      </c>
      <c r="W239" s="8" t="s">
        <v>62</v>
      </c>
      <c r="X239" s="8" t="s">
        <v>62</v>
      </c>
      <c r="Y239" s="8" t="s">
        <v>62</v>
      </c>
      <c r="Z239" s="8" t="s">
        <v>44</v>
      </c>
      <c r="AA239" s="8" t="s">
        <v>44</v>
      </c>
      <c r="AB239" s="8">
        <v>0.96950000000000003</v>
      </c>
      <c r="AC239" s="8">
        <v>0.96950000000000003</v>
      </c>
      <c r="AD239" s="8" t="s">
        <v>46</v>
      </c>
      <c r="AE239" s="8" t="s">
        <v>56</v>
      </c>
      <c r="AG239" s="8" t="s">
        <v>47</v>
      </c>
      <c r="AI239" s="8" t="s">
        <v>57</v>
      </c>
      <c r="AJ239" s="8" t="s">
        <v>48</v>
      </c>
      <c r="AK239" s="8" t="s">
        <v>49</v>
      </c>
      <c r="AL239" s="8" t="s">
        <v>50</v>
      </c>
      <c r="AM239" s="8" t="s">
        <v>51</v>
      </c>
      <c r="AN239" s="8" t="s">
        <v>44</v>
      </c>
      <c r="AO239" s="8" t="s">
        <v>44</v>
      </c>
      <c r="AP239" s="8" t="s">
        <v>44</v>
      </c>
      <c r="AQ239" s="8" t="s">
        <v>52</v>
      </c>
      <c r="AR239" s="8" t="s">
        <v>53</v>
      </c>
      <c r="AS239" s="8" t="s">
        <v>54</v>
      </c>
    </row>
    <row r="240" spans="1:45" x14ac:dyDescent="0.25">
      <c r="A240" s="8" t="s">
        <v>415</v>
      </c>
      <c r="B240" s="8" t="s">
        <v>416</v>
      </c>
      <c r="C240" s="8">
        <v>79</v>
      </c>
      <c r="D240" s="8">
        <v>493</v>
      </c>
      <c r="E240" s="8">
        <v>0</v>
      </c>
      <c r="F240" s="8">
        <v>2060</v>
      </c>
      <c r="G240" s="8">
        <v>9.7000000000000003E-3</v>
      </c>
      <c r="H240" s="8">
        <v>7.7200000000000005E-2</v>
      </c>
      <c r="I240" s="9">
        <v>9.5699999999999999E-6</v>
      </c>
      <c r="J240" s="8">
        <v>1.74</v>
      </c>
      <c r="K240" s="8" t="s">
        <v>44</v>
      </c>
      <c r="L240" s="8">
        <v>5</v>
      </c>
      <c r="M240" s="8">
        <v>5</v>
      </c>
      <c r="N240" s="8">
        <v>5</v>
      </c>
      <c r="O240" s="8" t="s">
        <v>57</v>
      </c>
      <c r="P240" s="8">
        <v>0</v>
      </c>
      <c r="Q240" s="8" t="s">
        <v>57</v>
      </c>
      <c r="R240" s="8">
        <v>2.1999999999999999E-2</v>
      </c>
      <c r="S240" s="8">
        <v>1.95E-2</v>
      </c>
      <c r="T240" s="8">
        <v>1.6E-2</v>
      </c>
      <c r="U240" s="8" t="s">
        <v>57</v>
      </c>
      <c r="V240" s="8" t="s">
        <v>57</v>
      </c>
      <c r="W240" s="8">
        <v>5.8599999999999998E-3</v>
      </c>
      <c r="X240" s="8">
        <v>2.2699999999999999E-3</v>
      </c>
      <c r="Y240" s="8">
        <v>0.188</v>
      </c>
      <c r="Z240" s="8">
        <v>1.1299999999999999</v>
      </c>
      <c r="AA240" s="8" t="s">
        <v>44</v>
      </c>
      <c r="AB240" s="8">
        <v>129</v>
      </c>
      <c r="AC240" s="8" t="s">
        <v>45</v>
      </c>
      <c r="AD240" s="8" t="s">
        <v>46</v>
      </c>
      <c r="AE240" s="8">
        <v>5.0000000000000001E-3</v>
      </c>
      <c r="AF240" s="8" t="s">
        <v>639</v>
      </c>
      <c r="AG240" s="8" t="s">
        <v>47</v>
      </c>
      <c r="AI240" s="8">
        <v>0.02</v>
      </c>
      <c r="AJ240" s="8" t="s">
        <v>48</v>
      </c>
      <c r="AK240" s="8" t="s">
        <v>49</v>
      </c>
      <c r="AL240" s="8" t="s">
        <v>110</v>
      </c>
      <c r="AM240" s="8" t="s">
        <v>111</v>
      </c>
      <c r="AN240" s="8">
        <v>2E-3</v>
      </c>
      <c r="AO240" s="8">
        <v>1.1299999999999999</v>
      </c>
      <c r="AP240" s="8">
        <v>1.1299999999999999</v>
      </c>
      <c r="AQ240" s="8" t="s">
        <v>52</v>
      </c>
      <c r="AR240" s="8" t="s">
        <v>53</v>
      </c>
      <c r="AS240" s="8" t="s">
        <v>54</v>
      </c>
    </row>
    <row r="241" spans="1:45" x14ac:dyDescent="0.25">
      <c r="A241" s="8" t="s">
        <v>417</v>
      </c>
      <c r="B241" s="8" t="s">
        <v>418</v>
      </c>
      <c r="C241" s="8">
        <v>104</v>
      </c>
      <c r="D241" s="8">
        <v>242</v>
      </c>
      <c r="E241" s="8">
        <v>8.0300000000000007E-3</v>
      </c>
      <c r="F241" s="8">
        <v>310</v>
      </c>
      <c r="G241" s="8">
        <v>2.7000000000000001E-3</v>
      </c>
      <c r="H241" s="8">
        <v>7.0999999999999994E-2</v>
      </c>
      <c r="I241" s="9">
        <v>7.9999999999999996E-6</v>
      </c>
      <c r="J241" s="8">
        <v>1000</v>
      </c>
      <c r="K241" s="8">
        <v>912</v>
      </c>
      <c r="L241" s="8">
        <v>120</v>
      </c>
      <c r="M241" s="8">
        <v>68.400000000000006</v>
      </c>
      <c r="N241" s="8">
        <v>36.5</v>
      </c>
      <c r="O241" s="8">
        <v>9.0299999999999994</v>
      </c>
      <c r="P241" s="8">
        <v>1</v>
      </c>
      <c r="Q241" s="8">
        <v>47.4</v>
      </c>
      <c r="R241" s="8">
        <v>0.39500000000000002</v>
      </c>
      <c r="S241" s="8">
        <v>0.71399999999999997</v>
      </c>
      <c r="T241" s="8">
        <v>0.71399999999999997</v>
      </c>
      <c r="U241" s="8">
        <v>3.2399999999999998E-2</v>
      </c>
      <c r="V241" s="8">
        <v>3.2399999999999998E-2</v>
      </c>
      <c r="W241" s="8">
        <v>2.3E-3</v>
      </c>
      <c r="X241" s="8">
        <v>1.09E-2</v>
      </c>
      <c r="Y241" s="8">
        <v>1.32E-2</v>
      </c>
      <c r="Z241" s="8">
        <v>6.7400000000000003E-3</v>
      </c>
      <c r="AA241" s="8" t="s">
        <v>44</v>
      </c>
      <c r="AB241" s="8">
        <v>40.700000000000003</v>
      </c>
      <c r="AC241" s="8" t="s">
        <v>45</v>
      </c>
      <c r="AD241" s="8" t="s">
        <v>46</v>
      </c>
      <c r="AE241" s="8">
        <v>0.2</v>
      </c>
      <c r="AF241" s="8" t="s">
        <v>639</v>
      </c>
      <c r="AG241" s="8" t="s">
        <v>47</v>
      </c>
      <c r="AI241" s="8">
        <v>1</v>
      </c>
      <c r="AJ241" s="8" t="s">
        <v>48</v>
      </c>
      <c r="AK241" s="8" t="s">
        <v>49</v>
      </c>
      <c r="AL241" s="8" t="s">
        <v>50</v>
      </c>
      <c r="AM241" s="8" t="s">
        <v>51</v>
      </c>
      <c r="AN241" s="8">
        <v>0.71399999999999997</v>
      </c>
      <c r="AO241" s="8">
        <v>4.5900000000000003E-3</v>
      </c>
      <c r="AP241" s="8">
        <v>8.0400000000000003E-3</v>
      </c>
      <c r="AQ241" s="8" t="s">
        <v>52</v>
      </c>
      <c r="AR241" s="8" t="s">
        <v>53</v>
      </c>
      <c r="AS241" s="8" t="s">
        <v>54</v>
      </c>
    </row>
    <row r="242" spans="1:45" x14ac:dyDescent="0.25">
      <c r="A242" s="8" t="s">
        <v>630</v>
      </c>
      <c r="B242" s="13" t="s">
        <v>480</v>
      </c>
      <c r="C242" s="8">
        <v>64.099999999999994</v>
      </c>
      <c r="D242" s="8">
        <v>198</v>
      </c>
      <c r="E242" s="8">
        <v>3.95</v>
      </c>
      <c r="F242" s="8">
        <v>1000000</v>
      </c>
      <c r="G242" s="8" t="s">
        <v>56</v>
      </c>
      <c r="H242" s="8" t="s">
        <v>44</v>
      </c>
      <c r="I242" s="8" t="s">
        <v>44</v>
      </c>
      <c r="J242" s="8" t="s">
        <v>57</v>
      </c>
      <c r="K242" s="8" t="s">
        <v>44</v>
      </c>
      <c r="P242" s="8">
        <v>1</v>
      </c>
      <c r="Q242" s="8" t="s">
        <v>57</v>
      </c>
      <c r="R242" s="8" t="s">
        <v>57</v>
      </c>
      <c r="S242" s="8" t="s">
        <v>56</v>
      </c>
      <c r="T242" s="8" t="s">
        <v>56</v>
      </c>
      <c r="U242" s="8" t="s">
        <v>57</v>
      </c>
      <c r="V242" s="8" t="s">
        <v>57</v>
      </c>
      <c r="W242" s="8" t="s">
        <v>62</v>
      </c>
      <c r="X242" s="8" t="s">
        <v>62</v>
      </c>
      <c r="Y242" s="8" t="s">
        <v>62</v>
      </c>
      <c r="Z242" s="8" t="s">
        <v>44</v>
      </c>
      <c r="AA242" s="8" t="s">
        <v>44</v>
      </c>
      <c r="AB242" s="8" t="s">
        <v>63</v>
      </c>
      <c r="AC242" s="8" t="s">
        <v>45</v>
      </c>
      <c r="AD242" s="8" t="s">
        <v>46</v>
      </c>
      <c r="AE242" s="8" t="s">
        <v>56</v>
      </c>
      <c r="AG242" s="8" t="s">
        <v>47</v>
      </c>
      <c r="AI242" s="8" t="s">
        <v>57</v>
      </c>
      <c r="AJ242" s="8" t="s">
        <v>48</v>
      </c>
      <c r="AK242" s="8" t="s">
        <v>49</v>
      </c>
      <c r="AL242" s="8" t="s">
        <v>110</v>
      </c>
      <c r="AM242" s="8" t="s">
        <v>51</v>
      </c>
      <c r="AN242" s="8" t="s">
        <v>44</v>
      </c>
      <c r="AO242" s="8" t="s">
        <v>44</v>
      </c>
      <c r="AP242" s="8" t="s">
        <v>44</v>
      </c>
      <c r="AQ242" s="8" t="s">
        <v>52</v>
      </c>
      <c r="AR242" s="8" t="s">
        <v>53</v>
      </c>
      <c r="AS242" s="8" t="s">
        <v>54</v>
      </c>
    </row>
    <row r="243" spans="1:45" x14ac:dyDescent="0.25">
      <c r="A243" s="8" t="s">
        <v>684</v>
      </c>
      <c r="B243" s="13" t="s">
        <v>683</v>
      </c>
      <c r="C243" s="8">
        <v>64.099999999999994</v>
      </c>
      <c r="D243" s="8">
        <v>198</v>
      </c>
      <c r="E243" s="8">
        <v>3.95</v>
      </c>
      <c r="F243" s="8">
        <v>1000000</v>
      </c>
      <c r="G243" s="8" t="s">
        <v>56</v>
      </c>
      <c r="H243" s="8" t="s">
        <v>44</v>
      </c>
      <c r="I243" s="8" t="s">
        <v>44</v>
      </c>
      <c r="J243" s="8" t="s">
        <v>57</v>
      </c>
      <c r="K243" s="8" t="s">
        <v>44</v>
      </c>
      <c r="P243" s="8">
        <v>1</v>
      </c>
      <c r="Q243" s="8" t="s">
        <v>57</v>
      </c>
      <c r="R243" s="8" t="s">
        <v>57</v>
      </c>
      <c r="S243" s="8" t="s">
        <v>56</v>
      </c>
      <c r="T243" s="8" t="s">
        <v>56</v>
      </c>
      <c r="U243" s="8" t="s">
        <v>57</v>
      </c>
      <c r="V243" s="8" t="s">
        <v>57</v>
      </c>
      <c r="W243" s="8" t="s">
        <v>62</v>
      </c>
      <c r="X243" s="8" t="s">
        <v>62</v>
      </c>
      <c r="Y243" s="8" t="s">
        <v>62</v>
      </c>
      <c r="Z243" s="8" t="s">
        <v>44</v>
      </c>
      <c r="AA243" s="8" t="s">
        <v>44</v>
      </c>
      <c r="AB243" s="8" t="s">
        <v>63</v>
      </c>
      <c r="AC243" s="8" t="s">
        <v>45</v>
      </c>
      <c r="AD243" s="8" t="s">
        <v>46</v>
      </c>
      <c r="AE243" s="8" t="s">
        <v>56</v>
      </c>
      <c r="AG243" s="8" t="s">
        <v>47</v>
      </c>
      <c r="AI243" s="8" t="s">
        <v>57</v>
      </c>
      <c r="AJ243" s="8" t="s">
        <v>48</v>
      </c>
      <c r="AK243" s="8" t="s">
        <v>49</v>
      </c>
      <c r="AL243" s="8" t="s">
        <v>110</v>
      </c>
      <c r="AM243" s="8" t="s">
        <v>51</v>
      </c>
      <c r="AN243" s="8" t="s">
        <v>44</v>
      </c>
      <c r="AO243" s="8" t="s">
        <v>44</v>
      </c>
      <c r="AP243" s="8" t="s">
        <v>44</v>
      </c>
      <c r="AQ243" s="8" t="s">
        <v>52</v>
      </c>
      <c r="AR243" s="8" t="s">
        <v>53</v>
      </c>
      <c r="AS243" s="8" t="s">
        <v>54</v>
      </c>
    </row>
    <row r="244" spans="1:45" x14ac:dyDescent="0.25">
      <c r="A244" s="10" t="s">
        <v>535</v>
      </c>
      <c r="B244" s="14" t="s">
        <v>536</v>
      </c>
      <c r="C244" s="8">
        <v>146.05000000000001</v>
      </c>
      <c r="D244" s="8">
        <v>375.35</v>
      </c>
      <c r="E244" s="9">
        <v>1.6799999999999999E-10</v>
      </c>
      <c r="F244" s="8">
        <v>2901</v>
      </c>
      <c r="G244" s="8">
        <v>3.08</v>
      </c>
      <c r="J244" s="8">
        <v>43.7</v>
      </c>
      <c r="K244" s="8">
        <v>75.290000000000006</v>
      </c>
      <c r="M244" s="8">
        <f t="shared" ref="M244:M245" si="15">(0.075*K244)</f>
        <v>5.6467499999999999</v>
      </c>
      <c r="N244" s="8">
        <f t="shared" ref="N244:N245" si="16">(0.04*K244)</f>
        <v>3.0116000000000005</v>
      </c>
      <c r="P244" s="8">
        <v>1</v>
      </c>
      <c r="AB244" s="8">
        <v>5.91</v>
      </c>
      <c r="AC244" s="8">
        <v>5.91</v>
      </c>
    </row>
    <row r="245" spans="1:45" x14ac:dyDescent="0.25">
      <c r="A245" s="10" t="s">
        <v>490</v>
      </c>
      <c r="B245" s="14" t="s">
        <v>491</v>
      </c>
      <c r="C245" s="8">
        <v>98.07</v>
      </c>
      <c r="D245" s="8">
        <v>544.47</v>
      </c>
      <c r="E245" s="9">
        <v>1.8699999999999999E-7</v>
      </c>
      <c r="F245" s="9">
        <v>1000000</v>
      </c>
      <c r="G245" s="9">
        <v>2.5400000000000001E-11</v>
      </c>
      <c r="J245" s="8">
        <v>6.3099999999999996E-3</v>
      </c>
      <c r="K245" s="8">
        <v>2.21</v>
      </c>
      <c r="M245" s="8">
        <f t="shared" si="15"/>
        <v>0.16574999999999998</v>
      </c>
      <c r="N245" s="8">
        <f t="shared" si="16"/>
        <v>8.8400000000000006E-2</v>
      </c>
      <c r="P245" s="8">
        <v>0.98650000000000004</v>
      </c>
    </row>
    <row r="246" spans="1:45" x14ac:dyDescent="0.25">
      <c r="A246" s="10" t="s">
        <v>419</v>
      </c>
      <c r="B246" s="8" t="s">
        <v>420</v>
      </c>
      <c r="C246" s="8">
        <v>322</v>
      </c>
      <c r="D246" s="8">
        <v>579</v>
      </c>
      <c r="E246" s="9">
        <v>1.9699999999999999E-12</v>
      </c>
      <c r="F246" s="9">
        <v>1.9300000000000002E-5</v>
      </c>
      <c r="G246" s="9">
        <v>3.29E-5</v>
      </c>
      <c r="H246" s="8">
        <v>0.104</v>
      </c>
      <c r="I246" s="9">
        <v>5.5999999999999997E-6</v>
      </c>
      <c r="J246" s="8">
        <v>6310000</v>
      </c>
      <c r="K246" s="8">
        <v>3890000</v>
      </c>
      <c r="L246" s="8">
        <v>38900</v>
      </c>
      <c r="M246" s="8">
        <v>292000</v>
      </c>
      <c r="N246" s="8">
        <v>156000</v>
      </c>
      <c r="O246" s="8">
        <v>0.03</v>
      </c>
      <c r="P246" s="8">
        <v>0.66400000000000003</v>
      </c>
      <c r="Q246" s="8">
        <v>40000</v>
      </c>
      <c r="R246" s="8">
        <v>1.03</v>
      </c>
      <c r="S246" s="8">
        <v>4.5500000000000002E-3</v>
      </c>
      <c r="T246" s="8">
        <v>4.5500000000000002E-3</v>
      </c>
      <c r="U246" s="8">
        <v>65500</v>
      </c>
      <c r="V246" s="8">
        <v>65500</v>
      </c>
      <c r="W246" s="8">
        <v>5.4999999999999997E-3</v>
      </c>
      <c r="X246" s="8">
        <v>2.6100000000000002E-2</v>
      </c>
      <c r="Y246" s="8">
        <v>3.1600000000000003E-2</v>
      </c>
      <c r="Z246" s="8">
        <v>5.96E-2</v>
      </c>
      <c r="AA246" s="8">
        <v>3.32</v>
      </c>
      <c r="AB246" s="8">
        <v>34400</v>
      </c>
      <c r="AC246" s="8" t="s">
        <v>45</v>
      </c>
      <c r="AD246" s="8">
        <v>0.09</v>
      </c>
      <c r="AE246" s="9">
        <v>6.9999999999999996E-10</v>
      </c>
      <c r="AF246" s="9" t="s">
        <v>645</v>
      </c>
      <c r="AG246" s="8">
        <v>1400000</v>
      </c>
      <c r="AH246" s="9" t="s">
        <v>645</v>
      </c>
      <c r="AI246" s="9">
        <v>4.0000000000000001E-8</v>
      </c>
      <c r="AJ246" s="8">
        <v>400</v>
      </c>
      <c r="AK246" s="8" t="s">
        <v>49</v>
      </c>
      <c r="AL246" s="8" t="s">
        <v>50</v>
      </c>
      <c r="AM246" s="8" t="s">
        <v>262</v>
      </c>
      <c r="AN246" s="8">
        <v>4.5500000000000002E-3</v>
      </c>
      <c r="AO246" s="8">
        <v>1.0999999999999999E-2</v>
      </c>
      <c r="AP246" s="8">
        <v>1.9300000000000001E-2</v>
      </c>
      <c r="AQ246" s="8">
        <v>1</v>
      </c>
      <c r="AR246" s="8" t="s">
        <v>53</v>
      </c>
      <c r="AS246" s="8" t="s">
        <v>54</v>
      </c>
    </row>
    <row r="247" spans="1:45" x14ac:dyDescent="0.25">
      <c r="A247" s="10" t="s">
        <v>421</v>
      </c>
      <c r="B247" s="8" t="s">
        <v>422</v>
      </c>
      <c r="C247" s="8">
        <v>306</v>
      </c>
      <c r="D247" s="8">
        <v>501</v>
      </c>
      <c r="E247" s="9">
        <v>1.97E-11</v>
      </c>
      <c r="F247" s="8">
        <v>4.1899999999999999E-4</v>
      </c>
      <c r="G247" s="9">
        <v>1.4399999999999999E-5</v>
      </c>
      <c r="H247" s="8">
        <v>2.35E-2</v>
      </c>
      <c r="I247" s="9">
        <v>6.0100000000000001E-6</v>
      </c>
      <c r="J247" s="8">
        <v>1260000</v>
      </c>
      <c r="K247" s="8">
        <v>776000</v>
      </c>
      <c r="L247" s="8">
        <v>7760</v>
      </c>
      <c r="M247" s="8">
        <v>58200</v>
      </c>
      <c r="N247" s="8">
        <v>31000</v>
      </c>
      <c r="O247" s="8">
        <v>0.03</v>
      </c>
      <c r="P247" s="8">
        <v>0.77</v>
      </c>
      <c r="Q247" s="8">
        <v>11600</v>
      </c>
      <c r="R247" s="8">
        <v>1.49</v>
      </c>
      <c r="S247" s="8">
        <v>1.15E-2</v>
      </c>
      <c r="T247" s="8">
        <v>1.15E-2</v>
      </c>
      <c r="U247" s="8">
        <v>45700</v>
      </c>
      <c r="V247" s="8">
        <v>45700</v>
      </c>
      <c r="W247" s="8">
        <v>7.6800000000000002E-3</v>
      </c>
      <c r="X247" s="8">
        <v>3.6499999999999998E-2</v>
      </c>
      <c r="Y247" s="8">
        <v>4.4200000000000003E-2</v>
      </c>
      <c r="Z247" s="8">
        <v>3.61E-2</v>
      </c>
      <c r="AA247" s="8">
        <v>2.56</v>
      </c>
      <c r="AB247" s="8">
        <v>9930</v>
      </c>
      <c r="AC247" s="8" t="s">
        <v>45</v>
      </c>
      <c r="AD247" s="8">
        <v>0.09</v>
      </c>
      <c r="AE247" s="9">
        <v>6.9999999999999998E-9</v>
      </c>
      <c r="AF247" s="9" t="s">
        <v>645</v>
      </c>
      <c r="AG247" s="8">
        <v>140000</v>
      </c>
      <c r="AH247" s="9" t="s">
        <v>645</v>
      </c>
      <c r="AI247" s="9">
        <v>3.9999999999999998E-7</v>
      </c>
      <c r="AJ247" s="8">
        <v>40</v>
      </c>
      <c r="AK247" s="8" t="s">
        <v>49</v>
      </c>
      <c r="AL247" s="8" t="s">
        <v>50</v>
      </c>
      <c r="AM247" s="8" t="s">
        <v>219</v>
      </c>
      <c r="AN247" s="8">
        <v>1.15E-2</v>
      </c>
      <c r="AO247" s="8">
        <v>1.54E-2</v>
      </c>
      <c r="AP247" s="8">
        <v>2.69E-2</v>
      </c>
      <c r="AQ247" s="8">
        <v>0.1</v>
      </c>
      <c r="AR247" s="8" t="s">
        <v>53</v>
      </c>
      <c r="AS247" s="8" t="s">
        <v>54</v>
      </c>
    </row>
    <row r="248" spans="1:45" x14ac:dyDescent="0.25">
      <c r="A248" s="10" t="s">
        <v>706</v>
      </c>
      <c r="B248" s="10" t="s">
        <v>424</v>
      </c>
      <c r="C248" s="8">
        <v>326</v>
      </c>
      <c r="D248" s="8">
        <v>283</v>
      </c>
      <c r="E248" s="9">
        <v>1.01E-7</v>
      </c>
      <c r="F248" s="8">
        <v>4.2999999999999997E-2</v>
      </c>
      <c r="G248" s="8">
        <v>2.8299999999999999E-4</v>
      </c>
      <c r="H248" s="8">
        <v>1E-3</v>
      </c>
      <c r="I248" s="9">
        <v>1.0000000000000001E-5</v>
      </c>
      <c r="J248" s="8">
        <v>3160000</v>
      </c>
      <c r="K248" s="8">
        <v>2450000</v>
      </c>
      <c r="L248" s="8">
        <v>24500</v>
      </c>
      <c r="M248" s="8">
        <v>184000</v>
      </c>
      <c r="N248" s="8">
        <v>98100</v>
      </c>
      <c r="O248" s="8">
        <v>0.03</v>
      </c>
      <c r="P248" s="8">
        <v>0.99199999999999999</v>
      </c>
      <c r="Q248" s="8">
        <v>23500</v>
      </c>
      <c r="R248" s="8">
        <v>0.95799999999999996</v>
      </c>
      <c r="S248" s="8">
        <v>6.7799999999999996E-3</v>
      </c>
      <c r="T248" s="8">
        <v>6.7799999999999996E-3</v>
      </c>
      <c r="U248" s="8">
        <v>1650</v>
      </c>
      <c r="V248" s="8">
        <v>1650</v>
      </c>
      <c r="W248" s="8">
        <v>6.5199999999999998E-3</v>
      </c>
      <c r="X248" s="8">
        <v>3.1E-2</v>
      </c>
      <c r="Y248" s="8">
        <v>3.7499999999999999E-2</v>
      </c>
      <c r="Z248" s="8">
        <v>12.8</v>
      </c>
      <c r="AA248" s="8" t="s">
        <v>44</v>
      </c>
      <c r="AB248" s="8">
        <v>84100</v>
      </c>
      <c r="AC248" s="8" t="s">
        <v>45</v>
      </c>
      <c r="AD248" s="8">
        <v>2</v>
      </c>
      <c r="AE248" s="9">
        <v>4.5000000000000003E-5</v>
      </c>
      <c r="AF248" s="9" t="s">
        <v>668</v>
      </c>
      <c r="AG248" s="8">
        <v>420</v>
      </c>
      <c r="AH248" s="8" t="s">
        <v>658</v>
      </c>
      <c r="AI248" s="8">
        <v>1.2999999999999999E-4</v>
      </c>
      <c r="AJ248" s="8">
        <v>8.5714286000000001E-2</v>
      </c>
      <c r="AK248" s="8" t="s">
        <v>49</v>
      </c>
      <c r="AL248" s="8" t="s">
        <v>50</v>
      </c>
      <c r="AM248" s="8" t="s">
        <v>65</v>
      </c>
      <c r="AN248" s="8">
        <v>0.01</v>
      </c>
      <c r="AO248" s="8">
        <v>1.2999999999999999E-2</v>
      </c>
      <c r="AP248" s="8">
        <v>3.2000000000000001E-2</v>
      </c>
      <c r="AQ248" s="8" t="s">
        <v>52</v>
      </c>
      <c r="AR248" s="8" t="s">
        <v>53</v>
      </c>
      <c r="AS248" s="8" t="s">
        <v>54</v>
      </c>
    </row>
    <row r="249" spans="1:45" x14ac:dyDescent="0.25">
      <c r="A249" s="8" t="s">
        <v>425</v>
      </c>
      <c r="B249" s="8" t="s">
        <v>426</v>
      </c>
      <c r="C249" s="8">
        <v>168</v>
      </c>
      <c r="D249" s="8">
        <v>229</v>
      </c>
      <c r="E249" s="8">
        <v>6.0499999999999998E-3</v>
      </c>
      <c r="F249" s="8">
        <v>3000</v>
      </c>
      <c r="G249" s="8">
        <v>3.4000000000000002E-4</v>
      </c>
      <c r="H249" s="8">
        <v>7.0999999999999994E-2</v>
      </c>
      <c r="I249" s="9">
        <v>7.9000000000000006E-6</v>
      </c>
      <c r="J249" s="8">
        <v>251</v>
      </c>
      <c r="K249" s="8">
        <v>79</v>
      </c>
      <c r="L249" s="8">
        <v>0.19</v>
      </c>
      <c r="M249" s="8">
        <v>5.93</v>
      </c>
      <c r="N249" s="8">
        <v>3.16</v>
      </c>
      <c r="O249" s="8">
        <v>5.75</v>
      </c>
      <c r="P249" s="8">
        <v>1</v>
      </c>
      <c r="Q249" s="8">
        <v>16.399999999999999</v>
      </c>
      <c r="R249" s="8">
        <v>86.2</v>
      </c>
      <c r="S249" s="8">
        <v>1.59</v>
      </c>
      <c r="T249" s="8">
        <v>1.59</v>
      </c>
      <c r="U249" s="8">
        <v>5.91E-2</v>
      </c>
      <c r="V249" s="8">
        <v>5.91E-2</v>
      </c>
      <c r="W249" s="8">
        <v>1.1000000000000001E-3</v>
      </c>
      <c r="X249" s="8">
        <v>5.2100000000000002E-3</v>
      </c>
      <c r="Y249" s="8">
        <v>6.3E-3</v>
      </c>
      <c r="Z249" s="8">
        <v>0.35</v>
      </c>
      <c r="AA249" s="8" t="s">
        <v>44</v>
      </c>
      <c r="AB249" s="8">
        <v>14.1</v>
      </c>
      <c r="AC249" s="8" t="s">
        <v>45</v>
      </c>
      <c r="AD249" s="8" t="s">
        <v>46</v>
      </c>
      <c r="AE249" s="9">
        <v>0.02</v>
      </c>
      <c r="AF249" s="8" t="s">
        <v>639</v>
      </c>
      <c r="AG249" s="8">
        <v>0.2</v>
      </c>
      <c r="AH249" s="8" t="s">
        <v>639</v>
      </c>
      <c r="AI249" s="8" t="s">
        <v>57</v>
      </c>
      <c r="AJ249" s="9">
        <v>5.8E-5</v>
      </c>
      <c r="AK249" s="8" t="s">
        <v>49</v>
      </c>
      <c r="AL249" s="8" t="s">
        <v>50</v>
      </c>
      <c r="AM249" s="8" t="s">
        <v>51</v>
      </c>
      <c r="AN249" s="8">
        <v>1.59</v>
      </c>
      <c r="AO249" s="8">
        <v>2.1900000000000001E-3</v>
      </c>
      <c r="AP249" s="8">
        <v>3.8400000000000001E-3</v>
      </c>
      <c r="AQ249" s="8" t="s">
        <v>52</v>
      </c>
      <c r="AR249" s="8" t="s">
        <v>53</v>
      </c>
      <c r="AS249" s="8" t="s">
        <v>54</v>
      </c>
    </row>
    <row r="250" spans="1:45" x14ac:dyDescent="0.25">
      <c r="A250" s="8" t="s">
        <v>427</v>
      </c>
      <c r="B250" s="8" t="s">
        <v>428</v>
      </c>
      <c r="C250" s="8">
        <v>166</v>
      </c>
      <c r="D250" s="8">
        <v>251</v>
      </c>
      <c r="E250" s="8">
        <v>2.5000000000000001E-2</v>
      </c>
      <c r="F250" s="8">
        <v>200</v>
      </c>
      <c r="G250" s="8">
        <v>1.7999999999999999E-2</v>
      </c>
      <c r="H250" s="8">
        <v>7.1999999999999995E-2</v>
      </c>
      <c r="I250" s="9">
        <v>8.1999999999999994E-6</v>
      </c>
      <c r="J250" s="8">
        <v>2510</v>
      </c>
      <c r="K250" s="8">
        <v>265</v>
      </c>
      <c r="L250" s="8">
        <v>0.31</v>
      </c>
      <c r="M250" s="8">
        <v>19.899999999999999</v>
      </c>
      <c r="N250" s="8">
        <v>10.6</v>
      </c>
      <c r="O250" s="8">
        <v>0.7</v>
      </c>
      <c r="P250" s="8">
        <v>1</v>
      </c>
      <c r="Q250" s="8">
        <v>96.4</v>
      </c>
      <c r="R250" s="8">
        <v>311</v>
      </c>
      <c r="S250" s="8">
        <v>0.42</v>
      </c>
      <c r="T250" s="8">
        <v>0.42</v>
      </c>
      <c r="U250" s="8">
        <v>1.2999999999999999E-2</v>
      </c>
      <c r="V250" s="8">
        <v>1.2999999999999999E-2</v>
      </c>
      <c r="W250" s="8">
        <v>3.4299999999999999E-3</v>
      </c>
      <c r="X250" s="8">
        <v>1.6299999999999999E-2</v>
      </c>
      <c r="Y250" s="8">
        <v>1.9699999999999999E-2</v>
      </c>
      <c r="Z250" s="8">
        <v>2.7899999999999999E-3</v>
      </c>
      <c r="AA250" s="8" t="s">
        <v>44</v>
      </c>
      <c r="AB250" s="8">
        <v>82.8</v>
      </c>
      <c r="AC250" s="8" t="s">
        <v>45</v>
      </c>
      <c r="AD250" s="8" t="s">
        <v>46</v>
      </c>
      <c r="AE250" s="8">
        <v>6.0000000000000001E-3</v>
      </c>
      <c r="AF250" s="8" t="s">
        <v>639</v>
      </c>
      <c r="AG250" s="8">
        <v>2.0999999999999999E-3</v>
      </c>
      <c r="AH250" s="8" t="s">
        <v>639</v>
      </c>
      <c r="AI250" s="8">
        <v>0.1</v>
      </c>
      <c r="AJ250" s="9">
        <v>5.0000000000000004E-6</v>
      </c>
      <c r="AK250" s="8" t="s">
        <v>49</v>
      </c>
      <c r="AL250" s="8" t="s">
        <v>50</v>
      </c>
      <c r="AM250" s="8" t="s">
        <v>51</v>
      </c>
      <c r="AN250" s="8">
        <v>0.42</v>
      </c>
      <c r="AO250" s="8">
        <v>6.8700000000000002E-3</v>
      </c>
      <c r="AP250" s="8">
        <v>1.2E-2</v>
      </c>
      <c r="AQ250" s="8" t="s">
        <v>52</v>
      </c>
      <c r="AR250" s="8" t="s">
        <v>53</v>
      </c>
      <c r="AS250" s="8" t="s">
        <v>54</v>
      </c>
    </row>
    <row r="251" spans="1:45" x14ac:dyDescent="0.25">
      <c r="A251" s="10" t="s">
        <v>506</v>
      </c>
      <c r="B251" s="10" t="s">
        <v>513</v>
      </c>
      <c r="C251" s="8">
        <v>102.03</v>
      </c>
      <c r="D251" s="8">
        <v>123.48</v>
      </c>
      <c r="E251" s="9">
        <v>5.2130000000000001</v>
      </c>
      <c r="F251" s="8">
        <v>767.8</v>
      </c>
      <c r="G251" s="9">
        <v>1.53</v>
      </c>
      <c r="H251" s="9">
        <v>8.2299999999999998E-2</v>
      </c>
      <c r="I251" s="9">
        <v>1.06E-5</v>
      </c>
      <c r="J251" s="8">
        <v>47.86</v>
      </c>
      <c r="K251" s="9">
        <v>86.03</v>
      </c>
      <c r="M251" s="8">
        <f t="shared" ref="M251:M253" si="17">(0.075*K251)</f>
        <v>6.4522500000000003</v>
      </c>
      <c r="N251" s="8">
        <f t="shared" ref="N251:N253" si="18">(0.04*K251)</f>
        <v>3.4412000000000003</v>
      </c>
      <c r="P251" s="8">
        <v>1</v>
      </c>
      <c r="U251" s="8">
        <v>4.08</v>
      </c>
      <c r="V251" s="8">
        <v>4.08</v>
      </c>
      <c r="W251" s="9">
        <v>3.7800000000000002E-7</v>
      </c>
      <c r="X251" s="9">
        <v>1.1999999999999999E-6</v>
      </c>
      <c r="Y251" s="9"/>
      <c r="AB251" s="8">
        <v>5.6269999999999998</v>
      </c>
      <c r="AC251" s="8">
        <v>5.6269999999999998</v>
      </c>
      <c r="AI251" s="8">
        <v>80</v>
      </c>
      <c r="AJ251" s="9"/>
      <c r="AM251" s="8" t="s">
        <v>713</v>
      </c>
      <c r="AO251" s="9"/>
      <c r="AP251" s="9"/>
    </row>
    <row r="252" spans="1:45" x14ac:dyDescent="0.25">
      <c r="A252" s="10" t="s">
        <v>527</v>
      </c>
      <c r="B252" s="10" t="s">
        <v>526</v>
      </c>
      <c r="C252" s="8">
        <v>88</v>
      </c>
      <c r="D252" s="8">
        <v>109.2</v>
      </c>
      <c r="E252" s="9">
        <v>91.3</v>
      </c>
      <c r="F252" s="8">
        <v>2239</v>
      </c>
      <c r="G252" s="8">
        <v>4.59</v>
      </c>
      <c r="I252" s="9"/>
      <c r="J252" s="8">
        <v>15.5</v>
      </c>
      <c r="K252" s="8">
        <v>43.89</v>
      </c>
      <c r="M252" s="8">
        <f t="shared" si="17"/>
        <v>3.29175</v>
      </c>
      <c r="N252" s="8">
        <f t="shared" si="18"/>
        <v>1.7556</v>
      </c>
      <c r="P252" s="8">
        <v>1</v>
      </c>
      <c r="AB252" s="8">
        <v>2.347</v>
      </c>
      <c r="AC252" s="8">
        <v>2.347</v>
      </c>
      <c r="AJ252" s="9"/>
      <c r="AM252" s="8" t="s">
        <v>715</v>
      </c>
    </row>
    <row r="253" spans="1:45" x14ac:dyDescent="0.25">
      <c r="A253" s="10" t="s">
        <v>539</v>
      </c>
      <c r="B253" s="10" t="s">
        <v>540</v>
      </c>
      <c r="C253" s="8">
        <v>189.68</v>
      </c>
      <c r="D253" s="8">
        <v>499.89</v>
      </c>
      <c r="E253" s="9">
        <v>7.3499999999999998E-3</v>
      </c>
      <c r="F253" s="8">
        <v>2741</v>
      </c>
      <c r="G253" s="9">
        <v>5.1000000000000004E-4</v>
      </c>
      <c r="H253" s="9">
        <v>3.7999999999999999E-2</v>
      </c>
      <c r="I253" s="9">
        <v>9.0600000000000004E-8</v>
      </c>
      <c r="J253" s="8">
        <v>29.5</v>
      </c>
      <c r="K253" s="9">
        <v>43.89</v>
      </c>
      <c r="M253" s="8">
        <f t="shared" si="17"/>
        <v>3.29175</v>
      </c>
      <c r="N253" s="8">
        <f t="shared" si="18"/>
        <v>1.7556</v>
      </c>
      <c r="P253" s="8">
        <v>1</v>
      </c>
      <c r="AB253" s="8">
        <v>2.3220000000000001</v>
      </c>
      <c r="AC253" s="8">
        <v>2.3220000000000001</v>
      </c>
      <c r="AJ253" s="9"/>
    </row>
    <row r="254" spans="1:45" x14ac:dyDescent="0.25">
      <c r="A254" s="8" t="s">
        <v>429</v>
      </c>
      <c r="B254" s="8" t="s">
        <v>430</v>
      </c>
      <c r="C254" s="8">
        <v>92.1</v>
      </c>
      <c r="D254" s="8">
        <v>178</v>
      </c>
      <c r="E254" s="8">
        <v>3.6799999999999999E-2</v>
      </c>
      <c r="F254" s="8">
        <v>530</v>
      </c>
      <c r="G254" s="8">
        <v>6.6E-3</v>
      </c>
      <c r="H254" s="8">
        <v>8.6999999999999994E-2</v>
      </c>
      <c r="I254" s="9">
        <v>8.6000000000000007E-6</v>
      </c>
      <c r="J254" s="8">
        <v>501</v>
      </c>
      <c r="K254" s="8">
        <v>140</v>
      </c>
      <c r="L254" s="8">
        <v>0.36</v>
      </c>
      <c r="M254" s="8">
        <v>10.5</v>
      </c>
      <c r="N254" s="8">
        <v>5.6</v>
      </c>
      <c r="O254" s="8">
        <v>11.5</v>
      </c>
      <c r="P254" s="8">
        <v>1</v>
      </c>
      <c r="Q254" s="8">
        <v>27.9</v>
      </c>
      <c r="R254" s="8">
        <v>77.400000000000006</v>
      </c>
      <c r="S254" s="8">
        <v>1.07</v>
      </c>
      <c r="T254" s="8">
        <v>1.07</v>
      </c>
      <c r="U254" s="8">
        <v>6.3600000000000002E-3</v>
      </c>
      <c r="V254" s="8">
        <v>6.3600000000000002E-3</v>
      </c>
      <c r="W254" s="8">
        <v>1.6199999999999999E-3</v>
      </c>
      <c r="X254" s="8">
        <v>7.6899999999999998E-3</v>
      </c>
      <c r="Y254" s="8">
        <v>9.3100000000000006E-3</v>
      </c>
      <c r="Z254" s="8">
        <v>3.6900000000000001E-3</v>
      </c>
      <c r="AA254" s="8" t="s">
        <v>44</v>
      </c>
      <c r="AB254" s="8">
        <v>23.9</v>
      </c>
      <c r="AC254" s="8" t="s">
        <v>45</v>
      </c>
      <c r="AD254" s="8" t="s">
        <v>46</v>
      </c>
      <c r="AE254" s="8">
        <v>0.08</v>
      </c>
      <c r="AF254" s="8" t="s">
        <v>639</v>
      </c>
      <c r="AG254" s="8" t="s">
        <v>47</v>
      </c>
      <c r="AI254" s="8">
        <v>0.4</v>
      </c>
      <c r="AJ254" s="8" t="s">
        <v>48</v>
      </c>
      <c r="AK254" s="8" t="s">
        <v>49</v>
      </c>
      <c r="AL254" s="8" t="s">
        <v>50</v>
      </c>
      <c r="AM254" s="8" t="s">
        <v>51</v>
      </c>
      <c r="AN254" s="8">
        <v>1.07</v>
      </c>
      <c r="AO254" s="8">
        <v>3.2399999999999998E-3</v>
      </c>
      <c r="AP254" s="8">
        <v>5.6699999999999997E-3</v>
      </c>
      <c r="AQ254" s="8" t="s">
        <v>52</v>
      </c>
      <c r="AR254" s="8" t="s">
        <v>53</v>
      </c>
      <c r="AS254" s="8" t="s">
        <v>54</v>
      </c>
    </row>
    <row r="255" spans="1:45" x14ac:dyDescent="0.25">
      <c r="A255" s="10" t="s">
        <v>432</v>
      </c>
      <c r="B255" s="10" t="s">
        <v>433</v>
      </c>
      <c r="C255" s="8">
        <v>107</v>
      </c>
      <c r="D255" s="8">
        <v>257</v>
      </c>
      <c r="E255" s="8">
        <v>4.2099999999999999E-4</v>
      </c>
      <c r="F255" s="8">
        <v>16600</v>
      </c>
      <c r="G255" s="9">
        <v>2.7199999999999998E-6</v>
      </c>
      <c r="H255" s="8">
        <v>7.1400000000000005E-2</v>
      </c>
      <c r="I255" s="9">
        <v>9.1200000000000008E-6</v>
      </c>
      <c r="J255" s="8">
        <v>20.9</v>
      </c>
      <c r="K255" s="8">
        <v>19.899999999999999</v>
      </c>
      <c r="L255" s="8">
        <v>0.2</v>
      </c>
      <c r="M255" s="8">
        <v>1.49</v>
      </c>
      <c r="N255" s="8">
        <v>0.79</v>
      </c>
      <c r="O255" s="8">
        <v>36.1</v>
      </c>
      <c r="P255" s="8">
        <v>1</v>
      </c>
      <c r="Q255" s="8">
        <v>8.7200000000000006</v>
      </c>
      <c r="R255" s="8">
        <v>43.9</v>
      </c>
      <c r="S255" s="8">
        <v>6.68</v>
      </c>
      <c r="T255" s="8">
        <v>6.68</v>
      </c>
      <c r="U255" s="8">
        <v>0.52300000000000002</v>
      </c>
      <c r="V255" s="8">
        <v>0.52300000000000002</v>
      </c>
      <c r="W255" s="8">
        <v>1.9100000000000001E-4</v>
      </c>
      <c r="X255" s="8">
        <v>9.0899999999999998E-4</v>
      </c>
      <c r="Y255" s="8">
        <v>1.1000000000000001E-3</v>
      </c>
      <c r="Z255" s="8">
        <v>1.74E-4</v>
      </c>
      <c r="AA255" s="8" t="s">
        <v>44</v>
      </c>
      <c r="AB255" s="8">
        <v>2.0699999999999998</v>
      </c>
      <c r="AC255" s="8" t="s">
        <v>45</v>
      </c>
      <c r="AD255" s="8" t="s">
        <v>46</v>
      </c>
      <c r="AE255" s="8" t="s">
        <v>56</v>
      </c>
      <c r="AG255" s="8">
        <v>1.6E-2</v>
      </c>
      <c r="AH255" s="8" t="s">
        <v>644</v>
      </c>
      <c r="AI255" s="8" t="s">
        <v>57</v>
      </c>
      <c r="AJ255" s="9">
        <v>5.1E-5</v>
      </c>
      <c r="AK255" s="8" t="s">
        <v>49</v>
      </c>
      <c r="AL255" s="8" t="s">
        <v>50</v>
      </c>
      <c r="AM255" s="8" t="s">
        <v>51</v>
      </c>
      <c r="AN255" s="8">
        <v>6.68</v>
      </c>
      <c r="AO255" s="8">
        <v>3.8299999999999999E-4</v>
      </c>
      <c r="AP255" s="8">
        <v>6.7000000000000002E-4</v>
      </c>
      <c r="AQ255" s="8" t="s">
        <v>52</v>
      </c>
      <c r="AR255" s="8" t="s">
        <v>53</v>
      </c>
      <c r="AS255" s="8" t="s">
        <v>54</v>
      </c>
    </row>
    <row r="256" spans="1:45" x14ac:dyDescent="0.25">
      <c r="A256" s="8" t="s">
        <v>707</v>
      </c>
      <c r="B256" s="8" t="s">
        <v>435</v>
      </c>
      <c r="C256" s="8">
        <v>228</v>
      </c>
      <c r="D256" s="8">
        <v>527</v>
      </c>
      <c r="E256" s="9">
        <v>1.0299999999999999E-11</v>
      </c>
      <c r="F256" s="8">
        <v>1.9400000000000001E-3</v>
      </c>
      <c r="G256" s="9">
        <v>1.2100000000000001E-6</v>
      </c>
      <c r="H256" s="8">
        <v>2.4799999999999999E-2</v>
      </c>
      <c r="I256" s="9">
        <v>6.2099999999999998E-6</v>
      </c>
      <c r="J256" s="8">
        <v>548000</v>
      </c>
      <c r="K256" s="8">
        <v>297000</v>
      </c>
      <c r="L256" s="8">
        <v>2970</v>
      </c>
      <c r="M256" s="8">
        <v>22300</v>
      </c>
      <c r="N256" s="8">
        <v>11900</v>
      </c>
      <c r="O256" s="8">
        <v>0.253</v>
      </c>
      <c r="P256" s="8">
        <v>0.76100000000000001</v>
      </c>
      <c r="Q256" s="8">
        <v>6100</v>
      </c>
      <c r="R256" s="8">
        <v>2.06</v>
      </c>
      <c r="S256" s="8">
        <v>1.8700000000000001E-2</v>
      </c>
      <c r="T256" s="8">
        <v>1.8700000000000001E-2</v>
      </c>
      <c r="U256" s="8">
        <v>59700</v>
      </c>
      <c r="V256" s="8">
        <v>59700</v>
      </c>
      <c r="W256" s="8">
        <v>4.3600000000000002E-3</v>
      </c>
      <c r="X256" s="8">
        <v>1.38E-2</v>
      </c>
      <c r="Y256" s="8">
        <v>1.67E-2</v>
      </c>
      <c r="Z256" s="8">
        <v>4.3600000000000003</v>
      </c>
      <c r="AA256" s="8" t="s">
        <v>44</v>
      </c>
      <c r="AB256" s="8" t="s">
        <v>63</v>
      </c>
      <c r="AC256" s="8">
        <v>6030</v>
      </c>
      <c r="AD256" s="8" t="s">
        <v>46</v>
      </c>
      <c r="AE256" s="8" t="s">
        <v>56</v>
      </c>
      <c r="AG256" s="8">
        <v>1.7</v>
      </c>
      <c r="AH256" s="8" t="s">
        <v>660</v>
      </c>
      <c r="AI256" s="8" t="s">
        <v>57</v>
      </c>
      <c r="AJ256" s="9">
        <v>5.5000000000000002E-5</v>
      </c>
      <c r="AK256" s="8" t="s">
        <v>49</v>
      </c>
      <c r="AL256" s="8" t="s">
        <v>50</v>
      </c>
      <c r="AM256" s="8" t="s">
        <v>72</v>
      </c>
      <c r="AN256" s="8">
        <v>1.32E-2</v>
      </c>
      <c r="AO256" s="8">
        <v>1.5800000000000002E-2</v>
      </c>
      <c r="AP256" s="8">
        <v>2.7699999999999999E-2</v>
      </c>
      <c r="AQ256" s="8" t="s">
        <v>52</v>
      </c>
      <c r="AR256" s="8" t="s">
        <v>53</v>
      </c>
      <c r="AS256" s="8" t="s">
        <v>54</v>
      </c>
    </row>
    <row r="257" spans="1:45" x14ac:dyDescent="0.25">
      <c r="A257" s="8" t="s">
        <v>436</v>
      </c>
      <c r="B257" s="8" t="s">
        <v>437</v>
      </c>
      <c r="C257" s="8">
        <v>181</v>
      </c>
      <c r="D257" s="8">
        <v>290</v>
      </c>
      <c r="E257" s="8">
        <v>5.6599999999999999E-4</v>
      </c>
      <c r="F257" s="8">
        <v>35</v>
      </c>
      <c r="G257" s="8">
        <v>1.4E-3</v>
      </c>
      <c r="H257" s="8">
        <v>0.03</v>
      </c>
      <c r="I257" s="9">
        <v>8.2300000000000008E-6</v>
      </c>
      <c r="J257" s="8">
        <v>10000</v>
      </c>
      <c r="K257" s="8">
        <v>1660</v>
      </c>
      <c r="L257" s="8">
        <v>3.6</v>
      </c>
      <c r="M257" s="8">
        <v>125</v>
      </c>
      <c r="N257" s="8">
        <v>66.400000000000006</v>
      </c>
      <c r="O257" s="8">
        <v>1.41</v>
      </c>
      <c r="P257" s="8">
        <v>1</v>
      </c>
      <c r="Q257" s="8">
        <v>279</v>
      </c>
      <c r="R257" s="8">
        <v>77.599999999999994</v>
      </c>
      <c r="S257" s="8">
        <v>0.189</v>
      </c>
      <c r="T257" s="8">
        <v>0.189</v>
      </c>
      <c r="U257" s="8">
        <v>0.72699999999999998</v>
      </c>
      <c r="V257" s="8">
        <v>0.72699999999999998</v>
      </c>
      <c r="W257" s="8">
        <v>5.47E-3</v>
      </c>
      <c r="X257" s="8">
        <v>2.5999999999999999E-2</v>
      </c>
      <c r="Y257" s="8">
        <v>3.15E-2</v>
      </c>
      <c r="Z257" s="8">
        <v>7.7299999999999994E-2</v>
      </c>
      <c r="AA257" s="8" t="s">
        <v>44</v>
      </c>
      <c r="AB257" s="8">
        <v>240</v>
      </c>
      <c r="AC257" s="8" t="s">
        <v>45</v>
      </c>
      <c r="AD257" s="8" t="s">
        <v>46</v>
      </c>
      <c r="AE257" s="9">
        <v>0.01</v>
      </c>
      <c r="AF257" s="8" t="s">
        <v>639</v>
      </c>
      <c r="AG257" s="9">
        <v>2.9000000000000001E-2</v>
      </c>
      <c r="AH257" s="8" t="s">
        <v>644</v>
      </c>
      <c r="AI257" s="8" t="s">
        <v>57</v>
      </c>
      <c r="AJ257" s="8" t="s">
        <v>48</v>
      </c>
      <c r="AK257" s="8" t="s">
        <v>49</v>
      </c>
      <c r="AL257" s="8" t="s">
        <v>50</v>
      </c>
      <c r="AM257" s="8" t="s">
        <v>51</v>
      </c>
      <c r="AN257" s="8">
        <v>0.189</v>
      </c>
      <c r="AO257" s="8">
        <v>1.09E-2</v>
      </c>
      <c r="AP257" s="8">
        <v>1.9199999999999998E-2</v>
      </c>
      <c r="AQ257" s="8" t="s">
        <v>52</v>
      </c>
      <c r="AR257" s="8" t="s">
        <v>53</v>
      </c>
      <c r="AS257" s="8" t="s">
        <v>54</v>
      </c>
    </row>
    <row r="258" spans="1:45" x14ac:dyDescent="0.25">
      <c r="A258" s="8" t="s">
        <v>557</v>
      </c>
      <c r="B258" s="8" t="s">
        <v>64</v>
      </c>
      <c r="C258" s="8">
        <v>326</v>
      </c>
      <c r="D258" s="8">
        <v>283</v>
      </c>
      <c r="E258" s="9">
        <v>1.01E-7</v>
      </c>
      <c r="F258" s="8">
        <v>4.2999999999999997E-2</v>
      </c>
      <c r="G258" s="8">
        <v>2.8299999999999999E-4</v>
      </c>
      <c r="H258" s="8">
        <v>1E-3</v>
      </c>
      <c r="I258" s="9">
        <v>1.0000000000000001E-5</v>
      </c>
      <c r="J258" s="8">
        <v>3160000</v>
      </c>
      <c r="K258" s="8">
        <v>2450000</v>
      </c>
      <c r="L258" s="8">
        <v>24500</v>
      </c>
      <c r="M258" s="8">
        <v>184000</v>
      </c>
      <c r="N258" s="8">
        <v>98100</v>
      </c>
      <c r="O258" s="8">
        <v>0.03</v>
      </c>
      <c r="P258" s="8">
        <v>0.99199999999999999</v>
      </c>
      <c r="Q258" s="8">
        <v>23500</v>
      </c>
      <c r="R258" s="8">
        <v>0.95799999999999996</v>
      </c>
      <c r="S258" s="8">
        <v>6.7799999999999996E-3</v>
      </c>
      <c r="T258" s="8">
        <v>6.7799999999999996E-3</v>
      </c>
      <c r="U258" s="8">
        <v>1650</v>
      </c>
      <c r="V258" s="8">
        <v>1650</v>
      </c>
      <c r="W258" s="8">
        <v>6.5199999999999998E-3</v>
      </c>
      <c r="X258" s="8">
        <v>3.1E-2</v>
      </c>
      <c r="Y258" s="8">
        <v>3.7499999999999999E-2</v>
      </c>
      <c r="Z258" s="8">
        <v>12.8</v>
      </c>
      <c r="AA258" s="8" t="s">
        <v>44</v>
      </c>
      <c r="AB258" s="8">
        <v>84100</v>
      </c>
      <c r="AC258" s="8" t="s">
        <v>45</v>
      </c>
      <c r="AD258" s="8">
        <v>2</v>
      </c>
      <c r="AE258" s="9">
        <v>6.9999999999999994E-5</v>
      </c>
      <c r="AF258" s="9" t="s">
        <v>665</v>
      </c>
      <c r="AG258" s="9">
        <v>7.0000000000000007E-2</v>
      </c>
      <c r="AH258" s="8" t="s">
        <v>639</v>
      </c>
      <c r="AI258" s="9">
        <v>3.9999999999999998E-7</v>
      </c>
      <c r="AJ258" s="8">
        <v>5.6999999999999998E-4</v>
      </c>
      <c r="AK258" s="8" t="s">
        <v>49</v>
      </c>
      <c r="AL258" s="8" t="s">
        <v>50</v>
      </c>
      <c r="AM258" s="8" t="s">
        <v>65</v>
      </c>
      <c r="AN258" s="8">
        <v>0.01</v>
      </c>
      <c r="AO258" s="8">
        <v>1.2999999999999999E-2</v>
      </c>
      <c r="AP258" s="8">
        <v>3.2000000000000001E-2</v>
      </c>
      <c r="AQ258" s="8" t="s">
        <v>52</v>
      </c>
      <c r="AR258" s="8" t="s">
        <v>53</v>
      </c>
      <c r="AS258" s="8" t="s">
        <v>54</v>
      </c>
    </row>
    <row r="259" spans="1:45" x14ac:dyDescent="0.25">
      <c r="A259" s="8" t="s">
        <v>438</v>
      </c>
      <c r="B259" s="8" t="s">
        <v>439</v>
      </c>
      <c r="C259" s="8">
        <v>133</v>
      </c>
      <c r="D259" s="8">
        <v>243</v>
      </c>
      <c r="E259" s="8">
        <v>0.158</v>
      </c>
      <c r="F259" s="8">
        <v>1300</v>
      </c>
      <c r="G259" s="8">
        <v>1.7000000000000001E-2</v>
      </c>
      <c r="H259" s="8">
        <v>7.8E-2</v>
      </c>
      <c r="I259" s="9">
        <v>8.8000000000000004E-6</v>
      </c>
      <c r="J259" s="8">
        <v>316</v>
      </c>
      <c r="K259" s="8">
        <v>135</v>
      </c>
      <c r="L259" s="8">
        <v>0.22</v>
      </c>
      <c r="M259" s="8">
        <v>10.1</v>
      </c>
      <c r="N259" s="8">
        <v>5.4</v>
      </c>
      <c r="O259" s="8">
        <v>0.93</v>
      </c>
      <c r="P259" s="8">
        <v>1</v>
      </c>
      <c r="Q259" s="8">
        <v>19.5</v>
      </c>
      <c r="R259" s="8">
        <v>88.8</v>
      </c>
      <c r="S259" s="8">
        <v>1.39</v>
      </c>
      <c r="T259" s="8">
        <v>1.39</v>
      </c>
      <c r="U259" s="8">
        <v>1.5100000000000001E-3</v>
      </c>
      <c r="V259" s="8">
        <v>1.5100000000000001E-3</v>
      </c>
      <c r="W259" s="8">
        <v>1.25E-3</v>
      </c>
      <c r="X259" s="8">
        <v>5.96E-3</v>
      </c>
      <c r="Y259" s="8">
        <v>7.2100000000000003E-3</v>
      </c>
      <c r="Z259" s="8">
        <v>2.0999999999999999E-3</v>
      </c>
      <c r="AA259" s="8" t="s">
        <v>44</v>
      </c>
      <c r="AB259" s="8">
        <v>16.8</v>
      </c>
      <c r="AC259" s="8" t="s">
        <v>45</v>
      </c>
      <c r="AD259" s="8" t="s">
        <v>46</v>
      </c>
      <c r="AE259" s="8">
        <v>2</v>
      </c>
      <c r="AF259" s="8" t="s">
        <v>639</v>
      </c>
      <c r="AG259" s="8" t="s">
        <v>47</v>
      </c>
      <c r="AI259" s="8">
        <v>5</v>
      </c>
      <c r="AJ259" s="8" t="s">
        <v>48</v>
      </c>
      <c r="AK259" s="8" t="s">
        <v>49</v>
      </c>
      <c r="AL259" s="8" t="s">
        <v>50</v>
      </c>
      <c r="AM259" s="8" t="s">
        <v>51</v>
      </c>
      <c r="AN259" s="8">
        <v>1.39</v>
      </c>
      <c r="AO259" s="8">
        <v>2.5100000000000001E-3</v>
      </c>
      <c r="AP259" s="8">
        <v>4.3899999999999998E-3</v>
      </c>
      <c r="AQ259" s="8" t="s">
        <v>52</v>
      </c>
      <c r="AR259" s="8" t="s">
        <v>53</v>
      </c>
      <c r="AS259" s="8" t="s">
        <v>54</v>
      </c>
    </row>
    <row r="260" spans="1:45" x14ac:dyDescent="0.25">
      <c r="A260" s="8" t="s">
        <v>440</v>
      </c>
      <c r="B260" s="8" t="s">
        <v>441</v>
      </c>
      <c r="C260" s="8">
        <v>133</v>
      </c>
      <c r="D260" s="8">
        <v>236</v>
      </c>
      <c r="E260" s="8">
        <v>3.0300000000000001E-2</v>
      </c>
      <c r="F260" s="8">
        <v>4400</v>
      </c>
      <c r="G260" s="8">
        <v>9.1E-4</v>
      </c>
      <c r="H260" s="8">
        <v>7.8E-2</v>
      </c>
      <c r="I260" s="9">
        <v>8.8000000000000004E-6</v>
      </c>
      <c r="J260" s="8">
        <v>100</v>
      </c>
      <c r="K260" s="8">
        <v>75</v>
      </c>
      <c r="L260" s="8">
        <v>0.1</v>
      </c>
      <c r="M260" s="8">
        <v>5.63</v>
      </c>
      <c r="N260" s="8">
        <v>3</v>
      </c>
      <c r="O260" s="8">
        <v>0.69</v>
      </c>
      <c r="P260" s="8">
        <v>1</v>
      </c>
      <c r="Q260" s="8">
        <v>8.0500000000000007</v>
      </c>
      <c r="R260" s="8">
        <v>80.5</v>
      </c>
      <c r="S260" s="8">
        <v>2.7</v>
      </c>
      <c r="T260" s="8">
        <v>2.7</v>
      </c>
      <c r="U260" s="8">
        <v>8.2900000000000005E-3</v>
      </c>
      <c r="V260" s="8">
        <v>8.2900000000000005E-3</v>
      </c>
      <c r="W260" s="8">
        <v>6.11E-4</v>
      </c>
      <c r="X260" s="8">
        <v>2.8999999999999998E-3</v>
      </c>
      <c r="Y260" s="8">
        <v>3.5100000000000001E-3</v>
      </c>
      <c r="Z260" s="8">
        <v>9.9299999999999996E-4</v>
      </c>
      <c r="AA260" s="8" t="s">
        <v>44</v>
      </c>
      <c r="AB260" s="8">
        <v>6.92</v>
      </c>
      <c r="AC260" s="8" t="s">
        <v>45</v>
      </c>
      <c r="AD260" s="8" t="s">
        <v>46</v>
      </c>
      <c r="AE260" s="8">
        <v>4.0000000000000001E-3</v>
      </c>
      <c r="AF260" s="8" t="s">
        <v>639</v>
      </c>
      <c r="AG260" s="8">
        <v>5.7000000000000002E-2</v>
      </c>
      <c r="AH260" s="8" t="s">
        <v>639</v>
      </c>
      <c r="AI260" s="8" t="s">
        <v>57</v>
      </c>
      <c r="AJ260" s="9">
        <v>1.5999999999999999E-5</v>
      </c>
      <c r="AK260" s="8" t="s">
        <v>49</v>
      </c>
      <c r="AL260" s="8" t="s">
        <v>50</v>
      </c>
      <c r="AM260" s="8" t="s">
        <v>51</v>
      </c>
      <c r="AN260" s="8">
        <v>2.7</v>
      </c>
      <c r="AO260" s="8">
        <v>1.2199999999999999E-3</v>
      </c>
      <c r="AP260" s="8">
        <v>2.14E-3</v>
      </c>
      <c r="AQ260" s="8" t="s">
        <v>52</v>
      </c>
      <c r="AR260" s="8" t="s">
        <v>53</v>
      </c>
      <c r="AS260" s="8" t="s">
        <v>54</v>
      </c>
    </row>
    <row r="261" spans="1:45" x14ac:dyDescent="0.25">
      <c r="A261" s="8" t="s">
        <v>442</v>
      </c>
      <c r="B261" s="8" t="s">
        <v>443</v>
      </c>
      <c r="C261" s="8">
        <v>131</v>
      </c>
      <c r="D261" s="8">
        <v>188</v>
      </c>
      <c r="E261" s="8">
        <v>9.6100000000000005E-2</v>
      </c>
      <c r="F261" s="8">
        <v>1500</v>
      </c>
      <c r="G261" s="8">
        <v>0.01</v>
      </c>
      <c r="H261" s="8">
        <v>7.9000000000000001E-2</v>
      </c>
      <c r="I261" s="9">
        <v>9.0999999999999993E-6</v>
      </c>
      <c r="J261" s="8">
        <v>251</v>
      </c>
      <c r="K261" s="8">
        <v>94.3</v>
      </c>
      <c r="L261" s="8">
        <v>0.33</v>
      </c>
      <c r="M261" s="8">
        <v>7.07</v>
      </c>
      <c r="N261" s="8">
        <v>3.77</v>
      </c>
      <c r="O261" s="8">
        <v>0.7</v>
      </c>
      <c r="P261" s="8">
        <v>1</v>
      </c>
      <c r="Q261" s="8">
        <v>16.399999999999999</v>
      </c>
      <c r="R261" s="8">
        <v>49.6</v>
      </c>
      <c r="S261" s="8">
        <v>1.59</v>
      </c>
      <c r="T261" s="8">
        <v>1.59</v>
      </c>
      <c r="U261" s="8">
        <v>2.0100000000000001E-3</v>
      </c>
      <c r="V261" s="8">
        <v>2.0100000000000001E-3</v>
      </c>
      <c r="W261" s="8">
        <v>1.1000000000000001E-3</v>
      </c>
      <c r="X261" s="8">
        <v>5.2100000000000002E-3</v>
      </c>
      <c r="Y261" s="8">
        <v>6.3E-3</v>
      </c>
      <c r="Z261" s="8">
        <v>2.15E-3</v>
      </c>
      <c r="AA261" s="8" t="s">
        <v>44</v>
      </c>
      <c r="AB261" s="8">
        <v>14.1</v>
      </c>
      <c r="AC261" s="8" t="s">
        <v>45</v>
      </c>
      <c r="AD261" s="8" t="s">
        <v>46</v>
      </c>
      <c r="AE261" s="8">
        <v>5.0000000000000001E-4</v>
      </c>
      <c r="AF261" s="8" t="s">
        <v>639</v>
      </c>
      <c r="AG261" s="8">
        <v>4.5999999999999999E-2</v>
      </c>
      <c r="AH261" s="8" t="s">
        <v>639</v>
      </c>
      <c r="AI261" s="8">
        <v>2E-3</v>
      </c>
      <c r="AJ261" s="9">
        <v>3.3000000000000002E-6</v>
      </c>
      <c r="AK261" s="8" t="s">
        <v>49</v>
      </c>
      <c r="AL261" s="8" t="s">
        <v>50</v>
      </c>
      <c r="AM261" s="8" t="s">
        <v>51</v>
      </c>
      <c r="AN261" s="8">
        <v>1.59</v>
      </c>
      <c r="AO261" s="8">
        <v>2.1900000000000001E-3</v>
      </c>
      <c r="AP261" s="8">
        <v>3.8400000000000001E-3</v>
      </c>
      <c r="AQ261" s="8" t="s">
        <v>52</v>
      </c>
      <c r="AR261" s="8" t="s">
        <v>53</v>
      </c>
      <c r="AS261" s="8" t="s">
        <v>54</v>
      </c>
    </row>
    <row r="262" spans="1:45" x14ac:dyDescent="0.25">
      <c r="A262" s="10" t="s">
        <v>446</v>
      </c>
      <c r="B262" s="10" t="s">
        <v>447</v>
      </c>
      <c r="C262" s="8">
        <v>197.5</v>
      </c>
      <c r="D262" s="8">
        <v>341.15</v>
      </c>
      <c r="E262" s="9">
        <v>2.6299999999999999E-5</v>
      </c>
      <c r="F262" s="8">
        <v>1200</v>
      </c>
      <c r="G262" s="9">
        <v>4.33E-6</v>
      </c>
      <c r="H262" s="8">
        <v>2.9100000000000001E-2</v>
      </c>
      <c r="I262" s="9">
        <v>7.0299999999999996E-6</v>
      </c>
      <c r="J262" s="8">
        <v>5248.0746019999997</v>
      </c>
      <c r="K262" s="8">
        <v>1597</v>
      </c>
      <c r="L262" s="8">
        <v>15.97</v>
      </c>
      <c r="M262" s="8">
        <v>119.77500000000001</v>
      </c>
      <c r="N262" s="8">
        <v>63.88</v>
      </c>
      <c r="O262" s="8">
        <v>0.37</v>
      </c>
      <c r="P262" s="8">
        <v>1</v>
      </c>
      <c r="Q262" s="8">
        <v>170</v>
      </c>
      <c r="R262" s="8">
        <v>10.6</v>
      </c>
      <c r="S262" s="8">
        <v>0.27400000000000002</v>
      </c>
      <c r="T262" s="8">
        <v>0.27400000000000002</v>
      </c>
      <c r="U262" s="8">
        <v>118</v>
      </c>
      <c r="V262" s="8">
        <v>118</v>
      </c>
      <c r="W262" s="8">
        <v>4.1659200000000003E-4</v>
      </c>
      <c r="X262" s="8">
        <v>1.9788140000000002E-3</v>
      </c>
      <c r="Y262" s="8">
        <v>2.3954060000000001E-3</v>
      </c>
      <c r="Z262" s="8">
        <v>5.8883551999999999E-2</v>
      </c>
      <c r="AA262" s="8" t="s">
        <v>44</v>
      </c>
      <c r="AB262" s="8">
        <v>58.1</v>
      </c>
      <c r="AC262" s="8" t="s">
        <v>45</v>
      </c>
      <c r="AD262" s="8" t="s">
        <v>46</v>
      </c>
      <c r="AE262" s="8">
        <v>0.1</v>
      </c>
      <c r="AF262" s="8" t="s">
        <v>639</v>
      </c>
      <c r="AG262" s="8" t="s">
        <v>47</v>
      </c>
      <c r="AI262" s="8">
        <v>0.35</v>
      </c>
      <c r="AJ262" s="8" t="s">
        <v>48</v>
      </c>
      <c r="AK262" s="8" t="s">
        <v>49</v>
      </c>
      <c r="AL262" s="8" t="s">
        <v>50</v>
      </c>
      <c r="AM262" s="8" t="s">
        <v>67</v>
      </c>
      <c r="AN262" s="8">
        <v>0.27400000000000002</v>
      </c>
      <c r="AO262" s="8">
        <v>8.3318499999999996E-4</v>
      </c>
      <c r="AP262" s="8">
        <v>1.4580730000000001E-3</v>
      </c>
      <c r="AQ262" s="8" t="s">
        <v>52</v>
      </c>
      <c r="AR262" s="8" t="s">
        <v>53</v>
      </c>
      <c r="AS262" s="8" t="s">
        <v>54</v>
      </c>
    </row>
    <row r="263" spans="1:45" x14ac:dyDescent="0.25">
      <c r="A263" s="8" t="s">
        <v>448</v>
      </c>
      <c r="B263" s="8" t="s">
        <v>449</v>
      </c>
      <c r="C263" s="8">
        <v>198</v>
      </c>
      <c r="D263" s="8">
        <v>342</v>
      </c>
      <c r="E263" s="9">
        <v>3.1600000000000002E-5</v>
      </c>
      <c r="F263" s="8">
        <v>800</v>
      </c>
      <c r="G263" s="9">
        <v>7.7999999999999999E-6</v>
      </c>
      <c r="H263" s="8">
        <v>1E-3</v>
      </c>
      <c r="I263" s="9">
        <v>1.0000000000000001E-5</v>
      </c>
      <c r="J263" s="8">
        <v>5010</v>
      </c>
      <c r="K263" s="8">
        <v>381</v>
      </c>
      <c r="L263" s="8">
        <v>0.76</v>
      </c>
      <c r="M263" s="8">
        <v>28.6</v>
      </c>
      <c r="N263" s="8">
        <v>15.2</v>
      </c>
      <c r="O263" s="8">
        <v>3.61</v>
      </c>
      <c r="P263" s="8">
        <v>1</v>
      </c>
      <c r="Q263" s="8">
        <v>164</v>
      </c>
      <c r="R263" s="8">
        <v>216</v>
      </c>
      <c r="S263" s="8">
        <v>0.28100000000000003</v>
      </c>
      <c r="T263" s="8">
        <v>0.28100000000000003</v>
      </c>
      <c r="U263" s="8">
        <v>62.5</v>
      </c>
      <c r="V263" s="8">
        <v>62.5</v>
      </c>
      <c r="W263" s="9">
        <v>2.72E-5</v>
      </c>
      <c r="X263" s="8">
        <v>1.2899999999999999E-4</v>
      </c>
      <c r="Y263" s="8">
        <v>1.56E-4</v>
      </c>
      <c r="Z263" s="8">
        <v>4.0899999999999999E-2</v>
      </c>
      <c r="AA263" s="8" t="s">
        <v>44</v>
      </c>
      <c r="AB263" s="8">
        <v>56.1</v>
      </c>
      <c r="AC263" s="8" t="s">
        <v>45</v>
      </c>
      <c r="AD263" s="8" t="s">
        <v>46</v>
      </c>
      <c r="AE263" s="8">
        <v>1E-3</v>
      </c>
      <c r="AF263" s="8" t="s">
        <v>644</v>
      </c>
      <c r="AG263" s="8">
        <v>1.0999999999999999E-2</v>
      </c>
      <c r="AH263" s="8" t="s">
        <v>639</v>
      </c>
      <c r="AI263" s="8" t="s">
        <v>57</v>
      </c>
      <c r="AJ263" s="9">
        <v>3.1E-6</v>
      </c>
      <c r="AK263" s="8" t="s">
        <v>49</v>
      </c>
      <c r="AL263" s="8" t="s">
        <v>50</v>
      </c>
      <c r="AM263" s="8" t="s">
        <v>67</v>
      </c>
      <c r="AN263" s="8">
        <v>0.28100000000000003</v>
      </c>
      <c r="AO263" s="9">
        <v>5.4400000000000001E-5</v>
      </c>
      <c r="AP263" s="9">
        <v>9.5099999999999994E-5</v>
      </c>
      <c r="AQ263" s="8" t="s">
        <v>52</v>
      </c>
      <c r="AR263" s="8" t="s">
        <v>53</v>
      </c>
      <c r="AS263" s="8" t="s">
        <v>54</v>
      </c>
    </row>
    <row r="264" spans="1:45" x14ac:dyDescent="0.25">
      <c r="A264" s="8" t="s">
        <v>544</v>
      </c>
      <c r="B264" s="8" t="s">
        <v>452</v>
      </c>
      <c r="C264" s="8">
        <v>101</v>
      </c>
      <c r="D264" s="8">
        <v>158</v>
      </c>
      <c r="E264" s="8">
        <v>7.51E-2</v>
      </c>
      <c r="F264" s="8">
        <v>73700</v>
      </c>
      <c r="G264" s="8">
        <v>1.03E-4</v>
      </c>
      <c r="H264" s="8">
        <v>8.7499999999999994E-2</v>
      </c>
      <c r="I264" s="9">
        <v>1.01E-5</v>
      </c>
      <c r="J264" s="8">
        <v>28.2</v>
      </c>
      <c r="K264" s="8">
        <v>26.7</v>
      </c>
      <c r="L264" s="8">
        <v>0.26700000000000002</v>
      </c>
      <c r="M264" s="8">
        <v>2</v>
      </c>
      <c r="N264" s="8">
        <v>1.07</v>
      </c>
      <c r="O264" s="8">
        <v>3.37</v>
      </c>
      <c r="P264" s="8">
        <v>1</v>
      </c>
      <c r="Q264" s="8">
        <v>9.35</v>
      </c>
      <c r="R264" s="8">
        <v>35.1</v>
      </c>
      <c r="S264" s="8">
        <v>5.62</v>
      </c>
      <c r="T264" s="8">
        <v>5.62</v>
      </c>
      <c r="U264" s="8">
        <v>1.9E-2</v>
      </c>
      <c r="V264" s="8">
        <v>1.9E-2</v>
      </c>
      <c r="W264" s="8">
        <v>2.43E-4</v>
      </c>
      <c r="X264" s="8">
        <v>1.15E-3</v>
      </c>
      <c r="Y264" s="8">
        <v>1.4E-3</v>
      </c>
      <c r="Z264" s="8" t="s">
        <v>44</v>
      </c>
      <c r="AA264" s="8" t="s">
        <v>44</v>
      </c>
      <c r="AB264" s="8">
        <v>2.61</v>
      </c>
      <c r="AC264" s="8" t="s">
        <v>45</v>
      </c>
      <c r="AD264" s="8" t="s">
        <v>46</v>
      </c>
      <c r="AF264" s="8" t="s">
        <v>661</v>
      </c>
      <c r="AG264" s="8" t="s">
        <v>47</v>
      </c>
      <c r="AI264" s="8">
        <v>7.0000000000000001E-3</v>
      </c>
      <c r="AJ264" s="8" t="s">
        <v>48</v>
      </c>
      <c r="AK264" s="8" t="s">
        <v>49</v>
      </c>
      <c r="AL264" s="8" t="s">
        <v>50</v>
      </c>
      <c r="AM264" s="8" t="s">
        <v>51</v>
      </c>
      <c r="AN264" s="8">
        <v>5.62</v>
      </c>
      <c r="AO264" s="8">
        <v>4.86E-4</v>
      </c>
      <c r="AP264" s="8">
        <v>8.4999999999999995E-4</v>
      </c>
      <c r="AQ264" s="8" t="s">
        <v>52</v>
      </c>
      <c r="AR264" s="8" t="s">
        <v>53</v>
      </c>
      <c r="AS264" s="8" t="s">
        <v>54</v>
      </c>
    </row>
    <row r="265" spans="1:45" x14ac:dyDescent="0.25">
      <c r="A265" s="8" t="s">
        <v>751</v>
      </c>
      <c r="B265" s="8" t="s">
        <v>750</v>
      </c>
      <c r="C265" s="8">
        <v>150.18</v>
      </c>
      <c r="D265" s="8">
        <v>321.17</v>
      </c>
      <c r="E265" s="9">
        <v>2.6E-7</v>
      </c>
      <c r="F265" s="9">
        <v>1000000</v>
      </c>
      <c r="G265" s="9">
        <v>3.1599999999999999E-11</v>
      </c>
      <c r="H265" s="9">
        <v>5.0900000000000001E-2</v>
      </c>
      <c r="I265" s="9">
        <v>8.0600000000000008E-6</v>
      </c>
      <c r="J265" s="9">
        <v>1.78E-2</v>
      </c>
      <c r="K265" s="9">
        <v>10</v>
      </c>
      <c r="P265" s="8">
        <v>1</v>
      </c>
      <c r="U265" s="9">
        <v>399</v>
      </c>
      <c r="V265" s="9">
        <v>399</v>
      </c>
      <c r="W265" s="9">
        <v>1.4000000000000001E-10</v>
      </c>
      <c r="X265" s="9">
        <v>4.4500000000000001E-10</v>
      </c>
      <c r="AB265" s="8">
        <v>0.89329999999999998</v>
      </c>
      <c r="AC265" s="8">
        <v>0.89329999999999998</v>
      </c>
      <c r="AE265" s="8">
        <v>2</v>
      </c>
      <c r="AF265" s="8" t="s">
        <v>644</v>
      </c>
    </row>
    <row r="266" spans="1:45" x14ac:dyDescent="0.25">
      <c r="A266" s="8" t="s">
        <v>542</v>
      </c>
      <c r="B266" s="8" t="s">
        <v>541</v>
      </c>
      <c r="C266" s="8">
        <v>178.23</v>
      </c>
      <c r="D266" s="8">
        <v>275.95</v>
      </c>
      <c r="E266" s="9">
        <v>3.1399999999999999E-4</v>
      </c>
      <c r="F266" s="9">
        <v>248500</v>
      </c>
      <c r="G266" s="9">
        <v>3.24E-9</v>
      </c>
      <c r="I266" s="9"/>
      <c r="J266" s="8">
        <v>0.17</v>
      </c>
      <c r="K266" s="9">
        <v>10</v>
      </c>
      <c r="M266" s="8">
        <f t="shared" ref="M266:M267" si="19">(0.075*K266)</f>
        <v>0.75</v>
      </c>
      <c r="N266" s="8">
        <f t="shared" ref="N266:N267" si="20">(0.04*K266)</f>
        <v>0.4</v>
      </c>
      <c r="P266" s="8">
        <v>1</v>
      </c>
      <c r="AB266" s="8">
        <v>0.90200000000000002</v>
      </c>
      <c r="AC266" s="8">
        <v>0.90200000000000002</v>
      </c>
    </row>
    <row r="267" spans="1:45" x14ac:dyDescent="0.25">
      <c r="A267" s="10" t="s">
        <v>507</v>
      </c>
      <c r="B267" s="10" t="s">
        <v>512</v>
      </c>
      <c r="C267" s="8">
        <v>84.04</v>
      </c>
      <c r="D267" s="8">
        <v>122.35</v>
      </c>
      <c r="E267" s="9">
        <v>9.1300000000000008</v>
      </c>
      <c r="F267" s="8">
        <v>760.9</v>
      </c>
      <c r="G267" s="9">
        <v>0.77</v>
      </c>
      <c r="I267" s="9"/>
      <c r="J267" s="8">
        <v>54.95</v>
      </c>
      <c r="K267" s="9">
        <v>43.89</v>
      </c>
      <c r="M267" s="8">
        <f t="shared" si="19"/>
        <v>3.29175</v>
      </c>
      <c r="N267" s="8">
        <f t="shared" si="20"/>
        <v>1.7556</v>
      </c>
      <c r="P267" s="8">
        <v>1</v>
      </c>
      <c r="W267" s="9"/>
      <c r="X267" s="9"/>
      <c r="Y267" s="9"/>
      <c r="AB267" s="8">
        <v>6.3090000000000002</v>
      </c>
      <c r="AC267" s="8">
        <v>6.3090000000000002</v>
      </c>
      <c r="AJ267" s="9"/>
      <c r="AM267" s="8" t="s">
        <v>713</v>
      </c>
      <c r="AO267" s="9"/>
      <c r="AP267" s="9"/>
    </row>
    <row r="268" spans="1:45" x14ac:dyDescent="0.25">
      <c r="A268" s="8" t="s">
        <v>543</v>
      </c>
      <c r="B268" s="8" t="s">
        <v>453</v>
      </c>
      <c r="C268" s="8">
        <v>335</v>
      </c>
      <c r="D268" s="8">
        <v>322</v>
      </c>
      <c r="E268" s="9">
        <v>6.0300000000000004E-8</v>
      </c>
      <c r="F268" s="8">
        <v>0.184</v>
      </c>
      <c r="G268" s="8">
        <v>1.1E-4</v>
      </c>
      <c r="H268" s="8">
        <v>3.9399999999999998E-2</v>
      </c>
      <c r="I268" s="9">
        <v>4.5600000000000004E-6</v>
      </c>
      <c r="J268" s="8">
        <v>219000</v>
      </c>
      <c r="K268" s="8">
        <v>178000</v>
      </c>
      <c r="L268" s="8">
        <v>1780</v>
      </c>
      <c r="M268" s="8">
        <v>13300</v>
      </c>
      <c r="N268" s="8">
        <v>7100</v>
      </c>
      <c r="O268" s="8">
        <v>6.66</v>
      </c>
      <c r="P268" s="8">
        <v>0.99</v>
      </c>
      <c r="Q268" s="8">
        <v>3010</v>
      </c>
      <c r="R268" s="8">
        <v>1.69</v>
      </c>
      <c r="S268" s="8">
        <v>3.1699999999999999E-2</v>
      </c>
      <c r="T268" s="8">
        <v>3.1699999999999999E-2</v>
      </c>
      <c r="U268" s="8">
        <v>248</v>
      </c>
      <c r="V268" s="8">
        <v>248</v>
      </c>
      <c r="W268" s="8">
        <v>8.5699999999999995E-3</v>
      </c>
      <c r="X268" s="8">
        <v>4.07E-2</v>
      </c>
      <c r="Y268" s="8">
        <v>4.9299999999999997E-2</v>
      </c>
      <c r="Z268" s="8" t="s">
        <v>44</v>
      </c>
      <c r="AA268" s="8" t="s">
        <v>44</v>
      </c>
      <c r="AB268" s="8">
        <v>2580</v>
      </c>
      <c r="AC268" s="8">
        <v>16700</v>
      </c>
      <c r="AD268" s="8" t="s">
        <v>46</v>
      </c>
      <c r="AE268" s="8">
        <v>7.4999999999999997E-3</v>
      </c>
      <c r="AF268" s="8" t="s">
        <v>639</v>
      </c>
      <c r="AG268" s="8">
        <v>7.7000000000000002E-3</v>
      </c>
      <c r="AH268" s="8" t="s">
        <v>639</v>
      </c>
      <c r="AI268" s="8" t="s">
        <v>57</v>
      </c>
      <c r="AJ268" s="8" t="s">
        <v>48</v>
      </c>
      <c r="AK268" s="8" t="s">
        <v>49</v>
      </c>
      <c r="AL268" s="8" t="s">
        <v>50</v>
      </c>
      <c r="AM268" s="8" t="s">
        <v>51</v>
      </c>
      <c r="AN268" s="8">
        <v>3.1699999999999999E-2</v>
      </c>
      <c r="AO268" s="8">
        <v>1.7100000000000001E-2</v>
      </c>
      <c r="AP268" s="8">
        <v>0.03</v>
      </c>
      <c r="AQ268" s="8" t="s">
        <v>52</v>
      </c>
      <c r="AR268" s="8" t="s">
        <v>53</v>
      </c>
      <c r="AS268" s="8" t="s">
        <v>54</v>
      </c>
    </row>
    <row r="269" spans="1:45" x14ac:dyDescent="0.25">
      <c r="A269" s="10" t="s">
        <v>545</v>
      </c>
      <c r="B269" s="10" t="s">
        <v>546</v>
      </c>
      <c r="C269" s="8">
        <v>206.28</v>
      </c>
      <c r="D269" s="8">
        <v>330.4</v>
      </c>
      <c r="E269" s="9">
        <v>6.7999999999999995E-7</v>
      </c>
      <c r="F269" s="9">
        <v>127000</v>
      </c>
      <c r="G269" s="9">
        <v>2.3600000000000001E-11</v>
      </c>
      <c r="I269" s="9"/>
      <c r="J269" s="8">
        <v>1.04</v>
      </c>
      <c r="K269" s="9">
        <v>10</v>
      </c>
      <c r="M269" s="8">
        <f>(0.075*K269)</f>
        <v>0.75</v>
      </c>
      <c r="N269" s="8">
        <f>(0.04*K269)</f>
        <v>0.4</v>
      </c>
      <c r="P269" s="8">
        <v>0.99967499999999998</v>
      </c>
      <c r="AB269" s="8">
        <v>0.94399999999999995</v>
      </c>
      <c r="AC269" s="8">
        <v>0.94399999999999995</v>
      </c>
    </row>
    <row r="270" spans="1:45" x14ac:dyDescent="0.25">
      <c r="A270" s="8" t="s">
        <v>554</v>
      </c>
      <c r="B270" s="8" t="s">
        <v>43</v>
      </c>
      <c r="C270" s="8">
        <v>120</v>
      </c>
      <c r="D270" s="8">
        <v>229</v>
      </c>
      <c r="E270" s="8">
        <v>2.7599999999999999E-3</v>
      </c>
      <c r="F270" s="8">
        <v>57</v>
      </c>
      <c r="G270" s="8">
        <v>5.8300000000000001E-3</v>
      </c>
      <c r="H270" s="8">
        <v>7.8E-2</v>
      </c>
      <c r="I270" s="9">
        <v>9.0299999999999999E-6</v>
      </c>
      <c r="J270" s="8">
        <v>4270</v>
      </c>
      <c r="K270" s="8">
        <v>3700</v>
      </c>
      <c r="L270" s="8">
        <v>37</v>
      </c>
      <c r="M270" s="8">
        <v>278</v>
      </c>
      <c r="N270" s="8">
        <v>148</v>
      </c>
      <c r="O270" s="8">
        <v>9.0299999999999994</v>
      </c>
      <c r="P270" s="8">
        <v>1</v>
      </c>
      <c r="Q270" s="8">
        <v>145</v>
      </c>
      <c r="R270" s="8">
        <v>3.91</v>
      </c>
      <c r="S270" s="8">
        <v>0.309</v>
      </c>
      <c r="T270" s="8">
        <v>0.309</v>
      </c>
      <c r="U270" s="8">
        <v>7.0499999999999993E-2</v>
      </c>
      <c r="V270" s="8">
        <v>7.0499999999999993E-2</v>
      </c>
      <c r="W270" s="8">
        <v>4.1799999999999997E-3</v>
      </c>
      <c r="X270" s="8">
        <v>1.9900000000000001E-2</v>
      </c>
      <c r="Y270" s="8">
        <v>2.41E-2</v>
      </c>
      <c r="Z270" s="8" t="s">
        <v>44</v>
      </c>
      <c r="AA270" s="8" t="s">
        <v>44</v>
      </c>
      <c r="AB270" s="8">
        <v>124</v>
      </c>
      <c r="AC270" s="8" t="s">
        <v>45</v>
      </c>
      <c r="AD270" s="8" t="s">
        <v>46</v>
      </c>
      <c r="AE270" s="8">
        <v>0.05</v>
      </c>
      <c r="AF270" s="8" t="s">
        <v>645</v>
      </c>
      <c r="AG270" s="8" t="s">
        <v>47</v>
      </c>
      <c r="AI270" s="8">
        <v>7.0000000000000001E-3</v>
      </c>
      <c r="AJ270" s="8" t="s">
        <v>48</v>
      </c>
      <c r="AK270" s="8" t="s">
        <v>49</v>
      </c>
      <c r="AL270" s="8" t="s">
        <v>50</v>
      </c>
      <c r="AM270" s="8" t="s">
        <v>51</v>
      </c>
      <c r="AN270" s="8">
        <v>0.309</v>
      </c>
      <c r="AO270" s="8">
        <v>8.3700000000000007E-3</v>
      </c>
      <c r="AP270" s="8">
        <v>1.46E-2</v>
      </c>
      <c r="AQ270" s="8" t="s">
        <v>52</v>
      </c>
      <c r="AR270" s="8" t="s">
        <v>53</v>
      </c>
      <c r="AS270" s="8" t="s">
        <v>54</v>
      </c>
    </row>
    <row r="271" spans="1:45" x14ac:dyDescent="0.25">
      <c r="A271" s="8" t="s">
        <v>456</v>
      </c>
      <c r="B271" s="8" t="s">
        <v>457</v>
      </c>
      <c r="C271" s="8">
        <v>120</v>
      </c>
      <c r="D271" s="8">
        <v>228</v>
      </c>
      <c r="E271" s="8">
        <v>3.2599999999999999E-3</v>
      </c>
      <c r="F271" s="8">
        <v>48.2</v>
      </c>
      <c r="G271" s="8">
        <v>8.77E-3</v>
      </c>
      <c r="H271" s="8">
        <v>6.0199999999999997E-2</v>
      </c>
      <c r="I271" s="9">
        <v>8.67E-6</v>
      </c>
      <c r="J271" s="8">
        <v>2630</v>
      </c>
      <c r="K271" s="8">
        <v>612</v>
      </c>
      <c r="L271" s="8">
        <v>6.12</v>
      </c>
      <c r="M271" s="8">
        <v>45.9</v>
      </c>
      <c r="N271" s="8">
        <v>24.5</v>
      </c>
      <c r="O271" s="8" t="s">
        <v>57</v>
      </c>
      <c r="P271" s="8">
        <v>1</v>
      </c>
      <c r="Q271" s="8">
        <v>99.9</v>
      </c>
      <c r="R271" s="8">
        <v>16.3</v>
      </c>
      <c r="S271" s="8">
        <v>0.40899999999999997</v>
      </c>
      <c r="T271" s="8">
        <v>0.40899999999999997</v>
      </c>
      <c r="U271" s="8">
        <v>2.8000000000000001E-2</v>
      </c>
      <c r="V271" s="8">
        <v>2.8000000000000001E-2</v>
      </c>
      <c r="W271" s="8">
        <v>3.5000000000000001E-3</v>
      </c>
      <c r="X271" s="8">
        <v>1.66E-2</v>
      </c>
      <c r="Y271" s="8">
        <v>2.01E-2</v>
      </c>
      <c r="Z271" s="8">
        <v>2.0899999999999998E-2</v>
      </c>
      <c r="AA271" s="8" t="s">
        <v>44</v>
      </c>
      <c r="AB271" s="8">
        <v>85.8</v>
      </c>
      <c r="AC271" s="8" t="s">
        <v>45</v>
      </c>
      <c r="AD271" s="8" t="s">
        <v>46</v>
      </c>
      <c r="AE271" s="8">
        <v>0.05</v>
      </c>
      <c r="AF271" s="8" t="s">
        <v>645</v>
      </c>
      <c r="AG271" s="8" t="s">
        <v>47</v>
      </c>
      <c r="AI271" s="8" t="s">
        <v>57</v>
      </c>
      <c r="AJ271" s="8" t="s">
        <v>48</v>
      </c>
      <c r="AK271" s="8" t="s">
        <v>49</v>
      </c>
      <c r="AL271" s="8" t="s">
        <v>50</v>
      </c>
      <c r="AM271" s="8" t="s">
        <v>51</v>
      </c>
      <c r="AN271" s="8">
        <v>0.40899999999999997</v>
      </c>
      <c r="AO271" s="8">
        <v>6.9899999999999997E-3</v>
      </c>
      <c r="AP271" s="8">
        <v>1.2200000000000001E-2</v>
      </c>
      <c r="AQ271" s="8" t="s">
        <v>52</v>
      </c>
      <c r="AR271" s="8" t="s">
        <v>53</v>
      </c>
      <c r="AS271" s="8" t="s">
        <v>54</v>
      </c>
    </row>
    <row r="272" spans="1:45" x14ac:dyDescent="0.25">
      <c r="A272" s="8" t="s">
        <v>752</v>
      </c>
      <c r="B272" s="8" t="s">
        <v>749</v>
      </c>
      <c r="C272" s="8">
        <f>AVERAGE(C270:C271)</f>
        <v>120</v>
      </c>
      <c r="D272" s="8">
        <f t="shared" ref="D272:AP272" si="21">AVERAGE(D270:D271)</f>
        <v>228.5</v>
      </c>
      <c r="E272" s="8">
        <f t="shared" si="21"/>
        <v>3.0099999999999997E-3</v>
      </c>
      <c r="F272" s="8">
        <f t="shared" si="21"/>
        <v>52.6</v>
      </c>
      <c r="G272" s="8">
        <f t="shared" si="21"/>
        <v>7.3000000000000001E-3</v>
      </c>
      <c r="H272" s="8">
        <f t="shared" si="21"/>
        <v>6.9099999999999995E-2</v>
      </c>
      <c r="I272" s="8">
        <f t="shared" si="21"/>
        <v>8.85E-6</v>
      </c>
      <c r="J272" s="8">
        <f t="shared" si="21"/>
        <v>3450</v>
      </c>
      <c r="K272" s="8">
        <f t="shared" si="21"/>
        <v>2156</v>
      </c>
      <c r="L272" s="8">
        <f t="shared" si="21"/>
        <v>21.56</v>
      </c>
      <c r="M272" s="8">
        <f t="shared" si="21"/>
        <v>161.94999999999999</v>
      </c>
      <c r="N272" s="8">
        <f t="shared" si="21"/>
        <v>86.25</v>
      </c>
      <c r="O272" s="8">
        <f t="shared" si="21"/>
        <v>9.0299999999999994</v>
      </c>
      <c r="P272" s="8">
        <f t="shared" si="21"/>
        <v>1</v>
      </c>
      <c r="Q272" s="8">
        <f t="shared" si="21"/>
        <v>122.45</v>
      </c>
      <c r="R272" s="8">
        <f t="shared" si="21"/>
        <v>10.105</v>
      </c>
      <c r="S272" s="8">
        <f t="shared" si="21"/>
        <v>0.35899999999999999</v>
      </c>
      <c r="T272" s="8">
        <f t="shared" si="21"/>
        <v>0.35899999999999999</v>
      </c>
      <c r="U272" s="8">
        <f t="shared" si="21"/>
        <v>4.9249999999999995E-2</v>
      </c>
      <c r="V272" s="8">
        <f t="shared" si="21"/>
        <v>4.9249999999999995E-2</v>
      </c>
      <c r="W272" s="8">
        <f t="shared" si="21"/>
        <v>3.8399999999999997E-3</v>
      </c>
      <c r="X272" s="8">
        <f t="shared" si="21"/>
        <v>1.8250000000000002E-2</v>
      </c>
      <c r="Y272" s="8">
        <f t="shared" si="21"/>
        <v>2.2100000000000002E-2</v>
      </c>
      <c r="Z272" s="8">
        <f t="shared" si="21"/>
        <v>2.0899999999999998E-2</v>
      </c>
      <c r="AB272" s="8">
        <f t="shared" si="21"/>
        <v>104.9</v>
      </c>
      <c r="AE272" s="8">
        <f t="shared" si="21"/>
        <v>0.05</v>
      </c>
      <c r="AF272" s="8" t="s">
        <v>753</v>
      </c>
      <c r="AI272" s="8">
        <f t="shared" si="21"/>
        <v>7.0000000000000001E-3</v>
      </c>
      <c r="AL272" s="8" t="s">
        <v>50</v>
      </c>
      <c r="AN272" s="8">
        <f t="shared" si="21"/>
        <v>0.35899999999999999</v>
      </c>
      <c r="AO272" s="8">
        <f t="shared" si="21"/>
        <v>7.6800000000000002E-3</v>
      </c>
      <c r="AP272" s="8">
        <f t="shared" si="21"/>
        <v>1.34E-2</v>
      </c>
      <c r="AS272" s="8" t="s">
        <v>54</v>
      </c>
    </row>
    <row r="273" spans="1:45" x14ac:dyDescent="0.25">
      <c r="A273" s="10" t="s">
        <v>547</v>
      </c>
      <c r="B273" s="10" t="s">
        <v>548</v>
      </c>
      <c r="C273" s="8">
        <v>114.23</v>
      </c>
      <c r="D273" s="8">
        <v>188.04</v>
      </c>
      <c r="E273" s="9">
        <v>5.8000000000000003E-2</v>
      </c>
      <c r="F273" s="8">
        <v>9.91</v>
      </c>
      <c r="G273" s="8">
        <v>3.01</v>
      </c>
      <c r="H273" s="9">
        <v>5.74E-2</v>
      </c>
      <c r="I273" s="9">
        <v>7.0600000000000002E-6</v>
      </c>
      <c r="J273" s="8">
        <v>12302</v>
      </c>
      <c r="K273" s="8">
        <v>240.3</v>
      </c>
      <c r="M273" s="8">
        <f>(0.075*K273)</f>
        <v>18.022500000000001</v>
      </c>
      <c r="N273" s="8">
        <f>(0.04*K273)</f>
        <v>9.6120000000000001</v>
      </c>
      <c r="P273" s="8">
        <v>1</v>
      </c>
      <c r="U273" s="8">
        <v>0.16300000000000001</v>
      </c>
      <c r="V273" s="8">
        <v>0.16300000000000001</v>
      </c>
      <c r="W273" s="9">
        <v>9.7200000000000004E-5</v>
      </c>
      <c r="X273" s="9">
        <v>3.0800000000000001E-4</v>
      </c>
      <c r="AB273" s="8">
        <v>428.2</v>
      </c>
      <c r="AC273" s="8">
        <v>428.2</v>
      </c>
    </row>
    <row r="274" spans="1:45" x14ac:dyDescent="0.25">
      <c r="A274" s="8" t="s">
        <v>754</v>
      </c>
      <c r="B274" s="8" t="s">
        <v>431</v>
      </c>
      <c r="C274" s="8">
        <v>174</v>
      </c>
      <c r="D274" s="8">
        <v>294</v>
      </c>
      <c r="E274" s="9">
        <v>1.0499999999999999E-5</v>
      </c>
      <c r="F274" s="8">
        <v>37.6</v>
      </c>
      <c r="G274" s="9">
        <v>4.88E-5</v>
      </c>
      <c r="H274" s="8">
        <v>6.0900000000000003E-2</v>
      </c>
      <c r="I274" s="9">
        <v>7.0500000000000003E-6</v>
      </c>
      <c r="J274" s="8">
        <v>5500</v>
      </c>
      <c r="K274" s="8">
        <v>4750</v>
      </c>
      <c r="L274" s="8">
        <v>47.5</v>
      </c>
      <c r="M274" s="8">
        <v>356</v>
      </c>
      <c r="N274" s="8">
        <v>190</v>
      </c>
      <c r="O274" s="8">
        <v>3.37</v>
      </c>
      <c r="P274" s="8">
        <v>1</v>
      </c>
      <c r="Q274" s="8">
        <v>176</v>
      </c>
      <c r="R274" s="8">
        <v>3.71</v>
      </c>
      <c r="S274" s="8">
        <v>0.26700000000000002</v>
      </c>
      <c r="T274" s="8">
        <v>0.26700000000000002</v>
      </c>
      <c r="U274" s="8">
        <v>11</v>
      </c>
      <c r="V274" s="8">
        <v>11</v>
      </c>
      <c r="W274" s="8">
        <v>4.5599999999999998E-3</v>
      </c>
      <c r="X274" s="8">
        <v>2.1700000000000001E-2</v>
      </c>
      <c r="Y274" s="8">
        <v>2.6200000000000001E-2</v>
      </c>
      <c r="Z274" s="8" t="s">
        <v>44</v>
      </c>
      <c r="AA274" s="8" t="s">
        <v>44</v>
      </c>
      <c r="AB274" s="8">
        <v>151</v>
      </c>
      <c r="AC274" s="8" t="s">
        <v>45</v>
      </c>
      <c r="AD274" s="8" t="s">
        <v>46</v>
      </c>
      <c r="AE274" s="8" t="s">
        <v>56</v>
      </c>
      <c r="AG274" s="8" t="s">
        <v>47</v>
      </c>
      <c r="AI274" s="9">
        <v>6.9999999999999994E-5</v>
      </c>
      <c r="AJ274" s="9">
        <v>1.1E-5</v>
      </c>
      <c r="AK274" s="8" t="s">
        <v>49</v>
      </c>
      <c r="AL274" s="8" t="s">
        <v>50</v>
      </c>
      <c r="AM274" s="8" t="s">
        <v>51</v>
      </c>
      <c r="AN274" s="8">
        <v>0.26700000000000002</v>
      </c>
      <c r="AO274" s="8">
        <v>9.1199999999999996E-3</v>
      </c>
      <c r="AP274" s="8">
        <v>1.6E-2</v>
      </c>
      <c r="AQ274" s="8" t="s">
        <v>52</v>
      </c>
      <c r="AR274" s="8" t="s">
        <v>53</v>
      </c>
      <c r="AS274" s="8" t="s">
        <v>54</v>
      </c>
    </row>
    <row r="275" spans="1:45" x14ac:dyDescent="0.25">
      <c r="A275" s="10" t="s">
        <v>549</v>
      </c>
      <c r="B275" s="10" t="s">
        <v>550</v>
      </c>
      <c r="C275" s="8">
        <v>50.94</v>
      </c>
      <c r="D275" s="8">
        <v>462.6</v>
      </c>
      <c r="E275" s="9">
        <v>5.5500000000000004E-12</v>
      </c>
      <c r="F275" s="9">
        <v>86400</v>
      </c>
      <c r="G275" s="9">
        <v>2.4500000000000001E-2</v>
      </c>
      <c r="I275" s="9"/>
      <c r="J275" s="8">
        <v>1.7</v>
      </c>
      <c r="K275" s="9">
        <v>13.22</v>
      </c>
      <c r="M275" s="8">
        <f>(0.075*K275)</f>
        <v>0.99150000000000005</v>
      </c>
      <c r="N275" s="8">
        <f>(0.04*K275)</f>
        <v>0.52880000000000005</v>
      </c>
      <c r="P275" s="8">
        <v>0.21199999999999997</v>
      </c>
      <c r="U275" s="9">
        <v>5.4999999999999997E-3</v>
      </c>
      <c r="V275" s="9">
        <v>5.4999999999999997E-3</v>
      </c>
      <c r="W275" s="9">
        <v>2.0000000000000002E-5</v>
      </c>
      <c r="X275" s="9">
        <v>2.5000000000000001E-3</v>
      </c>
      <c r="AB275" s="8">
        <v>0.98340000000000005</v>
      </c>
      <c r="AC275" s="8">
        <v>0.98340000000000005</v>
      </c>
    </row>
    <row r="276" spans="1:45" x14ac:dyDescent="0.25">
      <c r="A276" s="8" t="s">
        <v>458</v>
      </c>
      <c r="B276" s="8" t="s">
        <v>459</v>
      </c>
      <c r="C276" s="8">
        <v>86.1</v>
      </c>
      <c r="D276" s="8">
        <v>180</v>
      </c>
      <c r="E276" s="8">
        <v>0.11799999999999999</v>
      </c>
      <c r="F276" s="8">
        <v>20000</v>
      </c>
      <c r="G276" s="8">
        <v>5.1000000000000004E-4</v>
      </c>
      <c r="H276" s="8">
        <v>8.5000000000000006E-2</v>
      </c>
      <c r="I276" s="9">
        <v>9.2E-6</v>
      </c>
      <c r="J276" s="8">
        <v>5.37</v>
      </c>
      <c r="K276" s="8">
        <v>5.22</v>
      </c>
      <c r="L276" s="8">
        <v>0.79</v>
      </c>
      <c r="M276" s="8">
        <v>0.39</v>
      </c>
      <c r="N276" s="8">
        <v>0.21</v>
      </c>
      <c r="O276" s="8" t="s">
        <v>57</v>
      </c>
      <c r="P276" s="8">
        <v>1</v>
      </c>
      <c r="Q276" s="8">
        <v>7.16</v>
      </c>
      <c r="R276" s="8">
        <v>9.06</v>
      </c>
      <c r="S276" s="8">
        <v>8.3800000000000008</v>
      </c>
      <c r="T276" s="8">
        <v>8.3800000000000008</v>
      </c>
      <c r="U276" s="8">
        <v>6.5700000000000003E-4</v>
      </c>
      <c r="V276" s="8">
        <v>6.5700000000000003E-4</v>
      </c>
      <c r="W276" s="9">
        <v>5.8900000000000002E-5</v>
      </c>
      <c r="X276" s="8">
        <v>2.7999999999999998E-4</v>
      </c>
      <c r="Y276" s="8">
        <v>3.39E-4</v>
      </c>
      <c r="Z276" s="9">
        <v>3.9700000000000003E-5</v>
      </c>
      <c r="AA276" s="8" t="s">
        <v>44</v>
      </c>
      <c r="AB276" s="8">
        <v>3.16</v>
      </c>
      <c r="AC276" s="8" t="s">
        <v>45</v>
      </c>
      <c r="AD276" s="8" t="s">
        <v>46</v>
      </c>
      <c r="AF276" s="8" t="s">
        <v>646</v>
      </c>
      <c r="AG276" s="8" t="s">
        <v>47</v>
      </c>
      <c r="AI276" s="8">
        <v>0.2</v>
      </c>
      <c r="AJ276" s="8" t="s">
        <v>48</v>
      </c>
      <c r="AK276" s="8" t="s">
        <v>49</v>
      </c>
      <c r="AL276" s="8" t="s">
        <v>50</v>
      </c>
      <c r="AM276" s="8" t="s">
        <v>51</v>
      </c>
      <c r="AN276" s="8">
        <v>8.3800000000000008</v>
      </c>
      <c r="AO276" s="8">
        <v>1.18E-4</v>
      </c>
      <c r="AP276" s="8">
        <v>2.0599999999999999E-4</v>
      </c>
      <c r="AQ276" s="8" t="s">
        <v>52</v>
      </c>
      <c r="AR276" s="8" t="s">
        <v>53</v>
      </c>
      <c r="AS276" s="8" t="s">
        <v>54</v>
      </c>
    </row>
    <row r="277" spans="1:45" x14ac:dyDescent="0.25">
      <c r="A277" s="10" t="s">
        <v>636</v>
      </c>
      <c r="B277" s="10" t="s">
        <v>481</v>
      </c>
      <c r="C277" s="8">
        <v>106.95</v>
      </c>
      <c r="D277" s="8">
        <v>180.46</v>
      </c>
      <c r="E277" s="8">
        <v>1.37</v>
      </c>
      <c r="F277" s="8">
        <v>5079</v>
      </c>
      <c r="G277" s="9">
        <v>1.23E-2</v>
      </c>
      <c r="H277" s="9">
        <v>8.6199999999999999E-2</v>
      </c>
      <c r="I277" s="9">
        <v>1.17E-5</v>
      </c>
      <c r="J277" s="8">
        <v>33.1</v>
      </c>
      <c r="K277" s="8">
        <v>21.73</v>
      </c>
      <c r="M277" s="8">
        <f>(0.075*K277)</f>
        <v>1.62975</v>
      </c>
      <c r="N277" s="8">
        <f>(0.04*K277)</f>
        <v>0.86920000000000008</v>
      </c>
      <c r="P277" s="8">
        <v>1</v>
      </c>
      <c r="U277" s="8">
        <v>4.7300000000000004</v>
      </c>
      <c r="V277" s="8">
        <v>4.7300000000000004</v>
      </c>
      <c r="W277" s="9">
        <v>2.9400000000000001E-7</v>
      </c>
      <c r="X277" s="9">
        <v>9.2900000000000002E-7</v>
      </c>
      <c r="AB277" s="8">
        <v>4.2140000000000004</v>
      </c>
      <c r="AC277" s="8">
        <v>4.2140000000000004</v>
      </c>
      <c r="AI277" s="8">
        <v>3.0000000000000001E-3</v>
      </c>
      <c r="AL277" s="8" t="s">
        <v>50</v>
      </c>
    </row>
    <row r="278" spans="1:45" x14ac:dyDescent="0.25">
      <c r="A278" s="8" t="s">
        <v>460</v>
      </c>
      <c r="B278" s="8" t="s">
        <v>461</v>
      </c>
      <c r="C278" s="8">
        <v>62.5</v>
      </c>
      <c r="D278" s="8">
        <v>123</v>
      </c>
      <c r="E278" s="8">
        <v>3.95</v>
      </c>
      <c r="F278" s="8">
        <v>8800</v>
      </c>
      <c r="G278" s="8">
        <v>2.7E-2</v>
      </c>
      <c r="H278" s="8">
        <v>0.106</v>
      </c>
      <c r="I278" s="9">
        <v>1.2300000000000001E-5</v>
      </c>
      <c r="J278" s="8">
        <v>25.1</v>
      </c>
      <c r="K278" s="8">
        <v>15.4</v>
      </c>
      <c r="L278" s="8">
        <v>3.6999999999999998E-2</v>
      </c>
      <c r="M278" s="8">
        <v>1.1499999999999999</v>
      </c>
      <c r="N278" s="8">
        <v>0.62</v>
      </c>
      <c r="O278" s="8">
        <v>1.41</v>
      </c>
      <c r="P278" s="8">
        <v>1</v>
      </c>
      <c r="Q278" s="8">
        <v>9.09</v>
      </c>
      <c r="R278" s="8">
        <v>246</v>
      </c>
      <c r="S278" s="8">
        <v>6.01</v>
      </c>
      <c r="T278" s="8">
        <v>6.01</v>
      </c>
      <c r="U278" s="9">
        <v>6.41E-5</v>
      </c>
      <c r="V278" s="9">
        <v>6.41E-5</v>
      </c>
      <c r="W278" s="8">
        <v>2.22E-4</v>
      </c>
      <c r="X278" s="8">
        <v>1.0499999999999999E-3</v>
      </c>
      <c r="Y278" s="8">
        <v>1.2800000000000001E-3</v>
      </c>
      <c r="Z278" s="8">
        <v>1.11E-4</v>
      </c>
      <c r="AA278" s="8" t="s">
        <v>44</v>
      </c>
      <c r="AB278" s="8">
        <v>2.39</v>
      </c>
      <c r="AC278" s="8" t="s">
        <v>45</v>
      </c>
      <c r="AD278" s="8" t="s">
        <v>46</v>
      </c>
      <c r="AE278" s="8">
        <v>3.0000000000000001E-3</v>
      </c>
      <c r="AF278" s="8" t="s">
        <v>639</v>
      </c>
      <c r="AG278" s="9">
        <v>0.72</v>
      </c>
      <c r="AH278" s="8" t="s">
        <v>639</v>
      </c>
      <c r="AI278" s="8">
        <v>0.1</v>
      </c>
      <c r="AJ278" s="9">
        <v>8.8000000000000004E-6</v>
      </c>
      <c r="AK278" s="8" t="s">
        <v>49</v>
      </c>
      <c r="AL278" s="8" t="s">
        <v>50</v>
      </c>
      <c r="AM278" s="8" t="s">
        <v>51</v>
      </c>
      <c r="AN278" s="8">
        <v>6.01</v>
      </c>
      <c r="AO278" s="8">
        <v>4.44E-4</v>
      </c>
      <c r="AP278" s="8">
        <v>7.76E-4</v>
      </c>
      <c r="AQ278" s="8" t="s">
        <v>52</v>
      </c>
      <c r="AR278" s="8" t="s">
        <v>53</v>
      </c>
      <c r="AS278" s="8" t="s">
        <v>54</v>
      </c>
    </row>
    <row r="279" spans="1:45" x14ac:dyDescent="0.25">
      <c r="A279" s="8" t="s">
        <v>708</v>
      </c>
      <c r="B279" s="8" t="s">
        <v>462</v>
      </c>
      <c r="D279" s="8" t="s">
        <v>60</v>
      </c>
      <c r="E279" s="8" t="s">
        <v>57</v>
      </c>
      <c r="F279" s="8" t="s">
        <v>46</v>
      </c>
      <c r="G279" s="8" t="s">
        <v>56</v>
      </c>
      <c r="H279" s="8" t="s">
        <v>44</v>
      </c>
      <c r="I279" s="8" t="s">
        <v>44</v>
      </c>
      <c r="J279" s="8" t="s">
        <v>57</v>
      </c>
      <c r="K279" s="8" t="s">
        <v>44</v>
      </c>
      <c r="L279" s="8" t="s">
        <v>57</v>
      </c>
      <c r="P279" s="8">
        <v>1</v>
      </c>
      <c r="Q279" s="8" t="s">
        <v>57</v>
      </c>
      <c r="R279" s="8" t="s">
        <v>57</v>
      </c>
      <c r="S279" s="8" t="s">
        <v>56</v>
      </c>
      <c r="T279" s="8" t="s">
        <v>56</v>
      </c>
      <c r="U279" s="8" t="s">
        <v>57</v>
      </c>
      <c r="V279" s="8" t="s">
        <v>57</v>
      </c>
      <c r="W279" s="8" t="s">
        <v>62</v>
      </c>
      <c r="X279" s="8" t="s">
        <v>62</v>
      </c>
      <c r="Y279" s="8" t="s">
        <v>62</v>
      </c>
      <c r="Z279" s="8" t="s">
        <v>44</v>
      </c>
      <c r="AA279" s="8" t="s">
        <v>44</v>
      </c>
      <c r="AB279" s="8" t="s">
        <v>63</v>
      </c>
      <c r="AC279" s="8" t="s">
        <v>45</v>
      </c>
      <c r="AD279" s="8" t="s">
        <v>46</v>
      </c>
      <c r="AE279" s="8" t="s">
        <v>56</v>
      </c>
      <c r="AG279" s="8" t="s">
        <v>47</v>
      </c>
      <c r="AI279" s="8" t="s">
        <v>57</v>
      </c>
      <c r="AJ279" s="8" t="s">
        <v>48</v>
      </c>
      <c r="AK279" s="8" t="s">
        <v>49</v>
      </c>
      <c r="AL279" s="8" t="s">
        <v>50</v>
      </c>
      <c r="AM279" s="8" t="s">
        <v>51</v>
      </c>
      <c r="AN279" s="8" t="s">
        <v>44</v>
      </c>
      <c r="AO279" s="8" t="s">
        <v>44</v>
      </c>
      <c r="AP279" s="8" t="s">
        <v>44</v>
      </c>
      <c r="AQ279" s="8" t="s">
        <v>52</v>
      </c>
      <c r="AR279" s="8" t="s">
        <v>53</v>
      </c>
      <c r="AS279" s="8" t="s">
        <v>54</v>
      </c>
    </row>
    <row r="280" spans="1:45" x14ac:dyDescent="0.25">
      <c r="A280" s="8" t="s">
        <v>764</v>
      </c>
      <c r="B280" s="8" t="s">
        <v>765</v>
      </c>
    </row>
    <row r="281" spans="1:45" x14ac:dyDescent="0.25">
      <c r="A281" s="8" t="s">
        <v>709</v>
      </c>
      <c r="B281" s="8" t="s">
        <v>464</v>
      </c>
      <c r="C281" s="8">
        <v>107</v>
      </c>
      <c r="D281" s="8">
        <v>256</v>
      </c>
      <c r="E281" s="8">
        <v>1.0500000000000001E-2</v>
      </c>
      <c r="F281" s="8">
        <v>106</v>
      </c>
      <c r="G281" s="8">
        <v>1.06E-2</v>
      </c>
      <c r="H281" s="8">
        <v>8.4199999999999997E-2</v>
      </c>
      <c r="I281" s="9">
        <v>9.7499999999999998E-6</v>
      </c>
      <c r="J281" s="8">
        <v>1450</v>
      </c>
      <c r="K281" s="8">
        <v>381</v>
      </c>
      <c r="L281" s="8">
        <v>3.81</v>
      </c>
      <c r="M281" s="8">
        <v>28.6</v>
      </c>
      <c r="N281" s="8">
        <v>15.2</v>
      </c>
      <c r="O281" s="8">
        <v>8.43</v>
      </c>
      <c r="P281" s="8">
        <v>1</v>
      </c>
      <c r="Q281" s="8">
        <v>63</v>
      </c>
      <c r="R281" s="8">
        <v>16.5</v>
      </c>
      <c r="S281" s="8">
        <v>0.57799999999999996</v>
      </c>
      <c r="T281" s="8">
        <v>0.57799999999999996</v>
      </c>
      <c r="U281" s="8">
        <v>1.2200000000000001E-2</v>
      </c>
      <c r="V281" s="8">
        <v>1.2200000000000001E-2</v>
      </c>
      <c r="W281" s="8">
        <v>2.7200000000000002E-3</v>
      </c>
      <c r="X281" s="8">
        <v>1.29E-2</v>
      </c>
      <c r="Y281" s="8">
        <v>1.5599999999999999E-2</v>
      </c>
      <c r="Z281" s="8" t="s">
        <v>44</v>
      </c>
      <c r="AA281" s="8" t="s">
        <v>44</v>
      </c>
      <c r="AB281" s="8">
        <v>54.1</v>
      </c>
      <c r="AC281" s="8" t="s">
        <v>45</v>
      </c>
      <c r="AD281" s="8" t="s">
        <v>46</v>
      </c>
      <c r="AE281" s="8">
        <v>0.2</v>
      </c>
      <c r="AF281" s="8" t="s">
        <v>639</v>
      </c>
      <c r="AG281" s="8" t="s">
        <v>47</v>
      </c>
      <c r="AI281" s="8">
        <v>0.1</v>
      </c>
      <c r="AJ281" s="8" t="s">
        <v>48</v>
      </c>
      <c r="AK281" s="8" t="s">
        <v>49</v>
      </c>
      <c r="AL281" s="8" t="s">
        <v>50</v>
      </c>
      <c r="AM281" s="8" t="s">
        <v>51</v>
      </c>
      <c r="AN281" s="8">
        <v>0.57799999999999996</v>
      </c>
      <c r="AO281" s="8">
        <v>5.4400000000000004E-3</v>
      </c>
      <c r="AP281" s="8">
        <v>9.5200000000000007E-3</v>
      </c>
      <c r="AQ281" s="8" t="s">
        <v>52</v>
      </c>
      <c r="AR281" s="8" t="s">
        <v>53</v>
      </c>
      <c r="AS281" s="8" t="s">
        <v>54</v>
      </c>
    </row>
    <row r="282" spans="1:45" x14ac:dyDescent="0.25">
      <c r="A282" s="10" t="s">
        <v>551</v>
      </c>
      <c r="B282" s="10" t="s">
        <v>756</v>
      </c>
      <c r="C282" s="8">
        <v>65.38</v>
      </c>
      <c r="D282" s="8">
        <v>693</v>
      </c>
      <c r="P282" s="8">
        <v>0</v>
      </c>
      <c r="AE282" s="8">
        <v>0.3</v>
      </c>
      <c r="AF282" s="8" t="s">
        <v>639</v>
      </c>
    </row>
    <row r="291" spans="32:32" x14ac:dyDescent="0.25">
      <c r="AF291" s="9"/>
    </row>
    <row r="292" spans="32:32" x14ac:dyDescent="0.25">
      <c r="AF292" s="9"/>
    </row>
    <row r="293" spans="32:32" x14ac:dyDescent="0.25">
      <c r="AF293" s="9"/>
    </row>
    <row r="294" spans="32:32" x14ac:dyDescent="0.25">
      <c r="AF294" s="9"/>
    </row>
    <row r="295" spans="32:32" x14ac:dyDescent="0.25">
      <c r="AF295" s="9"/>
    </row>
  </sheetData>
  <autoFilter ref="A1:AS282"/>
  <sortState ref="A2:AQ259">
    <sortCondition ref="A2:A259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82"/>
  <sheetViews>
    <sheetView topLeftCell="K1" workbookViewId="0">
      <selection activeCell="AF195" sqref="AF195"/>
    </sheetView>
  </sheetViews>
  <sheetFormatPr defaultRowHeight="15" x14ac:dyDescent="0.25"/>
  <cols>
    <col min="1" max="1" width="52.28515625" bestFit="1" customWidth="1"/>
    <col min="2" max="2" width="15.28515625" bestFit="1" customWidth="1"/>
    <col min="3" max="3" width="12.85546875" bestFit="1" customWidth="1"/>
    <col min="4" max="4" width="7.140625" bestFit="1" customWidth="1"/>
    <col min="5" max="6" width="12" bestFit="1" customWidth="1"/>
    <col min="7" max="7" width="16.7109375" bestFit="1" customWidth="1"/>
    <col min="8" max="11" width="12" bestFit="1" customWidth="1"/>
    <col min="12" max="12" width="12.42578125" bestFit="1" customWidth="1"/>
    <col min="13" max="13" width="12" bestFit="1" customWidth="1"/>
    <col min="14" max="14" width="13.7109375" bestFit="1" customWidth="1"/>
    <col min="15" max="15" width="11.5703125" bestFit="1" customWidth="1"/>
    <col min="16" max="18" width="12" bestFit="1" customWidth="1"/>
    <col min="19" max="19" width="12.5703125" bestFit="1" customWidth="1"/>
    <col min="20" max="22" width="12" bestFit="1" customWidth="1"/>
    <col min="23" max="23" width="18.85546875" bestFit="1" customWidth="1"/>
    <col min="24" max="24" width="19.140625" bestFit="1" customWidth="1"/>
    <col min="25" max="25" width="19" bestFit="1" customWidth="1"/>
    <col min="26" max="26" width="12" bestFit="1" customWidth="1"/>
    <col min="27" max="27" width="11.42578125" bestFit="1" customWidth="1"/>
    <col min="28" max="28" width="23.28515625" bestFit="1" customWidth="1"/>
    <col min="29" max="29" width="17.28515625" bestFit="1" customWidth="1"/>
    <col min="31" max="31" width="15.7109375" bestFit="1" customWidth="1"/>
    <col min="32" max="32" width="21.85546875" bestFit="1" customWidth="1"/>
    <col min="33" max="33" width="13.5703125" bestFit="1" customWidth="1"/>
    <col min="34" max="34" width="26.28515625" bestFit="1" customWidth="1"/>
    <col min="35" max="35" width="29.85546875" bestFit="1" customWidth="1"/>
    <col min="36" max="36" width="13.7109375" bestFit="1" customWidth="1"/>
    <col min="37" max="37" width="17" bestFit="1" customWidth="1"/>
    <col min="38" max="40" width="12" bestFit="1" customWidth="1"/>
    <col min="41" max="41" width="14" bestFit="1" customWidth="1"/>
    <col min="42" max="42" width="4" bestFit="1" customWidth="1"/>
    <col min="43" max="43" width="8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664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81</v>
      </c>
      <c r="B2" t="s">
        <v>82</v>
      </c>
      <c r="C2">
        <v>154</v>
      </c>
      <c r="D2">
        <v>366</v>
      </c>
      <c r="E2">
        <v>3.2899999999999998E-6</v>
      </c>
      <c r="F2">
        <v>3.6</v>
      </c>
      <c r="G2">
        <v>1.6000000000000001E-4</v>
      </c>
      <c r="H2">
        <v>1E-3</v>
      </c>
      <c r="I2">
        <v>1.0000000000000001E-5</v>
      </c>
      <c r="J2">
        <v>7940</v>
      </c>
      <c r="K2">
        <v>4900</v>
      </c>
      <c r="L2">
        <v>3.9</v>
      </c>
      <c r="M2">
        <v>368</v>
      </c>
      <c r="N2">
        <v>196</v>
      </c>
      <c r="O2">
        <v>2.48</v>
      </c>
      <c r="P2">
        <v>1</v>
      </c>
      <c r="Q2">
        <v>234</v>
      </c>
      <c r="R2">
        <v>0.21299999999999999</v>
      </c>
      <c r="S2">
        <v>0.216</v>
      </c>
      <c r="T2">
        <v>0.216</v>
      </c>
      <c r="U2">
        <v>4.97</v>
      </c>
      <c r="V2">
        <v>4.97</v>
      </c>
      <c r="W2">
        <v>5.1200000000000004E-3</v>
      </c>
      <c r="X2">
        <v>2.4299999999999999E-2</v>
      </c>
      <c r="Y2">
        <v>2.9399999999999999E-2</v>
      </c>
      <c r="Z2">
        <v>7.3200000000000001E-2</v>
      </c>
      <c r="AA2" t="s">
        <v>44</v>
      </c>
      <c r="AB2">
        <v>201</v>
      </c>
      <c r="AC2">
        <v>201</v>
      </c>
      <c r="AD2" t="s">
        <v>46</v>
      </c>
      <c r="AE2">
        <v>0.06</v>
      </c>
      <c r="AF2" t="s">
        <v>47</v>
      </c>
      <c r="AG2" t="s">
        <v>57</v>
      </c>
      <c r="AH2" t="s">
        <v>48</v>
      </c>
      <c r="AI2" t="s">
        <v>49</v>
      </c>
      <c r="AJ2" t="s">
        <v>50</v>
      </c>
      <c r="AK2" t="s">
        <v>72</v>
      </c>
      <c r="AL2">
        <v>0.216</v>
      </c>
      <c r="AM2">
        <v>1.0200000000000001E-2</v>
      </c>
      <c r="AN2">
        <v>1.7899999999999999E-2</v>
      </c>
      <c r="AO2" t="s">
        <v>52</v>
      </c>
      <c r="AP2" t="s">
        <v>53</v>
      </c>
      <c r="AQ2" t="s">
        <v>54</v>
      </c>
    </row>
    <row r="3" spans="1:43" x14ac:dyDescent="0.25">
      <c r="A3" t="s">
        <v>572</v>
      </c>
      <c r="B3" t="s">
        <v>84</v>
      </c>
      <c r="C3">
        <v>152.19</v>
      </c>
      <c r="D3">
        <v>364.9</v>
      </c>
      <c r="E3">
        <v>8.7499999999999992E-6</v>
      </c>
      <c r="F3">
        <v>3.9</v>
      </c>
      <c r="G3">
        <v>1.11E-4</v>
      </c>
      <c r="H3">
        <v>4.3999999999999997E-2</v>
      </c>
      <c r="I3">
        <v>7.5000000000000002E-6</v>
      </c>
      <c r="J3">
        <v>8709</v>
      </c>
      <c r="K3">
        <v>2760</v>
      </c>
      <c r="L3">
        <v>3.9</v>
      </c>
      <c r="M3">
        <v>207</v>
      </c>
      <c r="N3">
        <v>110.4</v>
      </c>
      <c r="O3">
        <v>4.22</v>
      </c>
      <c r="P3">
        <v>1</v>
      </c>
      <c r="Q3">
        <v>32.6</v>
      </c>
      <c r="R3">
        <v>2.18E-2</v>
      </c>
      <c r="S3">
        <v>0.27</v>
      </c>
      <c r="T3">
        <v>0.27</v>
      </c>
      <c r="U3">
        <v>125000</v>
      </c>
      <c r="V3">
        <v>125000</v>
      </c>
      <c r="W3">
        <v>5.1200000000000004E-3</v>
      </c>
      <c r="X3">
        <v>2.4299999999999999E-2</v>
      </c>
      <c r="Y3">
        <v>2.9399999999999999E-2</v>
      </c>
      <c r="Z3">
        <v>7.3200000000000001E-2</v>
      </c>
      <c r="AA3" t="s">
        <v>44</v>
      </c>
      <c r="AB3">
        <v>549</v>
      </c>
      <c r="AC3">
        <v>549</v>
      </c>
      <c r="AD3" t="s">
        <v>46</v>
      </c>
      <c r="AE3" t="s">
        <v>56</v>
      </c>
      <c r="AF3" t="s">
        <v>47</v>
      </c>
      <c r="AG3" t="s">
        <v>57</v>
      </c>
      <c r="AH3" t="s">
        <v>48</v>
      </c>
      <c r="AI3" t="s">
        <v>49</v>
      </c>
      <c r="AJ3" t="s">
        <v>50</v>
      </c>
      <c r="AK3" t="s">
        <v>72</v>
      </c>
      <c r="AL3">
        <v>0.216</v>
      </c>
      <c r="AM3">
        <v>1.0200000000000001E-2</v>
      </c>
      <c r="AN3">
        <v>1.7899999999999999E-2</v>
      </c>
      <c r="AO3" t="s">
        <v>52</v>
      </c>
      <c r="AP3" t="s">
        <v>53</v>
      </c>
      <c r="AQ3" t="s">
        <v>54</v>
      </c>
    </row>
    <row r="4" spans="1:43" x14ac:dyDescent="0.25">
      <c r="A4" t="s">
        <v>85</v>
      </c>
      <c r="B4" t="s">
        <v>86</v>
      </c>
      <c r="C4">
        <v>44.1</v>
      </c>
      <c r="D4">
        <v>150</v>
      </c>
      <c r="E4">
        <v>1.19</v>
      </c>
      <c r="F4">
        <v>1000000</v>
      </c>
      <c r="G4">
        <v>7.8899999999999993E-5</v>
      </c>
      <c r="H4">
        <v>0.124</v>
      </c>
      <c r="I4">
        <v>1.4100000000000001E-5</v>
      </c>
      <c r="J4">
        <v>0.60299999999999998</v>
      </c>
      <c r="K4">
        <v>0.61</v>
      </c>
      <c r="L4">
        <v>6.0000000000000001E-3</v>
      </c>
      <c r="M4">
        <v>0.05</v>
      </c>
      <c r="N4">
        <v>0.02</v>
      </c>
      <c r="O4" t="s">
        <v>57</v>
      </c>
      <c r="P4">
        <v>1</v>
      </c>
      <c r="Q4">
        <v>6.46</v>
      </c>
      <c r="R4">
        <v>1060</v>
      </c>
      <c r="S4">
        <v>8.3800000000000008</v>
      </c>
      <c r="T4">
        <v>8.3800000000000008</v>
      </c>
      <c r="U4">
        <v>4.1300000000000001E-4</v>
      </c>
      <c r="V4">
        <v>4.1300000000000001E-4</v>
      </c>
      <c r="W4">
        <v>6.3400000000000003E-6</v>
      </c>
      <c r="X4">
        <v>3.01E-5</v>
      </c>
      <c r="Y4">
        <v>3.6399999999999997E-5</v>
      </c>
      <c r="Z4">
        <v>4.78E-6</v>
      </c>
      <c r="AA4" t="s">
        <v>44</v>
      </c>
      <c r="AB4">
        <v>3.16</v>
      </c>
      <c r="AC4" t="s">
        <v>45</v>
      </c>
      <c r="AD4" t="s">
        <v>46</v>
      </c>
      <c r="AE4" t="s">
        <v>56</v>
      </c>
      <c r="AF4" t="s">
        <v>47</v>
      </c>
      <c r="AG4">
        <v>8.9999999999999993E-3</v>
      </c>
      <c r="AH4">
        <v>2.2000000000000001E-6</v>
      </c>
      <c r="AI4" t="s">
        <v>49</v>
      </c>
      <c r="AJ4" t="s">
        <v>50</v>
      </c>
      <c r="AK4" t="s">
        <v>51</v>
      </c>
      <c r="AL4">
        <v>8.3800000000000008</v>
      </c>
      <c r="AM4">
        <v>1.27E-5</v>
      </c>
      <c r="AN4">
        <v>2.2200000000000001E-5</v>
      </c>
      <c r="AO4" t="s">
        <v>52</v>
      </c>
      <c r="AP4" t="s">
        <v>53</v>
      </c>
      <c r="AQ4" t="s">
        <v>54</v>
      </c>
    </row>
    <row r="5" spans="1:43" x14ac:dyDescent="0.25">
      <c r="A5" t="s">
        <v>585</v>
      </c>
      <c r="B5" t="s">
        <v>87</v>
      </c>
      <c r="C5">
        <v>59.1</v>
      </c>
      <c r="D5">
        <v>354</v>
      </c>
      <c r="E5">
        <v>1.32E-3</v>
      </c>
      <c r="F5">
        <v>2250000</v>
      </c>
      <c r="G5">
        <v>3.4499999999999998E-8</v>
      </c>
      <c r="H5">
        <v>0.125</v>
      </c>
      <c r="I5">
        <v>1.45E-5</v>
      </c>
      <c r="J5">
        <v>5.5E-2</v>
      </c>
      <c r="K5">
        <v>5.7799999999999997E-2</v>
      </c>
      <c r="L5">
        <v>5.7799999999999995E-4</v>
      </c>
      <c r="M5">
        <v>4.3299999999999996E-3</v>
      </c>
      <c r="N5">
        <v>2.31E-3</v>
      </c>
      <c r="O5">
        <v>8.43</v>
      </c>
      <c r="P5">
        <v>1</v>
      </c>
      <c r="Q5">
        <v>6.39</v>
      </c>
      <c r="R5">
        <v>11100</v>
      </c>
      <c r="S5">
        <v>207</v>
      </c>
      <c r="T5">
        <v>207</v>
      </c>
      <c r="U5">
        <v>7.3599999999999999E-2</v>
      </c>
      <c r="V5">
        <v>7.3599999999999999E-2</v>
      </c>
      <c r="W5">
        <v>1.9099999999999999E-6</v>
      </c>
      <c r="X5">
        <v>9.0699999999999996E-6</v>
      </c>
      <c r="Y5">
        <v>1.1E-5</v>
      </c>
      <c r="Z5" t="s">
        <v>44</v>
      </c>
      <c r="AA5" t="s">
        <v>44</v>
      </c>
      <c r="AB5">
        <v>3.16</v>
      </c>
      <c r="AC5" t="s">
        <v>45</v>
      </c>
      <c r="AD5" t="s">
        <v>46</v>
      </c>
      <c r="AE5" t="s">
        <v>56</v>
      </c>
      <c r="AF5">
        <v>7.0000000000000007E-2</v>
      </c>
      <c r="AG5" t="s">
        <v>57</v>
      </c>
      <c r="AH5">
        <v>2.0000000000000002E-5</v>
      </c>
      <c r="AI5" t="s">
        <v>49</v>
      </c>
      <c r="AJ5" t="s">
        <v>50</v>
      </c>
      <c r="AK5" t="s">
        <v>51</v>
      </c>
      <c r="AL5">
        <v>207</v>
      </c>
      <c r="AM5">
        <v>3.8199999999999998E-6</v>
      </c>
      <c r="AN5">
        <v>6.6800000000000004E-6</v>
      </c>
      <c r="AO5" t="s">
        <v>52</v>
      </c>
      <c r="AP5" t="s">
        <v>53</v>
      </c>
      <c r="AQ5" t="s">
        <v>54</v>
      </c>
    </row>
    <row r="6" spans="1:43" x14ac:dyDescent="0.25">
      <c r="A6" t="s">
        <v>88</v>
      </c>
      <c r="B6" t="s">
        <v>89</v>
      </c>
      <c r="C6">
        <v>58.1</v>
      </c>
      <c r="D6">
        <v>178</v>
      </c>
      <c r="E6">
        <v>0.30299999999999999</v>
      </c>
      <c r="F6">
        <v>1000000</v>
      </c>
      <c r="G6">
        <v>3.8999999999999999E-5</v>
      </c>
      <c r="H6">
        <v>0.124</v>
      </c>
      <c r="I6">
        <v>1.1399999999999999E-5</v>
      </c>
      <c r="J6">
        <v>0.57499999999999996</v>
      </c>
      <c r="K6">
        <v>0.57999999999999996</v>
      </c>
      <c r="L6">
        <v>8.6999999999999994E-2</v>
      </c>
      <c r="M6">
        <v>0.04</v>
      </c>
      <c r="N6">
        <v>0.02</v>
      </c>
      <c r="O6">
        <v>36.1</v>
      </c>
      <c r="P6">
        <v>1</v>
      </c>
      <c r="Q6">
        <v>6.46</v>
      </c>
      <c r="R6">
        <v>74.2</v>
      </c>
      <c r="S6">
        <v>8.3800000000000008</v>
      </c>
      <c r="T6">
        <v>8.3800000000000008</v>
      </c>
      <c r="U6">
        <v>7.9600000000000005E-4</v>
      </c>
      <c r="V6">
        <v>7.9600000000000005E-4</v>
      </c>
      <c r="W6">
        <v>6.02E-6</v>
      </c>
      <c r="X6">
        <v>2.8600000000000001E-5</v>
      </c>
      <c r="Y6">
        <v>3.4600000000000001E-5</v>
      </c>
      <c r="Z6">
        <v>4.7700000000000001E-6</v>
      </c>
      <c r="AA6" t="s">
        <v>44</v>
      </c>
      <c r="AB6">
        <v>3.16</v>
      </c>
      <c r="AC6" t="s">
        <v>45</v>
      </c>
      <c r="AD6" t="s">
        <v>46</v>
      </c>
      <c r="AE6">
        <v>0.9</v>
      </c>
      <c r="AF6" t="s">
        <v>47</v>
      </c>
      <c r="AG6" t="s">
        <v>57</v>
      </c>
      <c r="AH6" t="s">
        <v>48</v>
      </c>
      <c r="AI6" t="s">
        <v>49</v>
      </c>
      <c r="AJ6" t="s">
        <v>50</v>
      </c>
      <c r="AK6" t="s">
        <v>51</v>
      </c>
      <c r="AL6">
        <v>8.3800000000000008</v>
      </c>
      <c r="AM6">
        <v>1.2E-5</v>
      </c>
      <c r="AN6">
        <v>2.1100000000000001E-5</v>
      </c>
      <c r="AO6" t="s">
        <v>52</v>
      </c>
      <c r="AP6" t="s">
        <v>53</v>
      </c>
      <c r="AQ6" t="s">
        <v>54</v>
      </c>
    </row>
    <row r="7" spans="1:43" x14ac:dyDescent="0.25">
      <c r="A7" t="s">
        <v>90</v>
      </c>
      <c r="B7" t="s">
        <v>91</v>
      </c>
      <c r="C7">
        <v>41.1</v>
      </c>
      <c r="D7">
        <v>228</v>
      </c>
      <c r="E7">
        <v>0.12</v>
      </c>
      <c r="F7">
        <v>74000</v>
      </c>
      <c r="G7">
        <v>3.4600000000000001E-5</v>
      </c>
      <c r="H7">
        <v>0.128</v>
      </c>
      <c r="I7">
        <v>1.66E-5</v>
      </c>
      <c r="J7">
        <v>0.45700000000000002</v>
      </c>
      <c r="K7">
        <v>0.46</v>
      </c>
      <c r="L7">
        <v>5.0000000000000001E-3</v>
      </c>
      <c r="M7">
        <v>0.03</v>
      </c>
      <c r="N7">
        <v>0.02</v>
      </c>
      <c r="O7">
        <v>9.0299999999999994</v>
      </c>
      <c r="P7">
        <v>1</v>
      </c>
      <c r="Q7">
        <v>6.43</v>
      </c>
      <c r="R7">
        <v>1390</v>
      </c>
      <c r="S7">
        <v>8.3800000000000008</v>
      </c>
      <c r="T7">
        <v>8.3800000000000008</v>
      </c>
      <c r="U7">
        <v>7.0200000000000004E-4</v>
      </c>
      <c r="V7">
        <v>7.0200000000000004E-4</v>
      </c>
      <c r="W7">
        <v>4.6399999999999996E-6</v>
      </c>
      <c r="X7">
        <v>2.2099999999999998E-5</v>
      </c>
      <c r="Y7">
        <v>2.6699999999999998E-5</v>
      </c>
      <c r="Z7">
        <v>3.63E-6</v>
      </c>
      <c r="AA7" t="s">
        <v>44</v>
      </c>
      <c r="AB7">
        <v>3.16</v>
      </c>
      <c r="AC7" t="s">
        <v>45</v>
      </c>
      <c r="AD7" t="s">
        <v>46</v>
      </c>
      <c r="AE7">
        <v>6.0000000000000001E-3</v>
      </c>
      <c r="AF7" t="s">
        <v>47</v>
      </c>
      <c r="AG7">
        <v>0.06</v>
      </c>
      <c r="AH7" t="s">
        <v>48</v>
      </c>
      <c r="AI7" t="s">
        <v>49</v>
      </c>
      <c r="AJ7" t="s">
        <v>50</v>
      </c>
      <c r="AK7" t="s">
        <v>51</v>
      </c>
      <c r="AL7">
        <v>8.3800000000000008</v>
      </c>
      <c r="AM7">
        <v>9.2900000000000008E-6</v>
      </c>
      <c r="AN7">
        <v>1.63E-5</v>
      </c>
      <c r="AO7" t="s">
        <v>52</v>
      </c>
      <c r="AP7" t="s">
        <v>53</v>
      </c>
      <c r="AQ7" t="s">
        <v>54</v>
      </c>
    </row>
    <row r="8" spans="1:43" x14ac:dyDescent="0.25">
      <c r="A8" t="s">
        <v>92</v>
      </c>
      <c r="B8" t="s">
        <v>93</v>
      </c>
      <c r="C8">
        <v>120</v>
      </c>
      <c r="D8">
        <v>293</v>
      </c>
      <c r="E8">
        <v>5.22E-4</v>
      </c>
      <c r="F8">
        <v>6130</v>
      </c>
      <c r="G8">
        <v>1.0699999999999999E-5</v>
      </c>
      <c r="H8">
        <v>0.06</v>
      </c>
      <c r="I8">
        <v>8.7299999999999994E-6</v>
      </c>
      <c r="J8">
        <v>38</v>
      </c>
      <c r="K8">
        <v>35.799999999999997</v>
      </c>
      <c r="L8">
        <v>0.36</v>
      </c>
      <c r="M8">
        <v>2.68</v>
      </c>
      <c r="N8">
        <v>1.43</v>
      </c>
      <c r="O8" t="s">
        <v>57</v>
      </c>
      <c r="P8">
        <v>1</v>
      </c>
      <c r="Q8">
        <v>10.1</v>
      </c>
      <c r="R8">
        <v>28.3</v>
      </c>
      <c r="S8">
        <v>4.7300000000000004</v>
      </c>
      <c r="T8">
        <v>4.7300000000000004</v>
      </c>
      <c r="U8">
        <v>0.252</v>
      </c>
      <c r="V8">
        <v>0.252</v>
      </c>
      <c r="W8">
        <v>3.0600000000000001E-4</v>
      </c>
      <c r="X8">
        <v>1.4499999999999999E-3</v>
      </c>
      <c r="Y8">
        <v>1.7600000000000001E-3</v>
      </c>
      <c r="Z8">
        <v>3.4699999999999998E-4</v>
      </c>
      <c r="AA8" t="s">
        <v>44</v>
      </c>
      <c r="AB8">
        <v>0.47499999999999998</v>
      </c>
      <c r="AC8" t="s">
        <v>45</v>
      </c>
      <c r="AD8" t="s">
        <v>46</v>
      </c>
      <c r="AE8">
        <v>0.1</v>
      </c>
      <c r="AF8" t="s">
        <v>47</v>
      </c>
      <c r="AG8" t="s">
        <v>57</v>
      </c>
      <c r="AH8" t="s">
        <v>48</v>
      </c>
      <c r="AI8" t="s">
        <v>49</v>
      </c>
      <c r="AJ8" t="s">
        <v>50</v>
      </c>
      <c r="AK8" t="s">
        <v>51</v>
      </c>
      <c r="AL8">
        <v>4.7300000000000004</v>
      </c>
      <c r="AM8">
        <v>6.1200000000000002E-4</v>
      </c>
      <c r="AN8">
        <v>1.07E-3</v>
      </c>
      <c r="AO8" t="s">
        <v>52</v>
      </c>
      <c r="AP8" t="s">
        <v>53</v>
      </c>
      <c r="AQ8" t="s">
        <v>54</v>
      </c>
    </row>
    <row r="9" spans="1:43" x14ac:dyDescent="0.25">
      <c r="A9" t="s">
        <v>94</v>
      </c>
      <c r="B9" t="s">
        <v>95</v>
      </c>
      <c r="C9">
        <v>56.1</v>
      </c>
      <c r="D9">
        <v>185</v>
      </c>
      <c r="E9">
        <v>0.35499999999999998</v>
      </c>
      <c r="F9">
        <v>210000</v>
      </c>
      <c r="G9">
        <v>1.2E-4</v>
      </c>
      <c r="H9">
        <v>0.105</v>
      </c>
      <c r="I9">
        <v>1.22E-5</v>
      </c>
      <c r="J9">
        <v>0.97699999999999998</v>
      </c>
      <c r="K9">
        <v>0.98</v>
      </c>
      <c r="L9">
        <v>0.15</v>
      </c>
      <c r="M9">
        <v>7.0000000000000007E-2</v>
      </c>
      <c r="N9">
        <v>0.04</v>
      </c>
      <c r="O9">
        <v>9.0299999999999994</v>
      </c>
      <c r="P9">
        <v>1</v>
      </c>
      <c r="Q9">
        <v>6.54</v>
      </c>
      <c r="R9">
        <v>43.6</v>
      </c>
      <c r="S9">
        <v>8.3800000000000008</v>
      </c>
      <c r="T9">
        <v>8.3800000000000008</v>
      </c>
      <c r="U9">
        <v>4.55E-4</v>
      </c>
      <c r="V9">
        <v>4.55E-4</v>
      </c>
      <c r="W9">
        <v>1.0699999999999999E-5</v>
      </c>
      <c r="X9">
        <v>5.1100000000000002E-5</v>
      </c>
      <c r="Y9">
        <v>6.1799999999999998E-5</v>
      </c>
      <c r="Z9">
        <v>7.7800000000000001E-6</v>
      </c>
      <c r="AA9" t="s">
        <v>44</v>
      </c>
      <c r="AB9">
        <v>3.16</v>
      </c>
      <c r="AC9" t="s">
        <v>45</v>
      </c>
      <c r="AD9" t="s">
        <v>46</v>
      </c>
      <c r="AE9">
        <v>5.0000000000000001E-4</v>
      </c>
      <c r="AF9" t="s">
        <v>47</v>
      </c>
      <c r="AG9">
        <v>4.0000000000000002E-4</v>
      </c>
      <c r="AH9" t="s">
        <v>48</v>
      </c>
      <c r="AI9" t="s">
        <v>49</v>
      </c>
      <c r="AJ9" t="s">
        <v>50</v>
      </c>
      <c r="AK9" t="s">
        <v>51</v>
      </c>
      <c r="AL9">
        <v>8.3800000000000008</v>
      </c>
      <c r="AM9">
        <v>2.1500000000000001E-5</v>
      </c>
      <c r="AN9">
        <v>3.7599999999999999E-5</v>
      </c>
      <c r="AO9" t="s">
        <v>52</v>
      </c>
      <c r="AP9" t="s">
        <v>53</v>
      </c>
      <c r="AQ9" t="s">
        <v>54</v>
      </c>
    </row>
    <row r="10" spans="1:43" x14ac:dyDescent="0.25">
      <c r="A10" t="s">
        <v>570</v>
      </c>
      <c r="B10" t="s">
        <v>96</v>
      </c>
      <c r="C10">
        <v>71.099999999999994</v>
      </c>
      <c r="D10">
        <v>358</v>
      </c>
      <c r="E10">
        <v>9.2099999999999999E-6</v>
      </c>
      <c r="F10">
        <v>640000</v>
      </c>
      <c r="G10">
        <v>1.02E-9</v>
      </c>
      <c r="H10">
        <v>0.111</v>
      </c>
      <c r="I10">
        <v>1.2799999999999999E-5</v>
      </c>
      <c r="J10">
        <v>0.214</v>
      </c>
      <c r="K10">
        <v>0.22</v>
      </c>
      <c r="L10">
        <v>2.2000000000000001E-3</v>
      </c>
      <c r="M10">
        <v>1.6500000000000001E-2</v>
      </c>
      <c r="N10">
        <v>8.7899999999999992E-3</v>
      </c>
      <c r="O10">
        <v>8.43</v>
      </c>
      <c r="P10">
        <v>1</v>
      </c>
      <c r="Q10">
        <v>6.39</v>
      </c>
      <c r="R10">
        <v>2910</v>
      </c>
      <c r="S10">
        <v>94.5</v>
      </c>
      <c r="T10">
        <v>94.5</v>
      </c>
      <c r="U10">
        <v>10.6</v>
      </c>
      <c r="V10">
        <v>10.6</v>
      </c>
      <c r="W10">
        <v>1.9099999999999999E-6</v>
      </c>
      <c r="X10">
        <v>9.0699999999999996E-6</v>
      </c>
      <c r="Y10">
        <v>1.1E-5</v>
      </c>
      <c r="Z10" t="s">
        <v>44</v>
      </c>
      <c r="AA10" t="s">
        <v>44</v>
      </c>
      <c r="AB10">
        <v>3.16</v>
      </c>
      <c r="AC10" t="s">
        <v>45</v>
      </c>
      <c r="AD10" t="s">
        <v>46</v>
      </c>
      <c r="AE10">
        <v>2E-3</v>
      </c>
      <c r="AF10">
        <v>0.5</v>
      </c>
      <c r="AG10">
        <v>6.0000000000000001E-3</v>
      </c>
      <c r="AH10">
        <v>1E-4</v>
      </c>
      <c r="AI10" t="s">
        <v>49</v>
      </c>
      <c r="AJ10" t="s">
        <v>50</v>
      </c>
      <c r="AK10" t="s">
        <v>51</v>
      </c>
      <c r="AL10">
        <v>94.5</v>
      </c>
      <c r="AM10">
        <v>3.8199999999999998E-6</v>
      </c>
      <c r="AN10">
        <v>6.6800000000000004E-6</v>
      </c>
      <c r="AO10" t="s">
        <v>52</v>
      </c>
      <c r="AP10" t="s">
        <v>53</v>
      </c>
      <c r="AQ10" t="s">
        <v>54</v>
      </c>
    </row>
    <row r="11" spans="1:43" x14ac:dyDescent="0.25">
      <c r="A11" t="s">
        <v>571</v>
      </c>
      <c r="B11" t="s">
        <v>97</v>
      </c>
      <c r="C11">
        <v>72.099999999999994</v>
      </c>
      <c r="D11">
        <v>287</v>
      </c>
      <c r="E11">
        <v>5.2300000000000003E-3</v>
      </c>
      <c r="F11">
        <v>1000000</v>
      </c>
      <c r="G11">
        <v>3.7599999999999998E-7</v>
      </c>
      <c r="H11">
        <v>0.11</v>
      </c>
      <c r="I11">
        <v>1.27E-5</v>
      </c>
      <c r="J11">
        <v>2.2400000000000002</v>
      </c>
      <c r="K11">
        <v>2.21</v>
      </c>
      <c r="L11">
        <v>2.2100000000000002E-2</v>
      </c>
      <c r="M11">
        <v>0.16600000000000001</v>
      </c>
      <c r="N11">
        <v>8.8400000000000006E-2</v>
      </c>
      <c r="O11">
        <v>14.9</v>
      </c>
      <c r="P11">
        <v>1</v>
      </c>
      <c r="Q11">
        <v>6.74</v>
      </c>
      <c r="R11">
        <v>305</v>
      </c>
      <c r="S11">
        <v>24.3</v>
      </c>
      <c r="T11">
        <v>24.3</v>
      </c>
      <c r="U11">
        <v>0.35</v>
      </c>
      <c r="V11">
        <v>0.35</v>
      </c>
      <c r="W11">
        <v>2.5400000000000001E-5</v>
      </c>
      <c r="X11">
        <v>1.21E-4</v>
      </c>
      <c r="Y11">
        <v>1.46E-4</v>
      </c>
      <c r="Z11" t="s">
        <v>44</v>
      </c>
      <c r="AA11" t="s">
        <v>44</v>
      </c>
      <c r="AB11">
        <v>3.16</v>
      </c>
      <c r="AC11" t="s">
        <v>45</v>
      </c>
      <c r="AD11" t="s">
        <v>46</v>
      </c>
      <c r="AE11">
        <v>0.5</v>
      </c>
      <c r="AF11" t="s">
        <v>47</v>
      </c>
      <c r="AG11">
        <v>1E-3</v>
      </c>
      <c r="AH11" t="s">
        <v>48</v>
      </c>
      <c r="AI11" t="s">
        <v>49</v>
      </c>
      <c r="AJ11" t="s">
        <v>50</v>
      </c>
      <c r="AK11" t="s">
        <v>51</v>
      </c>
      <c r="AL11">
        <v>24.3</v>
      </c>
      <c r="AM11">
        <v>5.0800000000000002E-5</v>
      </c>
      <c r="AN11">
        <v>8.8800000000000004E-5</v>
      </c>
      <c r="AO11" t="s">
        <v>52</v>
      </c>
      <c r="AP11" t="s">
        <v>53</v>
      </c>
      <c r="AQ11" t="s">
        <v>54</v>
      </c>
    </row>
    <row r="12" spans="1:43" x14ac:dyDescent="0.25">
      <c r="A12" t="s">
        <v>98</v>
      </c>
      <c r="B12" t="s">
        <v>99</v>
      </c>
      <c r="C12">
        <v>53.1</v>
      </c>
      <c r="D12">
        <v>190</v>
      </c>
      <c r="E12">
        <v>0.14299999999999999</v>
      </c>
      <c r="F12">
        <v>74000</v>
      </c>
      <c r="G12">
        <v>1.03E-4</v>
      </c>
      <c r="H12">
        <v>0.122</v>
      </c>
      <c r="I12">
        <v>1.34E-5</v>
      </c>
      <c r="J12">
        <v>1.78</v>
      </c>
      <c r="K12">
        <v>1.76</v>
      </c>
      <c r="L12">
        <v>0.02</v>
      </c>
      <c r="M12">
        <v>0.13</v>
      </c>
      <c r="N12">
        <v>7.0000000000000007E-2</v>
      </c>
      <c r="O12">
        <v>11</v>
      </c>
      <c r="P12">
        <v>1</v>
      </c>
      <c r="Q12">
        <v>6.67</v>
      </c>
      <c r="R12">
        <v>379</v>
      </c>
      <c r="S12">
        <v>8.3800000000000008</v>
      </c>
      <c r="T12">
        <v>8.3800000000000008</v>
      </c>
      <c r="U12">
        <v>1E-3</v>
      </c>
      <c r="V12">
        <v>1E-3</v>
      </c>
      <c r="W12">
        <v>2.0100000000000001E-5</v>
      </c>
      <c r="X12">
        <v>9.5500000000000004E-5</v>
      </c>
      <c r="Y12">
        <v>1.16E-4</v>
      </c>
      <c r="Z12">
        <v>1.4100000000000001E-5</v>
      </c>
      <c r="AA12" t="s">
        <v>44</v>
      </c>
      <c r="AB12">
        <v>3.16</v>
      </c>
      <c r="AC12" t="s">
        <v>45</v>
      </c>
      <c r="AD12" t="s">
        <v>46</v>
      </c>
      <c r="AE12">
        <v>0.04</v>
      </c>
      <c r="AF12">
        <v>0.54</v>
      </c>
      <c r="AG12">
        <v>2E-3</v>
      </c>
      <c r="AH12">
        <v>6.7999999999999999E-5</v>
      </c>
      <c r="AI12" t="s">
        <v>49</v>
      </c>
      <c r="AJ12" t="s">
        <v>50</v>
      </c>
      <c r="AK12" t="s">
        <v>51</v>
      </c>
      <c r="AL12">
        <v>8.3800000000000008</v>
      </c>
      <c r="AM12">
        <v>4.0200000000000001E-5</v>
      </c>
      <c r="AN12">
        <v>7.0400000000000004E-5</v>
      </c>
      <c r="AO12" t="s">
        <v>52</v>
      </c>
      <c r="AP12" t="s">
        <v>53</v>
      </c>
      <c r="AQ12" t="s">
        <v>54</v>
      </c>
    </row>
    <row r="13" spans="1:43" x14ac:dyDescent="0.25">
      <c r="A13" t="s">
        <v>687</v>
      </c>
      <c r="B13" t="s">
        <v>101</v>
      </c>
      <c r="C13">
        <v>30</v>
      </c>
      <c r="D13">
        <v>181</v>
      </c>
      <c r="E13">
        <v>6.89</v>
      </c>
      <c r="F13">
        <v>550000</v>
      </c>
      <c r="G13">
        <v>3.3599999999999999E-7</v>
      </c>
      <c r="H13">
        <v>0.17799999999999999</v>
      </c>
      <c r="I13">
        <v>1.98E-5</v>
      </c>
      <c r="J13">
        <v>2.2400000000000002</v>
      </c>
      <c r="K13">
        <v>2.21</v>
      </c>
      <c r="L13">
        <v>0.02</v>
      </c>
      <c r="M13">
        <v>0.17</v>
      </c>
      <c r="N13">
        <v>0.09</v>
      </c>
      <c r="O13">
        <v>36.1</v>
      </c>
      <c r="P13">
        <v>1</v>
      </c>
      <c r="Q13">
        <v>6.74</v>
      </c>
      <c r="R13">
        <v>305</v>
      </c>
      <c r="S13">
        <v>8.3800000000000008</v>
      </c>
      <c r="T13">
        <v>8.3800000000000008</v>
      </c>
      <c r="U13">
        <v>0.39200000000000002</v>
      </c>
      <c r="V13">
        <v>0.39200000000000002</v>
      </c>
      <c r="W13">
        <v>2.5400000000000001E-5</v>
      </c>
      <c r="X13">
        <v>1.21E-4</v>
      </c>
      <c r="Y13">
        <v>1.46E-4</v>
      </c>
      <c r="Z13">
        <v>1.7499999999999998E-5</v>
      </c>
      <c r="AA13" t="s">
        <v>44</v>
      </c>
      <c r="AB13">
        <v>3.16</v>
      </c>
      <c r="AC13" t="s">
        <v>45</v>
      </c>
      <c r="AD13" t="s">
        <v>46</v>
      </c>
      <c r="AE13">
        <v>0.2</v>
      </c>
      <c r="AF13" t="s">
        <v>47</v>
      </c>
      <c r="AG13">
        <v>8.9999999999999993E-3</v>
      </c>
      <c r="AH13">
        <v>5.0000000000000004E-6</v>
      </c>
      <c r="AI13" t="s">
        <v>49</v>
      </c>
      <c r="AJ13" t="s">
        <v>50</v>
      </c>
      <c r="AK13" t="s">
        <v>51</v>
      </c>
      <c r="AL13">
        <v>8.3800000000000008</v>
      </c>
      <c r="AM13">
        <v>5.0800000000000002E-5</v>
      </c>
      <c r="AN13">
        <v>8.8800000000000004E-5</v>
      </c>
      <c r="AO13" t="s">
        <v>52</v>
      </c>
      <c r="AP13" t="s">
        <v>53</v>
      </c>
      <c r="AQ13" t="s">
        <v>54</v>
      </c>
    </row>
    <row r="14" spans="1:43" x14ac:dyDescent="0.25">
      <c r="A14" t="s">
        <v>568</v>
      </c>
      <c r="B14" t="s">
        <v>102</v>
      </c>
      <c r="C14">
        <v>76.53</v>
      </c>
      <c r="D14">
        <v>139</v>
      </c>
      <c r="E14">
        <v>0.48199999999999998</v>
      </c>
      <c r="F14">
        <v>2968</v>
      </c>
      <c r="G14">
        <v>1.0999999999999999E-2</v>
      </c>
      <c r="H14">
        <v>9.3600000000000003E-2</v>
      </c>
      <c r="I14">
        <v>1.08E-5</v>
      </c>
      <c r="J14">
        <v>85.11</v>
      </c>
      <c r="K14">
        <v>39.6</v>
      </c>
      <c r="L14" t="s">
        <v>57</v>
      </c>
      <c r="M14">
        <v>2.97</v>
      </c>
      <c r="N14">
        <v>1.5840000000000001</v>
      </c>
      <c r="O14">
        <v>18</v>
      </c>
      <c r="P14">
        <v>1</v>
      </c>
      <c r="Q14">
        <v>1.2</v>
      </c>
      <c r="R14">
        <v>5.6</v>
      </c>
      <c r="S14">
        <v>5.6</v>
      </c>
      <c r="T14">
        <v>5.6</v>
      </c>
      <c r="U14">
        <v>1.7999999999999999E-2</v>
      </c>
      <c r="V14">
        <v>1.7999999999999999E-2</v>
      </c>
      <c r="W14">
        <v>6.7199999999999998E-7</v>
      </c>
      <c r="X14">
        <v>2.1299999999999999E-6</v>
      </c>
      <c r="Y14" t="s">
        <v>62</v>
      </c>
      <c r="Z14" t="s">
        <v>44</v>
      </c>
      <c r="AA14" t="s">
        <v>44</v>
      </c>
      <c r="AB14">
        <v>3.66</v>
      </c>
      <c r="AC14" t="s">
        <v>45</v>
      </c>
      <c r="AD14" t="s">
        <v>46</v>
      </c>
      <c r="AF14">
        <v>2.1000000000000001E-2</v>
      </c>
      <c r="AG14">
        <v>1E-3</v>
      </c>
      <c r="AH14">
        <v>6.0000000000000002E-6</v>
      </c>
      <c r="AI14" t="s">
        <v>49</v>
      </c>
      <c r="AJ14" t="s">
        <v>50</v>
      </c>
      <c r="AK14" t="s">
        <v>51</v>
      </c>
      <c r="AL14" t="s">
        <v>44</v>
      </c>
      <c r="AM14" t="s">
        <v>44</v>
      </c>
      <c r="AN14" t="s">
        <v>44</v>
      </c>
      <c r="AO14" t="s">
        <v>52</v>
      </c>
      <c r="AP14" t="s">
        <v>53</v>
      </c>
      <c r="AQ14" t="s">
        <v>54</v>
      </c>
    </row>
    <row r="15" spans="1:43" x14ac:dyDescent="0.25">
      <c r="A15" t="s">
        <v>561</v>
      </c>
      <c r="B15" t="s">
        <v>482</v>
      </c>
      <c r="C15">
        <v>169.23</v>
      </c>
      <c r="D15">
        <v>327</v>
      </c>
      <c r="E15">
        <v>1.24E-6</v>
      </c>
      <c r="F15">
        <v>223.9</v>
      </c>
      <c r="G15">
        <v>1.4600000000000001E-7</v>
      </c>
      <c r="H15">
        <v>6.2100000000000002E-2</v>
      </c>
      <c r="I15">
        <v>7.2599999999999999E-6</v>
      </c>
      <c r="J15">
        <v>724</v>
      </c>
      <c r="K15">
        <v>305.8</v>
      </c>
      <c r="M15">
        <v>22.934999999999999</v>
      </c>
      <c r="N15">
        <v>12.232000000000001</v>
      </c>
      <c r="P15">
        <v>1</v>
      </c>
      <c r="U15">
        <v>0.84499999999999997</v>
      </c>
      <c r="V15">
        <v>0.84499999999999997</v>
      </c>
      <c r="W15">
        <v>5.7200000000000003E-6</v>
      </c>
      <c r="X15">
        <v>1.8099999999999999E-5</v>
      </c>
      <c r="AB15">
        <v>35.799999999999997</v>
      </c>
      <c r="AF15">
        <v>21</v>
      </c>
      <c r="AH15">
        <v>6.0000000000000001E-3</v>
      </c>
      <c r="AJ15" t="s">
        <v>50</v>
      </c>
    </row>
    <row r="16" spans="1:43" x14ac:dyDescent="0.25">
      <c r="A16" t="s">
        <v>569</v>
      </c>
      <c r="B16" t="s">
        <v>103</v>
      </c>
      <c r="C16">
        <v>17</v>
      </c>
      <c r="D16">
        <v>196</v>
      </c>
      <c r="E16">
        <v>8.5</v>
      </c>
      <c r="F16">
        <v>480000</v>
      </c>
      <c r="G16">
        <v>3.01E-4</v>
      </c>
      <c r="H16">
        <v>0.28699999999999998</v>
      </c>
      <c r="I16">
        <v>3.3300000000000003E-5</v>
      </c>
      <c r="J16">
        <v>1.7</v>
      </c>
      <c r="K16">
        <v>1.69</v>
      </c>
      <c r="L16">
        <v>1.6899999999999998E-2</v>
      </c>
      <c r="M16">
        <v>0.126</v>
      </c>
      <c r="N16">
        <v>6.7400000000000002E-2</v>
      </c>
      <c r="O16">
        <v>253</v>
      </c>
      <c r="P16">
        <v>1</v>
      </c>
      <c r="Q16">
        <v>0.35</v>
      </c>
      <c r="R16">
        <v>20.7</v>
      </c>
      <c r="S16">
        <v>28.5</v>
      </c>
      <c r="T16">
        <v>28.5</v>
      </c>
      <c r="U16">
        <v>3.2699999999999998E-4</v>
      </c>
      <c r="V16">
        <v>3.2699999999999998E-4</v>
      </c>
      <c r="W16">
        <v>1.9199999999999999E-5</v>
      </c>
      <c r="X16">
        <v>9.1199999999999994E-5</v>
      </c>
      <c r="Y16">
        <v>1.1E-4</v>
      </c>
      <c r="Z16" t="s">
        <v>44</v>
      </c>
      <c r="AA16" t="s">
        <v>44</v>
      </c>
      <c r="AB16">
        <v>0.3</v>
      </c>
      <c r="AC16" t="s">
        <v>45</v>
      </c>
      <c r="AD16" t="s">
        <v>46</v>
      </c>
      <c r="AE16" t="s">
        <v>56</v>
      </c>
      <c r="AF16" t="s">
        <v>47</v>
      </c>
      <c r="AG16">
        <v>0.08</v>
      </c>
      <c r="AH16" t="s">
        <v>48</v>
      </c>
      <c r="AI16" t="s">
        <v>49</v>
      </c>
      <c r="AJ16" t="s">
        <v>50</v>
      </c>
      <c r="AK16" t="s">
        <v>51</v>
      </c>
      <c r="AL16">
        <v>28.5</v>
      </c>
      <c r="AM16">
        <v>3.8399999999999998E-5</v>
      </c>
      <c r="AN16">
        <v>6.7199999999999994E-5</v>
      </c>
      <c r="AO16" t="s">
        <v>52</v>
      </c>
      <c r="AP16" t="s">
        <v>53</v>
      </c>
      <c r="AQ16" t="s">
        <v>54</v>
      </c>
    </row>
    <row r="17" spans="1:43" x14ac:dyDescent="0.25">
      <c r="A17" t="s">
        <v>104</v>
      </c>
      <c r="B17" t="s">
        <v>105</v>
      </c>
      <c r="C17">
        <v>93.6</v>
      </c>
      <c r="D17">
        <v>267</v>
      </c>
      <c r="E17">
        <v>6.4499999999999996E-4</v>
      </c>
      <c r="F17">
        <v>36000</v>
      </c>
      <c r="G17">
        <v>1.9E-6</v>
      </c>
      <c r="H17">
        <v>7.0000000000000007E-2</v>
      </c>
      <c r="I17">
        <v>8.3000000000000002E-6</v>
      </c>
      <c r="J17">
        <v>7.94</v>
      </c>
      <c r="K17">
        <v>7.67</v>
      </c>
      <c r="L17">
        <v>1.2</v>
      </c>
      <c r="M17">
        <v>0.57999999999999996</v>
      </c>
      <c r="N17">
        <v>0.31</v>
      </c>
      <c r="O17" t="s">
        <v>57</v>
      </c>
      <c r="P17">
        <v>1</v>
      </c>
      <c r="Q17">
        <v>7.45</v>
      </c>
      <c r="R17">
        <v>6.21</v>
      </c>
      <c r="S17">
        <v>8.3800000000000008</v>
      </c>
      <c r="T17">
        <v>8.3800000000000008</v>
      </c>
      <c r="U17">
        <v>0.26700000000000002</v>
      </c>
      <c r="V17">
        <v>0.26700000000000002</v>
      </c>
      <c r="W17">
        <v>8.4099999999999998E-5</v>
      </c>
      <c r="X17">
        <v>4.0000000000000002E-4</v>
      </c>
      <c r="Y17">
        <v>4.84E-4</v>
      </c>
      <c r="Z17">
        <v>7.5900000000000002E-5</v>
      </c>
      <c r="AA17" t="s">
        <v>44</v>
      </c>
      <c r="AB17">
        <v>3.16</v>
      </c>
      <c r="AC17" t="s">
        <v>45</v>
      </c>
      <c r="AD17" t="s">
        <v>46</v>
      </c>
      <c r="AE17">
        <v>7.0000000000000001E-3</v>
      </c>
      <c r="AF17">
        <v>5.7000000000000002E-3</v>
      </c>
      <c r="AG17">
        <v>1E-3</v>
      </c>
      <c r="AH17">
        <v>1.5999999999999999E-6</v>
      </c>
      <c r="AI17" t="s">
        <v>49</v>
      </c>
      <c r="AJ17" t="s">
        <v>50</v>
      </c>
      <c r="AK17" t="s">
        <v>51</v>
      </c>
      <c r="AL17">
        <v>8.3800000000000008</v>
      </c>
      <c r="AM17">
        <v>1.6799999999999999E-4</v>
      </c>
      <c r="AN17">
        <v>2.9399999999999999E-4</v>
      </c>
      <c r="AO17" t="s">
        <v>52</v>
      </c>
      <c r="AP17" t="s">
        <v>53</v>
      </c>
      <c r="AQ17" t="s">
        <v>54</v>
      </c>
    </row>
    <row r="18" spans="1:43" x14ac:dyDescent="0.25">
      <c r="A18" t="s">
        <v>483</v>
      </c>
      <c r="B18" t="s">
        <v>486</v>
      </c>
      <c r="C18">
        <v>123.16</v>
      </c>
      <c r="D18">
        <v>280</v>
      </c>
      <c r="E18">
        <v>2.2000000000000001E-4</v>
      </c>
      <c r="F18">
        <v>9598</v>
      </c>
      <c r="G18">
        <v>9.2600000000000001E-7</v>
      </c>
      <c r="H18">
        <v>6.5199999999999994E-2</v>
      </c>
      <c r="I18">
        <v>8.9099999999999994E-6</v>
      </c>
      <c r="J18">
        <v>14</v>
      </c>
      <c r="K18">
        <v>45.92</v>
      </c>
      <c r="M18">
        <v>3.444</v>
      </c>
      <c r="N18">
        <v>1.8368000000000002</v>
      </c>
      <c r="P18">
        <v>1</v>
      </c>
      <c r="U18">
        <v>7.96</v>
      </c>
      <c r="V18">
        <v>7.96</v>
      </c>
      <c r="W18">
        <v>1.2700000000000001E-7</v>
      </c>
      <c r="X18">
        <v>3.7800000000000002E-7</v>
      </c>
      <c r="AB18">
        <v>2.79</v>
      </c>
      <c r="AF18">
        <v>0.14000000000000001</v>
      </c>
    </row>
    <row r="19" spans="1:43" x14ac:dyDescent="0.25">
      <c r="A19" t="s">
        <v>106</v>
      </c>
      <c r="B19" t="s">
        <v>107</v>
      </c>
      <c r="C19">
        <v>178</v>
      </c>
      <c r="D19">
        <v>493</v>
      </c>
      <c r="E19">
        <v>3.5499999999999999E-9</v>
      </c>
      <c r="F19">
        <v>4.2999999999999997E-2</v>
      </c>
      <c r="G19">
        <v>6.4999999999999994E-5</v>
      </c>
      <c r="H19">
        <v>1E-3</v>
      </c>
      <c r="I19">
        <v>1.0000000000000001E-5</v>
      </c>
      <c r="J19">
        <v>31600</v>
      </c>
      <c r="K19">
        <v>23500</v>
      </c>
      <c r="L19">
        <v>4500</v>
      </c>
      <c r="M19">
        <v>1760</v>
      </c>
      <c r="N19">
        <v>940</v>
      </c>
      <c r="O19">
        <v>0.55000000000000004</v>
      </c>
      <c r="P19">
        <v>0.998</v>
      </c>
      <c r="Q19">
        <v>678</v>
      </c>
      <c r="R19">
        <v>0.151</v>
      </c>
      <c r="S19">
        <v>9.7100000000000006E-2</v>
      </c>
      <c r="T19">
        <v>9.7100000000000006E-2</v>
      </c>
      <c r="U19">
        <v>53.3</v>
      </c>
      <c r="V19">
        <v>53.3</v>
      </c>
      <c r="W19">
        <v>7.1199999999999996E-3</v>
      </c>
      <c r="X19">
        <v>3.3799999999999997E-2</v>
      </c>
      <c r="Y19">
        <v>4.0899999999999999E-2</v>
      </c>
      <c r="Z19">
        <v>0.23499999999999999</v>
      </c>
      <c r="AA19" t="s">
        <v>44</v>
      </c>
      <c r="AB19">
        <v>582</v>
      </c>
      <c r="AC19">
        <v>1030</v>
      </c>
      <c r="AD19" t="s">
        <v>46</v>
      </c>
      <c r="AE19">
        <v>0.3</v>
      </c>
      <c r="AF19" t="s">
        <v>47</v>
      </c>
      <c r="AG19" t="s">
        <v>57</v>
      </c>
      <c r="AH19">
        <v>7.2000000000000005E-4</v>
      </c>
      <c r="AI19" t="s">
        <v>49</v>
      </c>
      <c r="AJ19" t="s">
        <v>50</v>
      </c>
      <c r="AK19" t="s">
        <v>72</v>
      </c>
      <c r="AL19">
        <v>9.7100000000000006E-2</v>
      </c>
      <c r="AM19">
        <v>1.4200000000000001E-2</v>
      </c>
      <c r="AN19">
        <v>2.4899999999999999E-2</v>
      </c>
      <c r="AO19" t="s">
        <v>52</v>
      </c>
      <c r="AP19" t="s">
        <v>53</v>
      </c>
      <c r="AQ19" t="s">
        <v>54</v>
      </c>
    </row>
    <row r="20" spans="1:43" x14ac:dyDescent="0.25">
      <c r="A20" t="s">
        <v>108</v>
      </c>
      <c r="B20" t="s">
        <v>109</v>
      </c>
      <c r="C20">
        <v>125</v>
      </c>
      <c r="D20">
        <v>903</v>
      </c>
      <c r="E20">
        <v>0</v>
      </c>
      <c r="F20">
        <v>23000</v>
      </c>
      <c r="G20">
        <v>2.5000000000000001E-2</v>
      </c>
      <c r="H20">
        <v>7.7200000000000005E-2</v>
      </c>
      <c r="I20">
        <v>9.5699999999999999E-6</v>
      </c>
      <c r="J20">
        <v>5.37</v>
      </c>
      <c r="K20" t="s">
        <v>44</v>
      </c>
      <c r="L20">
        <v>45</v>
      </c>
      <c r="M20">
        <v>45</v>
      </c>
      <c r="N20">
        <v>45</v>
      </c>
      <c r="O20" t="s">
        <v>57</v>
      </c>
      <c r="P20">
        <v>0</v>
      </c>
      <c r="Q20" t="s">
        <v>57</v>
      </c>
      <c r="R20">
        <v>0.03</v>
      </c>
      <c r="S20">
        <v>3.1899999999999998E-2</v>
      </c>
      <c r="T20">
        <v>0.2</v>
      </c>
      <c r="U20" t="s">
        <v>57</v>
      </c>
      <c r="V20" t="s">
        <v>57</v>
      </c>
      <c r="W20">
        <v>1E-4</v>
      </c>
      <c r="X20">
        <v>1E-3</v>
      </c>
      <c r="Y20" t="s">
        <v>62</v>
      </c>
      <c r="Z20" t="s">
        <v>44</v>
      </c>
      <c r="AA20" t="s">
        <v>44</v>
      </c>
      <c r="AB20">
        <v>40</v>
      </c>
      <c r="AC20" t="s">
        <v>45</v>
      </c>
      <c r="AD20" t="s">
        <v>46</v>
      </c>
      <c r="AE20">
        <v>4.0000000000000002E-4</v>
      </c>
      <c r="AF20" t="s">
        <v>47</v>
      </c>
      <c r="AG20">
        <v>2.0000000000000001E-4</v>
      </c>
      <c r="AH20" t="s">
        <v>48</v>
      </c>
      <c r="AI20" t="s">
        <v>49</v>
      </c>
      <c r="AJ20" t="s">
        <v>110</v>
      </c>
      <c r="AK20" t="s">
        <v>111</v>
      </c>
      <c r="AL20">
        <v>0.03</v>
      </c>
      <c r="AM20" t="s">
        <v>44</v>
      </c>
      <c r="AN20" t="s">
        <v>44</v>
      </c>
      <c r="AO20" t="s">
        <v>52</v>
      </c>
      <c r="AP20" t="s">
        <v>53</v>
      </c>
      <c r="AQ20" t="s">
        <v>54</v>
      </c>
    </row>
    <row r="21" spans="1:43" x14ac:dyDescent="0.25">
      <c r="A21" t="s">
        <v>112</v>
      </c>
      <c r="B21" t="s">
        <v>113</v>
      </c>
      <c r="C21">
        <v>78</v>
      </c>
      <c r="D21">
        <v>1090</v>
      </c>
      <c r="E21">
        <v>0</v>
      </c>
      <c r="F21">
        <v>34700</v>
      </c>
      <c r="G21">
        <v>0.77</v>
      </c>
      <c r="H21">
        <v>7.7200000000000005E-2</v>
      </c>
      <c r="I21">
        <v>9.5699999999999999E-6</v>
      </c>
      <c r="J21">
        <v>4.79</v>
      </c>
      <c r="K21" t="s">
        <v>44</v>
      </c>
      <c r="L21">
        <v>29</v>
      </c>
      <c r="M21">
        <v>29</v>
      </c>
      <c r="N21">
        <v>29</v>
      </c>
      <c r="O21" t="s">
        <v>57</v>
      </c>
      <c r="P21">
        <v>0</v>
      </c>
      <c r="Q21" t="s">
        <v>57</v>
      </c>
      <c r="R21">
        <v>8.0000000000000002E-3</v>
      </c>
      <c r="S21">
        <v>6.3299999999999997E-3</v>
      </c>
      <c r="T21">
        <v>3.5999999999999997E-2</v>
      </c>
      <c r="U21" t="s">
        <v>57</v>
      </c>
      <c r="V21" t="s">
        <v>57</v>
      </c>
      <c r="W21">
        <v>6.0000000000000002E-5</v>
      </c>
      <c r="X21">
        <v>2E-3</v>
      </c>
      <c r="Y21" t="s">
        <v>62</v>
      </c>
      <c r="Z21" t="s">
        <v>44</v>
      </c>
      <c r="AA21" t="s">
        <v>44</v>
      </c>
      <c r="AB21">
        <v>114</v>
      </c>
      <c r="AC21" t="s">
        <v>45</v>
      </c>
      <c r="AD21" t="s">
        <v>46</v>
      </c>
      <c r="AE21">
        <v>2.9999999999999997E-4</v>
      </c>
      <c r="AF21">
        <v>1.5</v>
      </c>
      <c r="AG21">
        <v>1.5E-5</v>
      </c>
      <c r="AH21">
        <v>4.3E-3</v>
      </c>
      <c r="AI21" t="s">
        <v>49</v>
      </c>
      <c r="AJ21" t="s">
        <v>110</v>
      </c>
      <c r="AK21" t="s">
        <v>111</v>
      </c>
      <c r="AL21">
        <v>4.0000000000000001E-3</v>
      </c>
      <c r="AM21" t="s">
        <v>44</v>
      </c>
      <c r="AN21" t="s">
        <v>44</v>
      </c>
      <c r="AO21" t="s">
        <v>52</v>
      </c>
      <c r="AP21" t="s">
        <v>53</v>
      </c>
      <c r="AQ21" t="s">
        <v>54</v>
      </c>
    </row>
    <row r="22" spans="1:43" x14ac:dyDescent="0.25">
      <c r="A22" t="s">
        <v>723</v>
      </c>
      <c r="B22" t="s">
        <v>724</v>
      </c>
      <c r="C22">
        <v>137.33000000000001</v>
      </c>
      <c r="D22">
        <v>984</v>
      </c>
      <c r="E22">
        <v>2.4999999999999998E-40</v>
      </c>
      <c r="F22">
        <v>54700</v>
      </c>
      <c r="G22">
        <v>2.4500000000000001E-2</v>
      </c>
      <c r="J22">
        <v>1.7</v>
      </c>
      <c r="K22">
        <v>13.2</v>
      </c>
      <c r="L22">
        <v>41</v>
      </c>
      <c r="P22">
        <v>1</v>
      </c>
      <c r="U22">
        <v>0.15</v>
      </c>
      <c r="V22">
        <v>0.15</v>
      </c>
      <c r="W22">
        <v>3.5E-4</v>
      </c>
      <c r="X22">
        <v>1.4999999999999999E-4</v>
      </c>
      <c r="AB22">
        <v>0.96079999999999999</v>
      </c>
      <c r="AC22">
        <v>0.96079999999999999</v>
      </c>
      <c r="AE22">
        <v>0.2</v>
      </c>
      <c r="AJ22" t="s">
        <v>110</v>
      </c>
      <c r="AK22" t="s">
        <v>111</v>
      </c>
    </row>
    <row r="23" spans="1:43" x14ac:dyDescent="0.25">
      <c r="A23" t="s">
        <v>120</v>
      </c>
      <c r="B23" t="s">
        <v>121</v>
      </c>
      <c r="C23">
        <v>78.099999999999994</v>
      </c>
      <c r="D23">
        <v>279</v>
      </c>
      <c r="E23">
        <v>0.125</v>
      </c>
      <c r="F23">
        <v>1800</v>
      </c>
      <c r="G23">
        <v>5.5999999999999999E-3</v>
      </c>
      <c r="H23">
        <v>8.7999999999999995E-2</v>
      </c>
      <c r="I23">
        <v>1.0200000000000001E-5</v>
      </c>
      <c r="J23">
        <v>126</v>
      </c>
      <c r="K23">
        <v>61.7</v>
      </c>
      <c r="L23">
        <v>0.12</v>
      </c>
      <c r="M23">
        <v>4.63</v>
      </c>
      <c r="N23">
        <v>2.4700000000000002</v>
      </c>
      <c r="O23">
        <v>15.8</v>
      </c>
      <c r="P23">
        <v>1</v>
      </c>
      <c r="Q23">
        <v>9.6199999999999992</v>
      </c>
      <c r="R23">
        <v>80.099999999999994</v>
      </c>
      <c r="S23">
        <v>2.37</v>
      </c>
      <c r="T23">
        <v>2.37</v>
      </c>
      <c r="U23">
        <v>1.72E-3</v>
      </c>
      <c r="V23">
        <v>1.72E-3</v>
      </c>
      <c r="W23">
        <v>7.1199999999999996E-4</v>
      </c>
      <c r="X23">
        <v>3.3800000000000002E-3</v>
      </c>
      <c r="Y23">
        <v>4.0899999999999999E-3</v>
      </c>
      <c r="Z23">
        <v>1.09E-3</v>
      </c>
      <c r="AA23" t="s">
        <v>44</v>
      </c>
      <c r="AB23">
        <v>8.26</v>
      </c>
      <c r="AC23" t="s">
        <v>45</v>
      </c>
      <c r="AD23" t="s">
        <v>46</v>
      </c>
      <c r="AE23">
        <v>4.0000000000000001E-3</v>
      </c>
      <c r="AF23">
        <v>5.5E-2</v>
      </c>
      <c r="AG23">
        <v>0.03</v>
      </c>
      <c r="AH23">
        <v>7.7999999999999999E-6</v>
      </c>
      <c r="AI23" t="s">
        <v>49</v>
      </c>
      <c r="AJ23" t="s">
        <v>50</v>
      </c>
      <c r="AK23" t="s">
        <v>51</v>
      </c>
      <c r="AL23">
        <v>2.37</v>
      </c>
      <c r="AM23">
        <v>1.42E-3</v>
      </c>
      <c r="AN23">
        <v>2.49E-3</v>
      </c>
      <c r="AO23" t="s">
        <v>52</v>
      </c>
      <c r="AP23" t="s">
        <v>53</v>
      </c>
      <c r="AQ23" t="s">
        <v>54</v>
      </c>
    </row>
    <row r="24" spans="1:43" x14ac:dyDescent="0.25">
      <c r="A24" t="s">
        <v>484</v>
      </c>
      <c r="B24" t="s">
        <v>485</v>
      </c>
      <c r="C24">
        <v>184.24</v>
      </c>
      <c r="D24">
        <v>394</v>
      </c>
      <c r="E24">
        <v>7.8599999999999993E-6</v>
      </c>
      <c r="F24">
        <v>3765</v>
      </c>
      <c r="G24">
        <v>5.7799999999999997E-11</v>
      </c>
      <c r="H24">
        <v>3.5099999999999999E-2</v>
      </c>
      <c r="I24">
        <v>7.4800000000000004E-6</v>
      </c>
      <c r="J24">
        <v>22</v>
      </c>
      <c r="K24">
        <v>1190</v>
      </c>
      <c r="M24">
        <v>89.25</v>
      </c>
      <c r="N24">
        <v>47.6</v>
      </c>
      <c r="P24">
        <v>1</v>
      </c>
      <c r="U24">
        <v>6.43</v>
      </c>
      <c r="V24">
        <v>6.43</v>
      </c>
      <c r="W24">
        <v>1.73E-7</v>
      </c>
      <c r="X24">
        <v>5.4700000000000001E-7</v>
      </c>
      <c r="AB24">
        <v>3.56</v>
      </c>
      <c r="AE24">
        <v>3.0000000000000001E-3</v>
      </c>
      <c r="AF24">
        <v>230</v>
      </c>
    </row>
    <row r="25" spans="1:43" x14ac:dyDescent="0.25">
      <c r="A25" t="s">
        <v>716</v>
      </c>
      <c r="B25" t="s">
        <v>123</v>
      </c>
      <c r="C25">
        <v>228</v>
      </c>
      <c r="D25">
        <v>357</v>
      </c>
      <c r="E25">
        <v>1.4499999999999999E-10</v>
      </c>
      <c r="F25">
        <v>9.4000000000000004E-3</v>
      </c>
      <c r="G25">
        <v>3.4000000000000001E-6</v>
      </c>
      <c r="H25">
        <v>5.0999999999999997E-2</v>
      </c>
      <c r="I25">
        <v>9.0000000000000002E-6</v>
      </c>
      <c r="J25">
        <v>501000</v>
      </c>
      <c r="K25">
        <v>358000</v>
      </c>
      <c r="L25">
        <v>60000</v>
      </c>
      <c r="M25">
        <v>26900</v>
      </c>
      <c r="N25">
        <v>14300</v>
      </c>
      <c r="O25">
        <v>0.37</v>
      </c>
      <c r="P25">
        <v>0.48299999999999998</v>
      </c>
      <c r="Q25">
        <v>5690</v>
      </c>
      <c r="R25">
        <v>9.4799999999999995E-2</v>
      </c>
      <c r="S25">
        <v>1.9699999999999999E-2</v>
      </c>
      <c r="T25">
        <v>1.9699999999999999E-2</v>
      </c>
      <c r="U25">
        <v>19300</v>
      </c>
      <c r="V25">
        <v>19300</v>
      </c>
      <c r="W25">
        <v>8.4100000000000008E-3</v>
      </c>
      <c r="X25">
        <v>3.9899999999999998E-2</v>
      </c>
      <c r="Y25">
        <v>4.8300000000000003E-2</v>
      </c>
      <c r="Z25">
        <v>3.79</v>
      </c>
      <c r="AA25" t="s">
        <v>44</v>
      </c>
      <c r="AB25">
        <v>4890</v>
      </c>
      <c r="AC25">
        <v>49900</v>
      </c>
      <c r="AD25" t="s">
        <v>46</v>
      </c>
      <c r="AE25" t="s">
        <v>56</v>
      </c>
      <c r="AF25">
        <v>0.34</v>
      </c>
      <c r="AG25" t="s">
        <v>57</v>
      </c>
      <c r="AH25">
        <v>3.6000000000000002E-4</v>
      </c>
      <c r="AI25" t="s">
        <v>49</v>
      </c>
      <c r="AJ25" t="s">
        <v>50</v>
      </c>
      <c r="AK25" t="s">
        <v>72</v>
      </c>
      <c r="AL25">
        <v>1.9699999999999999E-2</v>
      </c>
      <c r="AM25">
        <v>1.6799999999999999E-2</v>
      </c>
      <c r="AN25">
        <v>2.9399999999999999E-2</v>
      </c>
      <c r="AO25" t="s">
        <v>52</v>
      </c>
      <c r="AP25" t="s">
        <v>53</v>
      </c>
      <c r="AQ25" t="s">
        <v>54</v>
      </c>
    </row>
    <row r="26" spans="1:43" x14ac:dyDescent="0.25">
      <c r="A26" t="s">
        <v>727</v>
      </c>
      <c r="B26" t="s">
        <v>728</v>
      </c>
      <c r="C26">
        <v>252</v>
      </c>
      <c r="D26">
        <v>441</v>
      </c>
      <c r="E26">
        <v>1.06E-10</v>
      </c>
      <c r="F26">
        <v>2E-3</v>
      </c>
      <c r="G26">
        <v>8.0999999999999997E-7</v>
      </c>
      <c r="H26">
        <v>2.2800000000000001E-2</v>
      </c>
      <c r="I26">
        <v>5.49E-6</v>
      </c>
      <c r="J26">
        <v>1290000</v>
      </c>
      <c r="K26">
        <v>600000</v>
      </c>
      <c r="L26">
        <v>8360</v>
      </c>
      <c r="M26">
        <v>62700</v>
      </c>
      <c r="N26">
        <v>33400</v>
      </c>
      <c r="O26">
        <v>0.41499999999999998</v>
      </c>
      <c r="P26">
        <v>0.94120000000000004</v>
      </c>
      <c r="Q26">
        <v>13900</v>
      </c>
      <c r="R26">
        <v>1.66</v>
      </c>
      <c r="S26">
        <v>1.01E-2</v>
      </c>
      <c r="T26">
        <v>1.01E-2</v>
      </c>
      <c r="U26">
        <v>36500</v>
      </c>
      <c r="V26">
        <v>36500</v>
      </c>
      <c r="W26">
        <v>1.2699999999999999E-2</v>
      </c>
      <c r="X26">
        <v>0.04</v>
      </c>
      <c r="Y26">
        <v>4.8399999999999999E-2</v>
      </c>
      <c r="Z26">
        <v>12.7</v>
      </c>
      <c r="AA26" t="s">
        <v>44</v>
      </c>
      <c r="AB26">
        <v>9930</v>
      </c>
      <c r="AC26">
        <v>9950</v>
      </c>
      <c r="AD26" t="s">
        <v>46</v>
      </c>
      <c r="AE26" t="s">
        <v>56</v>
      </c>
      <c r="AF26">
        <v>0.28000000000000003</v>
      </c>
      <c r="AG26" t="s">
        <v>57</v>
      </c>
      <c r="AH26">
        <v>5.4000000000000001E-4</v>
      </c>
      <c r="AI26" t="s">
        <v>49</v>
      </c>
      <c r="AJ26" t="s">
        <v>50</v>
      </c>
      <c r="AK26" t="s">
        <v>72</v>
      </c>
      <c r="AL26">
        <v>1.15E-2</v>
      </c>
      <c r="AM26">
        <v>1.54E-2</v>
      </c>
      <c r="AN26">
        <v>2.69E-2</v>
      </c>
      <c r="AO26" t="s">
        <v>52</v>
      </c>
      <c r="AP26" t="s">
        <v>53</v>
      </c>
      <c r="AQ26" t="s">
        <v>54</v>
      </c>
    </row>
    <row r="27" spans="1:43" x14ac:dyDescent="0.25">
      <c r="A27" t="s">
        <v>717</v>
      </c>
      <c r="B27" t="s">
        <v>125</v>
      </c>
      <c r="C27">
        <v>252</v>
      </c>
      <c r="D27">
        <v>453</v>
      </c>
      <c r="E27">
        <v>7.2399999999999998E-12</v>
      </c>
      <c r="F27">
        <v>1.6000000000000001E-3</v>
      </c>
      <c r="G27">
        <v>1.1000000000000001E-6</v>
      </c>
      <c r="H27">
        <v>4.2999999999999997E-2</v>
      </c>
      <c r="I27">
        <v>9.0000000000000002E-6</v>
      </c>
      <c r="J27">
        <v>1000000</v>
      </c>
      <c r="K27">
        <v>969000</v>
      </c>
      <c r="L27">
        <v>160000</v>
      </c>
      <c r="M27">
        <v>72700</v>
      </c>
      <c r="N27">
        <v>38800</v>
      </c>
      <c r="O27">
        <v>0.48</v>
      </c>
      <c r="P27">
        <v>0.29399999999999998</v>
      </c>
      <c r="Q27">
        <v>9680</v>
      </c>
      <c r="R27">
        <v>6.0499999999999998E-2</v>
      </c>
      <c r="S27">
        <v>1.32E-2</v>
      </c>
      <c r="T27">
        <v>1.32E-2</v>
      </c>
      <c r="U27">
        <v>125000</v>
      </c>
      <c r="V27">
        <v>125000</v>
      </c>
      <c r="W27">
        <v>7.9100000000000004E-3</v>
      </c>
      <c r="X27">
        <v>3.7600000000000001E-2</v>
      </c>
      <c r="Y27">
        <v>4.5499999999999999E-2</v>
      </c>
      <c r="Z27">
        <v>10.7</v>
      </c>
      <c r="AA27" t="s">
        <v>44</v>
      </c>
      <c r="AB27">
        <v>961.6</v>
      </c>
      <c r="AC27">
        <v>1165</v>
      </c>
      <c r="AD27" t="s">
        <v>46</v>
      </c>
      <c r="AE27" t="s">
        <v>56</v>
      </c>
      <c r="AF27">
        <v>1.7</v>
      </c>
      <c r="AG27" t="s">
        <v>57</v>
      </c>
      <c r="AH27">
        <v>1.8E-3</v>
      </c>
      <c r="AI27" t="s">
        <v>49</v>
      </c>
      <c r="AJ27" t="s">
        <v>50</v>
      </c>
      <c r="AK27" t="s">
        <v>72</v>
      </c>
      <c r="AL27">
        <v>1.32E-2</v>
      </c>
      <c r="AM27">
        <v>1.5800000000000002E-2</v>
      </c>
      <c r="AN27">
        <v>2.7699999999999999E-2</v>
      </c>
      <c r="AO27" t="s">
        <v>52</v>
      </c>
      <c r="AP27" t="s">
        <v>53</v>
      </c>
      <c r="AQ27" t="s">
        <v>54</v>
      </c>
    </row>
    <row r="28" spans="1:43" x14ac:dyDescent="0.25">
      <c r="A28" t="s">
        <v>729</v>
      </c>
      <c r="B28" t="s">
        <v>730</v>
      </c>
      <c r="C28">
        <v>228</v>
      </c>
      <c r="D28">
        <v>409</v>
      </c>
      <c r="E28">
        <v>2E-12</v>
      </c>
      <c r="F28">
        <v>2.6349999999999998E-2</v>
      </c>
      <c r="G28">
        <v>5.0000000000000004E-6</v>
      </c>
      <c r="J28">
        <v>330000</v>
      </c>
      <c r="K28">
        <v>180000</v>
      </c>
      <c r="L28">
        <v>8360</v>
      </c>
      <c r="M28">
        <v>62700</v>
      </c>
      <c r="N28">
        <v>33400</v>
      </c>
      <c r="O28">
        <v>0.41499999999999998</v>
      </c>
      <c r="P28">
        <v>0.60799999999999998</v>
      </c>
      <c r="Q28">
        <v>13900</v>
      </c>
      <c r="R28">
        <v>1.66</v>
      </c>
      <c r="S28">
        <v>1.01E-2</v>
      </c>
      <c r="T28">
        <v>1.01E-2</v>
      </c>
      <c r="U28">
        <v>36500</v>
      </c>
      <c r="V28">
        <v>36500</v>
      </c>
      <c r="W28">
        <v>1.2699999999999999E-2</v>
      </c>
      <c r="X28">
        <v>0.04</v>
      </c>
      <c r="Y28">
        <v>4.8399999999999999E-2</v>
      </c>
      <c r="Z28">
        <v>12.7</v>
      </c>
      <c r="AA28" t="s">
        <v>44</v>
      </c>
      <c r="AB28">
        <v>1364</v>
      </c>
      <c r="AC28">
        <v>1993</v>
      </c>
    </row>
    <row r="29" spans="1:43" x14ac:dyDescent="0.25">
      <c r="A29" t="s">
        <v>718</v>
      </c>
      <c r="B29" t="s">
        <v>127</v>
      </c>
      <c r="C29">
        <v>252</v>
      </c>
      <c r="D29">
        <v>441</v>
      </c>
      <c r="E29">
        <v>6.58E-10</v>
      </c>
      <c r="F29">
        <v>1.5E-3</v>
      </c>
      <c r="G29">
        <v>1.11E-4</v>
      </c>
      <c r="H29">
        <v>1E-3</v>
      </c>
      <c r="I29">
        <v>1.0000000000000001E-5</v>
      </c>
      <c r="J29">
        <v>1330000</v>
      </c>
      <c r="K29">
        <v>1050000</v>
      </c>
      <c r="L29">
        <v>10500</v>
      </c>
      <c r="M29">
        <v>78600</v>
      </c>
      <c r="N29">
        <v>41900</v>
      </c>
      <c r="O29">
        <v>0.41</v>
      </c>
      <c r="P29">
        <v>0.96599999999999997</v>
      </c>
      <c r="Q29">
        <v>12100</v>
      </c>
      <c r="R29">
        <v>1.1499999999999999</v>
      </c>
      <c r="S29">
        <v>1.12E-2</v>
      </c>
      <c r="T29">
        <v>1.12E-2</v>
      </c>
      <c r="U29">
        <v>1680</v>
      </c>
      <c r="V29">
        <v>1680</v>
      </c>
      <c r="W29">
        <v>7.62E-3</v>
      </c>
      <c r="X29">
        <v>3.6200000000000003E-2</v>
      </c>
      <c r="Y29">
        <v>4.3799999999999999E-2</v>
      </c>
      <c r="Z29">
        <v>12.7</v>
      </c>
      <c r="AA29" t="s">
        <v>44</v>
      </c>
      <c r="AB29">
        <v>10400</v>
      </c>
      <c r="AC29">
        <v>206000</v>
      </c>
      <c r="AD29" t="s">
        <v>46</v>
      </c>
      <c r="AE29" t="s">
        <v>56</v>
      </c>
      <c r="AF29">
        <v>1.4</v>
      </c>
      <c r="AG29" t="s">
        <v>57</v>
      </c>
      <c r="AH29">
        <v>1.4E-3</v>
      </c>
      <c r="AI29" t="s">
        <v>49</v>
      </c>
      <c r="AJ29" t="s">
        <v>50</v>
      </c>
      <c r="AK29" t="s">
        <v>72</v>
      </c>
      <c r="AL29">
        <v>1.12E-2</v>
      </c>
      <c r="AM29">
        <v>1.52E-2</v>
      </c>
      <c r="AN29">
        <v>2.6700000000000002E-2</v>
      </c>
      <c r="AO29" t="s">
        <v>52</v>
      </c>
      <c r="AP29" t="s">
        <v>53</v>
      </c>
      <c r="AQ29" t="s">
        <v>54</v>
      </c>
    </row>
    <row r="30" spans="1:43" x14ac:dyDescent="0.25">
      <c r="A30" t="s">
        <v>586</v>
      </c>
      <c r="B30" t="s">
        <v>129</v>
      </c>
      <c r="C30">
        <v>252</v>
      </c>
      <c r="D30">
        <v>451</v>
      </c>
      <c r="E30">
        <v>2.5400000000000001E-11</v>
      </c>
      <c r="F30">
        <v>5.64E-3</v>
      </c>
      <c r="G30">
        <v>8.0999999999999997E-7</v>
      </c>
      <c r="H30">
        <v>4.2999999999999997E-2</v>
      </c>
      <c r="I30">
        <v>9.0000000000000002E-6</v>
      </c>
      <c r="J30">
        <v>2800000</v>
      </c>
      <c r="K30">
        <v>599000</v>
      </c>
      <c r="L30">
        <v>160000</v>
      </c>
      <c r="M30">
        <v>44925</v>
      </c>
      <c r="N30">
        <v>23960</v>
      </c>
      <c r="O30">
        <v>0.48</v>
      </c>
      <c r="P30">
        <v>0.29399999999999998</v>
      </c>
      <c r="Q30">
        <v>9680</v>
      </c>
      <c r="R30">
        <v>6.0499999999999998E-2</v>
      </c>
      <c r="S30">
        <v>1.32E-2</v>
      </c>
      <c r="T30">
        <v>1.32E-2</v>
      </c>
      <c r="U30">
        <v>125000</v>
      </c>
      <c r="V30">
        <v>125000</v>
      </c>
      <c r="W30">
        <v>7.9100000000000004E-3</v>
      </c>
      <c r="X30">
        <v>3.7600000000000001E-2</v>
      </c>
      <c r="Y30">
        <v>4.5499999999999999E-2</v>
      </c>
      <c r="Z30">
        <v>10.7</v>
      </c>
      <c r="AA30" t="s">
        <v>44</v>
      </c>
      <c r="AB30">
        <v>8320</v>
      </c>
      <c r="AC30">
        <v>133000</v>
      </c>
      <c r="AD30" t="s">
        <v>46</v>
      </c>
      <c r="AE30" t="s">
        <v>56</v>
      </c>
      <c r="AF30" t="s">
        <v>47</v>
      </c>
      <c r="AG30" t="s">
        <v>57</v>
      </c>
      <c r="AH30" t="s">
        <v>48</v>
      </c>
      <c r="AI30" t="s">
        <v>49</v>
      </c>
      <c r="AJ30" t="s">
        <v>50</v>
      </c>
      <c r="AK30" t="s">
        <v>72</v>
      </c>
      <c r="AL30">
        <v>1.32E-2</v>
      </c>
      <c r="AM30">
        <v>1.5800000000000002E-2</v>
      </c>
      <c r="AN30">
        <v>2.7699999999999999E-2</v>
      </c>
      <c r="AO30" t="s">
        <v>52</v>
      </c>
      <c r="AP30" t="s">
        <v>53</v>
      </c>
      <c r="AQ30" t="s">
        <v>54</v>
      </c>
    </row>
    <row r="31" spans="1:43" x14ac:dyDescent="0.25">
      <c r="A31" t="s">
        <v>587</v>
      </c>
      <c r="B31" t="s">
        <v>131</v>
      </c>
      <c r="C31">
        <v>226.28</v>
      </c>
      <c r="D31">
        <v>427</v>
      </c>
      <c r="E31">
        <v>1.8465000000000001E-11</v>
      </c>
      <c r="F31">
        <v>5.8050000000000003E-3</v>
      </c>
      <c r="G31">
        <v>8.1500000000000003E-7</v>
      </c>
      <c r="H31">
        <v>2.4300000000000002E-2</v>
      </c>
      <c r="I31">
        <v>7.7800000000000001E-6</v>
      </c>
      <c r="J31">
        <v>1275000</v>
      </c>
      <c r="K31">
        <v>795500</v>
      </c>
      <c r="L31">
        <v>10500</v>
      </c>
      <c r="M31">
        <v>59662.5</v>
      </c>
      <c r="N31">
        <v>31830</v>
      </c>
      <c r="O31">
        <v>0.12</v>
      </c>
      <c r="P31">
        <v>0.3755</v>
      </c>
      <c r="Q31">
        <v>12100</v>
      </c>
      <c r="R31">
        <v>1.1499999999999999</v>
      </c>
      <c r="S31">
        <v>1.12E-2</v>
      </c>
      <c r="T31">
        <v>1.12E-2</v>
      </c>
      <c r="U31">
        <v>105500.0055</v>
      </c>
      <c r="V31">
        <v>105500.0055</v>
      </c>
      <c r="W31">
        <v>8.94E-3</v>
      </c>
      <c r="X31">
        <v>3.4349999999999999E-2</v>
      </c>
      <c r="Y31">
        <v>4.3799999999999999E-2</v>
      </c>
      <c r="Z31">
        <v>12.7</v>
      </c>
      <c r="AA31" t="s">
        <v>44</v>
      </c>
      <c r="AB31">
        <v>7460</v>
      </c>
      <c r="AC31">
        <v>177000</v>
      </c>
      <c r="AD31" t="s">
        <v>46</v>
      </c>
      <c r="AE31" t="s">
        <v>56</v>
      </c>
      <c r="AF31" t="s">
        <v>47</v>
      </c>
      <c r="AG31" t="s">
        <v>57</v>
      </c>
      <c r="AH31" t="s">
        <v>48</v>
      </c>
      <c r="AI31" t="s">
        <v>49</v>
      </c>
      <c r="AJ31" t="s">
        <v>50</v>
      </c>
      <c r="AK31" t="s">
        <v>72</v>
      </c>
      <c r="AL31">
        <v>1.15E-2</v>
      </c>
      <c r="AM31">
        <v>1.54E-2</v>
      </c>
      <c r="AN31">
        <v>2.69E-2</v>
      </c>
      <c r="AO31" t="s">
        <v>52</v>
      </c>
      <c r="AP31" t="s">
        <v>53</v>
      </c>
      <c r="AQ31" t="s">
        <v>54</v>
      </c>
    </row>
    <row r="32" spans="1:43" x14ac:dyDescent="0.25">
      <c r="A32" t="s">
        <v>588</v>
      </c>
      <c r="B32" t="s">
        <v>133</v>
      </c>
      <c r="C32">
        <v>276.33</v>
      </c>
      <c r="D32">
        <v>551</v>
      </c>
      <c r="E32">
        <v>1.31E-13</v>
      </c>
      <c r="F32">
        <v>2.5999999999999998E-4</v>
      </c>
      <c r="G32">
        <v>2.6600000000000003E-7</v>
      </c>
      <c r="H32">
        <v>4.48E-2</v>
      </c>
      <c r="I32">
        <v>5.2299999999999999E-6</v>
      </c>
      <c r="J32">
        <v>4270000</v>
      </c>
      <c r="K32">
        <v>1950000</v>
      </c>
      <c r="L32">
        <v>160000</v>
      </c>
      <c r="M32">
        <v>146250</v>
      </c>
      <c r="N32">
        <v>78000</v>
      </c>
      <c r="O32">
        <v>0.48</v>
      </c>
      <c r="P32">
        <v>0.29399999999999998</v>
      </c>
      <c r="Q32">
        <v>9680</v>
      </c>
      <c r="R32">
        <v>6.0499999999999998E-2</v>
      </c>
      <c r="S32">
        <v>1.32E-2</v>
      </c>
      <c r="T32">
        <v>1.32E-2</v>
      </c>
      <c r="U32">
        <v>5.4999999999999997E-3</v>
      </c>
      <c r="V32">
        <v>5.4999999999999997E-3</v>
      </c>
      <c r="W32">
        <v>3.3700000000000001E-2</v>
      </c>
      <c r="X32">
        <v>0.10100000000000001</v>
      </c>
      <c r="Y32">
        <v>4.5499999999999999E-2</v>
      </c>
      <c r="Z32">
        <v>10.7</v>
      </c>
      <c r="AA32" t="s">
        <v>44</v>
      </c>
      <c r="AB32">
        <v>11000</v>
      </c>
      <c r="AC32">
        <v>133000</v>
      </c>
      <c r="AD32" t="s">
        <v>46</v>
      </c>
      <c r="AE32" t="s">
        <v>56</v>
      </c>
      <c r="AF32">
        <v>1.4999999999999999E-2</v>
      </c>
      <c r="AG32" t="s">
        <v>57</v>
      </c>
      <c r="AH32">
        <v>1.5999999999999999E-5</v>
      </c>
      <c r="AI32" t="s">
        <v>49</v>
      </c>
      <c r="AJ32" t="s">
        <v>50</v>
      </c>
      <c r="AK32" t="s">
        <v>72</v>
      </c>
      <c r="AL32">
        <v>1.32E-2</v>
      </c>
      <c r="AM32">
        <v>1.5800000000000002E-2</v>
      </c>
      <c r="AN32">
        <v>2.7699999999999999E-2</v>
      </c>
      <c r="AO32" t="s">
        <v>52</v>
      </c>
      <c r="AP32" t="s">
        <v>53</v>
      </c>
      <c r="AQ32" t="s">
        <v>54</v>
      </c>
    </row>
    <row r="33" spans="1:43" x14ac:dyDescent="0.25">
      <c r="A33" t="s">
        <v>725</v>
      </c>
      <c r="B33" t="s">
        <v>726</v>
      </c>
      <c r="C33">
        <v>252</v>
      </c>
      <c r="D33">
        <v>441</v>
      </c>
      <c r="E33">
        <v>1.06E-10</v>
      </c>
      <c r="F33">
        <v>4.3299999999999996E-3</v>
      </c>
      <c r="G33">
        <v>6.1800000000000001E-6</v>
      </c>
      <c r="H33">
        <v>2.2800000000000001E-2</v>
      </c>
      <c r="I33">
        <v>5.49E-6</v>
      </c>
      <c r="J33">
        <v>1590000</v>
      </c>
      <c r="K33">
        <v>836000</v>
      </c>
      <c r="L33">
        <v>8360</v>
      </c>
      <c r="M33">
        <v>62700</v>
      </c>
      <c r="N33">
        <v>33400</v>
      </c>
      <c r="O33">
        <v>0.41499999999999998</v>
      </c>
      <c r="P33">
        <v>0.82199999999999995</v>
      </c>
      <c r="Q33">
        <v>13900</v>
      </c>
      <c r="R33">
        <v>1.66</v>
      </c>
      <c r="S33">
        <v>1.01E-2</v>
      </c>
      <c r="T33">
        <v>1.01E-2</v>
      </c>
      <c r="U33">
        <v>36500</v>
      </c>
      <c r="V33">
        <v>36500</v>
      </c>
      <c r="W33">
        <v>1.2699999999999999E-2</v>
      </c>
      <c r="X33">
        <v>0.04</v>
      </c>
      <c r="Y33">
        <v>4.8399999999999999E-2</v>
      </c>
      <c r="Z33">
        <v>12.7</v>
      </c>
      <c r="AA33" t="s">
        <v>44</v>
      </c>
      <c r="AB33">
        <v>9930</v>
      </c>
      <c r="AC33">
        <v>9950</v>
      </c>
      <c r="AD33" t="s">
        <v>46</v>
      </c>
      <c r="AE33" t="s">
        <v>56</v>
      </c>
      <c r="AF33">
        <v>0.28000000000000003</v>
      </c>
      <c r="AG33" t="s">
        <v>57</v>
      </c>
      <c r="AH33">
        <v>5.4000000000000001E-4</v>
      </c>
      <c r="AI33" t="s">
        <v>49</v>
      </c>
      <c r="AJ33" t="s">
        <v>50</v>
      </c>
      <c r="AK33" t="s">
        <v>72</v>
      </c>
      <c r="AL33">
        <v>1.15E-2</v>
      </c>
      <c r="AM33">
        <v>1.54E-2</v>
      </c>
      <c r="AN33">
        <v>2.69E-2</v>
      </c>
      <c r="AO33" t="s">
        <v>52</v>
      </c>
      <c r="AP33" t="s">
        <v>53</v>
      </c>
      <c r="AQ33" t="s">
        <v>54</v>
      </c>
    </row>
    <row r="34" spans="1:43" x14ac:dyDescent="0.25">
      <c r="A34" t="s">
        <v>589</v>
      </c>
      <c r="B34" t="s">
        <v>135</v>
      </c>
      <c r="C34">
        <v>252.32</v>
      </c>
      <c r="D34">
        <v>443</v>
      </c>
      <c r="E34">
        <v>3.43E-11</v>
      </c>
      <c r="F34">
        <v>1.081E-2</v>
      </c>
      <c r="G34">
        <v>7.9999999999999996E-7</v>
      </c>
      <c r="H34">
        <v>4.7600000000000003E-2</v>
      </c>
      <c r="I34">
        <v>5.5600000000000001E-6</v>
      </c>
      <c r="J34">
        <v>1290000</v>
      </c>
      <c r="K34">
        <v>599000</v>
      </c>
      <c r="L34">
        <v>190000</v>
      </c>
      <c r="M34">
        <v>44925</v>
      </c>
      <c r="N34">
        <v>23960</v>
      </c>
      <c r="O34">
        <v>0.12</v>
      </c>
      <c r="P34">
        <v>0.47799999999999998</v>
      </c>
      <c r="Q34">
        <v>12100</v>
      </c>
      <c r="R34">
        <v>1.1499999999999999</v>
      </c>
      <c r="S34">
        <v>1.12E-2</v>
      </c>
      <c r="T34">
        <v>1.12E-2</v>
      </c>
      <c r="U34">
        <v>1.0999999999999999E-2</v>
      </c>
      <c r="V34">
        <v>1.0999999999999999E-2</v>
      </c>
      <c r="W34">
        <v>1.0200000000000001E-2</v>
      </c>
      <c r="X34">
        <v>3.2199999999999999E-2</v>
      </c>
      <c r="Y34">
        <v>4.3799999999999999E-2</v>
      </c>
      <c r="Z34">
        <v>12.7</v>
      </c>
      <c r="AA34" t="s">
        <v>44</v>
      </c>
      <c r="AB34">
        <v>4990</v>
      </c>
      <c r="AC34">
        <v>177000</v>
      </c>
      <c r="AD34" t="s">
        <v>46</v>
      </c>
      <c r="AE34" t="s">
        <v>56</v>
      </c>
      <c r="AF34">
        <v>0.5</v>
      </c>
      <c r="AG34" t="s">
        <v>57</v>
      </c>
      <c r="AH34">
        <v>5.4000000000000001E-4</v>
      </c>
      <c r="AI34" t="s">
        <v>49</v>
      </c>
      <c r="AJ34" t="s">
        <v>50</v>
      </c>
      <c r="AK34" t="s">
        <v>72</v>
      </c>
      <c r="AL34">
        <v>1.15E-2</v>
      </c>
      <c r="AM34">
        <v>1.54E-2</v>
      </c>
      <c r="AN34">
        <v>2.69E-2</v>
      </c>
      <c r="AO34" t="s">
        <v>52</v>
      </c>
      <c r="AP34" t="s">
        <v>53</v>
      </c>
      <c r="AQ34" t="s">
        <v>54</v>
      </c>
    </row>
    <row r="35" spans="1:43" x14ac:dyDescent="0.25">
      <c r="A35" t="s">
        <v>719</v>
      </c>
      <c r="B35" t="s">
        <v>137</v>
      </c>
      <c r="C35">
        <v>252</v>
      </c>
      <c r="D35">
        <v>493</v>
      </c>
      <c r="E35">
        <v>2.6299999999999999E-12</v>
      </c>
      <c r="F35">
        <v>8.0000000000000004E-4</v>
      </c>
      <c r="G35">
        <v>8.2999999999999999E-7</v>
      </c>
      <c r="H35">
        <v>1E-3</v>
      </c>
      <c r="I35">
        <v>1.0000000000000001E-5</v>
      </c>
      <c r="J35">
        <v>1260000</v>
      </c>
      <c r="K35">
        <v>992000</v>
      </c>
      <c r="L35">
        <v>190000</v>
      </c>
      <c r="M35">
        <v>74400</v>
      </c>
      <c r="N35">
        <v>39700</v>
      </c>
      <c r="O35">
        <v>0.12</v>
      </c>
      <c r="P35">
        <v>0.27300000000000002</v>
      </c>
      <c r="Q35">
        <v>11600</v>
      </c>
      <c r="R35">
        <v>6.0900000000000003E-2</v>
      </c>
      <c r="S35">
        <v>1.15E-2</v>
      </c>
      <c r="T35">
        <v>1.15E-2</v>
      </c>
      <c r="U35">
        <v>211000</v>
      </c>
      <c r="V35">
        <v>211000</v>
      </c>
      <c r="W35">
        <v>7.6800000000000002E-3</v>
      </c>
      <c r="X35">
        <v>3.6499999999999998E-2</v>
      </c>
      <c r="Y35">
        <v>4.4200000000000003E-2</v>
      </c>
      <c r="Z35">
        <v>12.6</v>
      </c>
      <c r="AA35" t="s">
        <v>44</v>
      </c>
      <c r="AB35">
        <v>9930</v>
      </c>
      <c r="AC35">
        <v>177000</v>
      </c>
      <c r="AD35" t="s">
        <v>46</v>
      </c>
      <c r="AE35" t="s">
        <v>56</v>
      </c>
      <c r="AF35">
        <v>5.0999999999999997E-2</v>
      </c>
      <c r="AG35" t="s">
        <v>57</v>
      </c>
      <c r="AH35">
        <v>5.3999999999999998E-5</v>
      </c>
      <c r="AI35" t="s">
        <v>49</v>
      </c>
      <c r="AJ35" t="s">
        <v>50</v>
      </c>
      <c r="AK35" t="s">
        <v>72</v>
      </c>
      <c r="AL35">
        <v>1.15E-2</v>
      </c>
      <c r="AM35">
        <v>1.54E-2</v>
      </c>
      <c r="AN35">
        <v>2.69E-2</v>
      </c>
      <c r="AO35" t="s">
        <v>52</v>
      </c>
      <c r="AP35" t="s">
        <v>53</v>
      </c>
      <c r="AQ35" t="s">
        <v>54</v>
      </c>
    </row>
    <row r="36" spans="1:43" x14ac:dyDescent="0.25">
      <c r="A36" t="s">
        <v>685</v>
      </c>
      <c r="B36" t="s">
        <v>139</v>
      </c>
      <c r="C36">
        <v>252</v>
      </c>
      <c r="D36">
        <v>441</v>
      </c>
      <c r="E36">
        <v>1.06E-10</v>
      </c>
      <c r="F36">
        <v>4.3299999999999996E-3</v>
      </c>
      <c r="G36">
        <v>6.1800000000000001E-6</v>
      </c>
      <c r="H36">
        <v>2.2800000000000001E-2</v>
      </c>
      <c r="I36">
        <v>5.49E-6</v>
      </c>
      <c r="J36">
        <v>1590000</v>
      </c>
      <c r="K36">
        <v>836000</v>
      </c>
      <c r="L36">
        <v>8360</v>
      </c>
      <c r="M36">
        <v>62700</v>
      </c>
      <c r="N36">
        <v>33400</v>
      </c>
      <c r="O36">
        <v>0.41499999999999998</v>
      </c>
      <c r="P36">
        <v>0.82199999999999995</v>
      </c>
      <c r="Q36">
        <v>13900</v>
      </c>
      <c r="R36">
        <v>1.66</v>
      </c>
      <c r="S36">
        <v>1.01E-2</v>
      </c>
      <c r="T36">
        <v>1.01E-2</v>
      </c>
      <c r="U36">
        <v>36500</v>
      </c>
      <c r="V36">
        <v>36500</v>
      </c>
      <c r="W36">
        <v>1.2699999999999999E-2</v>
      </c>
      <c r="X36">
        <v>0.04</v>
      </c>
      <c r="Y36">
        <v>4.8399999999999999E-2</v>
      </c>
      <c r="Z36">
        <v>12.7</v>
      </c>
      <c r="AA36" t="s">
        <v>44</v>
      </c>
      <c r="AB36">
        <v>9930</v>
      </c>
      <c r="AC36">
        <v>9950</v>
      </c>
      <c r="AD36" t="s">
        <v>46</v>
      </c>
      <c r="AE36" t="s">
        <v>56</v>
      </c>
      <c r="AF36">
        <v>0.28000000000000003</v>
      </c>
      <c r="AG36" t="s">
        <v>57</v>
      </c>
      <c r="AH36">
        <v>5.4000000000000001E-4</v>
      </c>
      <c r="AI36" t="s">
        <v>49</v>
      </c>
      <c r="AJ36" t="s">
        <v>50</v>
      </c>
      <c r="AK36" t="s">
        <v>72</v>
      </c>
      <c r="AL36">
        <v>1.15E-2</v>
      </c>
      <c r="AM36">
        <v>1.54E-2</v>
      </c>
      <c r="AN36">
        <v>2.69E-2</v>
      </c>
      <c r="AO36" t="s">
        <v>52</v>
      </c>
      <c r="AP36" t="s">
        <v>53</v>
      </c>
      <c r="AQ36" t="s">
        <v>54</v>
      </c>
    </row>
    <row r="37" spans="1:43" x14ac:dyDescent="0.25">
      <c r="A37" t="s">
        <v>140</v>
      </c>
      <c r="B37" t="s">
        <v>141</v>
      </c>
      <c r="C37">
        <v>127</v>
      </c>
      <c r="D37">
        <v>234</v>
      </c>
      <c r="E37">
        <v>1.72E-3</v>
      </c>
      <c r="F37">
        <v>525</v>
      </c>
      <c r="G37">
        <v>4.15E-4</v>
      </c>
      <c r="H37">
        <v>7.4999999999999997E-2</v>
      </c>
      <c r="I37">
        <v>7.7999999999999999E-6</v>
      </c>
      <c r="J37">
        <v>200</v>
      </c>
      <c r="K37">
        <v>182</v>
      </c>
      <c r="L37">
        <v>1.82</v>
      </c>
      <c r="M37">
        <v>13.7</v>
      </c>
      <c r="N37">
        <v>7.3</v>
      </c>
      <c r="O37">
        <v>20.9</v>
      </c>
      <c r="P37">
        <v>1</v>
      </c>
      <c r="Q37">
        <v>13.7</v>
      </c>
      <c r="R37">
        <v>7.51</v>
      </c>
      <c r="S37">
        <v>1.81</v>
      </c>
      <c r="T37">
        <v>1.81</v>
      </c>
      <c r="U37">
        <v>3.7900000000000003E-2</v>
      </c>
      <c r="V37">
        <v>3.7900000000000003E-2</v>
      </c>
      <c r="W37">
        <v>9.5399999999999999E-4</v>
      </c>
      <c r="X37">
        <v>4.5300000000000002E-3</v>
      </c>
      <c r="Y37">
        <v>5.4799999999999996E-3</v>
      </c>
      <c r="Z37">
        <v>1.8300000000000001E-5</v>
      </c>
      <c r="AA37" t="s">
        <v>44</v>
      </c>
      <c r="AB37">
        <v>11.8</v>
      </c>
      <c r="AC37" t="s">
        <v>45</v>
      </c>
      <c r="AD37" t="s">
        <v>46</v>
      </c>
      <c r="AE37">
        <v>2E-3</v>
      </c>
      <c r="AF37">
        <v>0.17</v>
      </c>
      <c r="AG37">
        <v>1E-3</v>
      </c>
      <c r="AH37">
        <v>4.8999999999999998E-5</v>
      </c>
      <c r="AI37" t="s">
        <v>49</v>
      </c>
      <c r="AJ37" t="s">
        <v>50</v>
      </c>
      <c r="AK37" t="s">
        <v>51</v>
      </c>
      <c r="AL37">
        <v>1.81</v>
      </c>
      <c r="AM37">
        <v>1.91E-3</v>
      </c>
      <c r="AN37">
        <v>3.3400000000000001E-3</v>
      </c>
      <c r="AO37" t="s">
        <v>52</v>
      </c>
      <c r="AP37" t="s">
        <v>53</v>
      </c>
      <c r="AQ37" t="s">
        <v>54</v>
      </c>
    </row>
    <row r="38" spans="1:43" x14ac:dyDescent="0.25">
      <c r="A38" t="s">
        <v>142</v>
      </c>
      <c r="B38" t="s">
        <v>143</v>
      </c>
      <c r="C38">
        <v>9.01</v>
      </c>
      <c r="D38">
        <v>1570</v>
      </c>
      <c r="E38">
        <v>0</v>
      </c>
      <c r="F38">
        <v>149000</v>
      </c>
      <c r="G38">
        <v>1.4999999999999999E-2</v>
      </c>
      <c r="H38">
        <v>7.7200000000000005E-2</v>
      </c>
      <c r="I38">
        <v>9.5699999999999999E-6</v>
      </c>
      <c r="J38">
        <v>0.26900000000000002</v>
      </c>
      <c r="K38" t="s">
        <v>44</v>
      </c>
      <c r="L38">
        <v>790</v>
      </c>
      <c r="M38">
        <v>790</v>
      </c>
      <c r="N38">
        <v>790</v>
      </c>
      <c r="O38" t="s">
        <v>57</v>
      </c>
      <c r="P38">
        <v>0</v>
      </c>
      <c r="Q38" t="s">
        <v>57</v>
      </c>
      <c r="R38">
        <v>1.5E-3</v>
      </c>
      <c r="S38">
        <v>2.5799999999999998E-3</v>
      </c>
      <c r="T38">
        <v>0.01</v>
      </c>
      <c r="U38" t="s">
        <v>57</v>
      </c>
      <c r="V38" t="s">
        <v>57</v>
      </c>
      <c r="W38">
        <v>8.9999999999999996E-7</v>
      </c>
      <c r="X38">
        <v>1E-3</v>
      </c>
      <c r="Y38" t="s">
        <v>62</v>
      </c>
      <c r="Z38" t="s">
        <v>44</v>
      </c>
      <c r="AA38" t="s">
        <v>44</v>
      </c>
      <c r="AB38">
        <v>62</v>
      </c>
      <c r="AC38" t="s">
        <v>45</v>
      </c>
      <c r="AD38" t="s">
        <v>46</v>
      </c>
      <c r="AE38">
        <v>2E-3</v>
      </c>
      <c r="AG38">
        <v>2.0000000000000002E-5</v>
      </c>
      <c r="AH38">
        <v>2.3999999999999998E-3</v>
      </c>
      <c r="AI38" t="s">
        <v>49</v>
      </c>
      <c r="AJ38" t="s">
        <v>110</v>
      </c>
      <c r="AK38" t="s">
        <v>111</v>
      </c>
      <c r="AL38">
        <v>1.5E-3</v>
      </c>
      <c r="AM38" t="s">
        <v>44</v>
      </c>
      <c r="AN38" t="s">
        <v>44</v>
      </c>
      <c r="AO38" t="s">
        <v>52</v>
      </c>
      <c r="AP38" t="s">
        <v>53</v>
      </c>
      <c r="AQ38" t="s">
        <v>54</v>
      </c>
    </row>
    <row r="39" spans="1:43" x14ac:dyDescent="0.25">
      <c r="A39" t="s">
        <v>631</v>
      </c>
      <c r="B39" t="s">
        <v>144</v>
      </c>
      <c r="C39">
        <v>154</v>
      </c>
      <c r="D39">
        <v>342</v>
      </c>
      <c r="E39">
        <v>1.1800000000000001E-5</v>
      </c>
      <c r="F39">
        <v>6.94</v>
      </c>
      <c r="G39">
        <v>2.6200000000000003E-4</v>
      </c>
      <c r="H39">
        <v>6.6100000000000006E-2</v>
      </c>
      <c r="I39">
        <v>7.6499999999999996E-6</v>
      </c>
      <c r="J39">
        <v>9550</v>
      </c>
      <c r="K39">
        <v>8180</v>
      </c>
      <c r="L39">
        <v>81.8</v>
      </c>
      <c r="M39">
        <v>613</v>
      </c>
      <c r="N39">
        <v>327</v>
      </c>
      <c r="O39">
        <v>36.1</v>
      </c>
      <c r="P39">
        <v>1</v>
      </c>
      <c r="Q39">
        <v>270</v>
      </c>
      <c r="R39">
        <v>3.3</v>
      </c>
      <c r="S39">
        <v>0.19400000000000001</v>
      </c>
      <c r="T39">
        <v>0.19400000000000001</v>
      </c>
      <c r="U39">
        <v>3.69</v>
      </c>
      <c r="V39">
        <v>3.69</v>
      </c>
      <c r="W39">
        <v>5.4000000000000003E-3</v>
      </c>
      <c r="X39">
        <v>2.5700000000000001E-2</v>
      </c>
      <c r="Y39">
        <v>3.1099999999999999E-2</v>
      </c>
      <c r="Z39" t="s">
        <v>44</v>
      </c>
      <c r="AA39" t="s">
        <v>44</v>
      </c>
      <c r="AB39">
        <v>232</v>
      </c>
      <c r="AC39" t="s">
        <v>45</v>
      </c>
      <c r="AD39" t="s">
        <v>46</v>
      </c>
      <c r="AE39">
        <v>0.5</v>
      </c>
      <c r="AF39">
        <v>8.0000000000000002E-3</v>
      </c>
      <c r="AG39" t="s">
        <v>57</v>
      </c>
      <c r="AH39" t="s">
        <v>48</v>
      </c>
      <c r="AI39" t="s">
        <v>49</v>
      </c>
      <c r="AJ39" t="s">
        <v>50</v>
      </c>
      <c r="AK39" t="s">
        <v>51</v>
      </c>
      <c r="AL39">
        <v>0.19400000000000001</v>
      </c>
      <c r="AM39">
        <v>1.0800000000000001E-2</v>
      </c>
      <c r="AN39">
        <v>1.89E-2</v>
      </c>
      <c r="AO39" t="s">
        <v>52</v>
      </c>
      <c r="AP39" t="s">
        <v>53</v>
      </c>
      <c r="AQ39" t="s">
        <v>54</v>
      </c>
    </row>
    <row r="40" spans="1:43" x14ac:dyDescent="0.25">
      <c r="A40" t="s">
        <v>145</v>
      </c>
      <c r="B40" t="s">
        <v>146</v>
      </c>
      <c r="C40">
        <v>143.01300000000001</v>
      </c>
      <c r="D40">
        <v>226.35</v>
      </c>
      <c r="E40">
        <v>2.0400000000000001E-3</v>
      </c>
      <c r="F40">
        <v>17200</v>
      </c>
      <c r="G40">
        <v>1.8E-5</v>
      </c>
      <c r="H40">
        <v>4.1300000000000003E-2</v>
      </c>
      <c r="I40">
        <v>9.4900000000000006E-6</v>
      </c>
      <c r="J40">
        <v>19.498446000000001</v>
      </c>
      <c r="K40">
        <v>75.900000000000006</v>
      </c>
      <c r="L40">
        <v>0.76</v>
      </c>
      <c r="M40">
        <v>5.69</v>
      </c>
      <c r="N40">
        <v>3.04</v>
      </c>
      <c r="O40">
        <v>1.41</v>
      </c>
      <c r="P40">
        <v>1</v>
      </c>
      <c r="Q40">
        <v>8.6</v>
      </c>
      <c r="R40">
        <v>11.3</v>
      </c>
      <c r="S40">
        <v>6.96</v>
      </c>
      <c r="T40">
        <v>6.96</v>
      </c>
      <c r="U40">
        <v>7.3400000000000007E-2</v>
      </c>
      <c r="V40">
        <v>7.3400000000000007E-2</v>
      </c>
      <c r="W40">
        <v>1.8097299999999999E-4</v>
      </c>
      <c r="X40">
        <v>8.5962199999999999E-4</v>
      </c>
      <c r="Y40">
        <v>1.0405950000000001E-3</v>
      </c>
      <c r="Z40">
        <v>1.5886599999999999E-4</v>
      </c>
      <c r="AA40" t="s">
        <v>44</v>
      </c>
      <c r="AB40">
        <v>1.96</v>
      </c>
      <c r="AC40" t="s">
        <v>45</v>
      </c>
      <c r="AD40" t="s">
        <v>46</v>
      </c>
      <c r="AE40" t="s">
        <v>56</v>
      </c>
      <c r="AF40">
        <v>1.1000000000000001</v>
      </c>
      <c r="AG40" t="s">
        <v>57</v>
      </c>
      <c r="AH40">
        <v>3.3E-4</v>
      </c>
      <c r="AI40" t="s">
        <v>49</v>
      </c>
      <c r="AJ40" t="s">
        <v>50</v>
      </c>
      <c r="AK40" t="s">
        <v>51</v>
      </c>
      <c r="AL40">
        <v>6.96</v>
      </c>
      <c r="AM40">
        <v>3.6194599999999998E-4</v>
      </c>
      <c r="AN40">
        <v>6.3340599999999999E-4</v>
      </c>
      <c r="AO40" t="s">
        <v>52</v>
      </c>
      <c r="AP40" t="s">
        <v>53</v>
      </c>
      <c r="AQ40" t="s">
        <v>54</v>
      </c>
    </row>
    <row r="41" spans="1:43" x14ac:dyDescent="0.25">
      <c r="A41" t="s">
        <v>147</v>
      </c>
      <c r="B41" t="s">
        <v>148</v>
      </c>
      <c r="C41">
        <v>253</v>
      </c>
      <c r="D41">
        <v>281</v>
      </c>
      <c r="E41">
        <v>7.2500000000000004E-3</v>
      </c>
      <c r="F41">
        <v>3100</v>
      </c>
      <c r="G41">
        <v>6.5</v>
      </c>
      <c r="H41">
        <v>1.49E-2</v>
      </c>
      <c r="I41">
        <v>1.03E-5</v>
      </c>
      <c r="J41">
        <v>234</v>
      </c>
      <c r="K41">
        <v>126</v>
      </c>
      <c r="L41">
        <v>1.26</v>
      </c>
      <c r="M41">
        <v>9.4499999999999993</v>
      </c>
      <c r="N41">
        <v>5.04</v>
      </c>
      <c r="O41">
        <v>1.41</v>
      </c>
      <c r="P41">
        <v>1</v>
      </c>
      <c r="Q41">
        <v>15.5</v>
      </c>
      <c r="R41">
        <v>12.3</v>
      </c>
      <c r="S41">
        <v>1.65</v>
      </c>
      <c r="T41">
        <v>1.65</v>
      </c>
      <c r="U41">
        <v>2.8700000000000001E-6</v>
      </c>
      <c r="V41">
        <v>2.8700000000000001E-6</v>
      </c>
      <c r="W41">
        <v>1.0499999999999999E-3</v>
      </c>
      <c r="X41">
        <v>5.0000000000000001E-3</v>
      </c>
      <c r="Y41">
        <v>6.0499999999999998E-3</v>
      </c>
      <c r="Z41">
        <v>1.7799999999999999E-3</v>
      </c>
      <c r="AA41" t="s">
        <v>44</v>
      </c>
      <c r="AB41">
        <v>13.3</v>
      </c>
      <c r="AC41" t="s">
        <v>45</v>
      </c>
      <c r="AD41" t="s">
        <v>46</v>
      </c>
      <c r="AE41">
        <v>0.02</v>
      </c>
      <c r="AF41">
        <v>7.9299999999999995E-3</v>
      </c>
      <c r="AG41" t="s">
        <v>57</v>
      </c>
      <c r="AH41">
        <v>1.1000000000000001E-6</v>
      </c>
      <c r="AI41" t="s">
        <v>49</v>
      </c>
      <c r="AJ41" t="s">
        <v>50</v>
      </c>
      <c r="AK41" t="s">
        <v>51</v>
      </c>
      <c r="AL41">
        <v>1.65</v>
      </c>
      <c r="AM41">
        <v>2.0999999999999999E-3</v>
      </c>
      <c r="AN41">
        <v>3.6800000000000001E-3</v>
      </c>
      <c r="AO41" t="s">
        <v>52</v>
      </c>
      <c r="AP41" t="s">
        <v>53</v>
      </c>
      <c r="AQ41" t="s">
        <v>54</v>
      </c>
    </row>
    <row r="42" spans="1:43" x14ac:dyDescent="0.25">
      <c r="A42" t="s">
        <v>556</v>
      </c>
      <c r="B42" t="s">
        <v>58</v>
      </c>
      <c r="C42">
        <v>54.1</v>
      </c>
      <c r="D42">
        <v>164</v>
      </c>
      <c r="E42">
        <v>2.78</v>
      </c>
      <c r="F42">
        <v>735</v>
      </c>
      <c r="G42">
        <v>0.20399999999999999</v>
      </c>
      <c r="H42">
        <v>0.13300000000000001</v>
      </c>
      <c r="I42">
        <v>1.5400000000000002E-5</v>
      </c>
      <c r="J42">
        <v>97.7</v>
      </c>
      <c r="K42">
        <v>45.1</v>
      </c>
      <c r="L42">
        <v>0.45100000000000001</v>
      </c>
      <c r="M42">
        <v>3.38</v>
      </c>
      <c r="N42">
        <v>1.8</v>
      </c>
      <c r="O42">
        <v>8.43</v>
      </c>
      <c r="P42">
        <v>1</v>
      </c>
      <c r="Q42">
        <v>14.2</v>
      </c>
      <c r="R42">
        <v>31.5</v>
      </c>
      <c r="S42">
        <v>2.74</v>
      </c>
      <c r="T42">
        <v>2.74</v>
      </c>
      <c r="U42">
        <v>3.6000000000000001E-5</v>
      </c>
      <c r="V42">
        <v>3.6000000000000001E-5</v>
      </c>
      <c r="W42">
        <v>6.02E-4</v>
      </c>
      <c r="X42">
        <v>2.8600000000000001E-3</v>
      </c>
      <c r="Y42">
        <v>3.46E-3</v>
      </c>
      <c r="Z42" t="s">
        <v>44</v>
      </c>
      <c r="AA42" t="s">
        <v>44</v>
      </c>
      <c r="AB42">
        <v>6.8</v>
      </c>
      <c r="AC42" t="s">
        <v>45</v>
      </c>
      <c r="AD42" t="s">
        <v>46</v>
      </c>
      <c r="AE42" t="s">
        <v>56</v>
      </c>
      <c r="AF42">
        <v>3.4</v>
      </c>
      <c r="AG42">
        <v>2E-3</v>
      </c>
      <c r="AH42">
        <v>5.8799999999999999E-5</v>
      </c>
      <c r="AI42" t="s">
        <v>49</v>
      </c>
      <c r="AJ42" t="s">
        <v>50</v>
      </c>
      <c r="AK42" t="s">
        <v>51</v>
      </c>
      <c r="AL42">
        <v>2.74</v>
      </c>
      <c r="AM42">
        <v>1.1999999999999999E-3</v>
      </c>
      <c r="AN42">
        <v>2.1099999999999999E-3</v>
      </c>
      <c r="AO42" t="s">
        <v>52</v>
      </c>
      <c r="AP42" t="s">
        <v>53</v>
      </c>
      <c r="AQ42" t="s">
        <v>54</v>
      </c>
    </row>
    <row r="43" spans="1:43" x14ac:dyDescent="0.25">
      <c r="A43" t="s">
        <v>590</v>
      </c>
      <c r="B43" t="s">
        <v>149</v>
      </c>
      <c r="C43">
        <v>204.27</v>
      </c>
      <c r="D43">
        <v>298</v>
      </c>
      <c r="E43">
        <v>4.6499999999999999E-5</v>
      </c>
      <c r="F43">
        <v>2343</v>
      </c>
      <c r="G43">
        <v>9.9E-8</v>
      </c>
      <c r="H43" t="s">
        <v>44</v>
      </c>
      <c r="I43" t="s">
        <v>44</v>
      </c>
      <c r="J43">
        <v>20</v>
      </c>
      <c r="K43">
        <v>12.27</v>
      </c>
      <c r="L43" t="s">
        <v>57</v>
      </c>
      <c r="M43">
        <v>0.9202499999999999</v>
      </c>
      <c r="N43">
        <v>0.49080000000000001</v>
      </c>
      <c r="O43" t="s">
        <v>57</v>
      </c>
      <c r="P43">
        <v>1</v>
      </c>
      <c r="Q43" t="s">
        <v>57</v>
      </c>
      <c r="R43" t="s">
        <v>57</v>
      </c>
      <c r="S43" t="s">
        <v>56</v>
      </c>
      <c r="T43" t="s">
        <v>56</v>
      </c>
      <c r="U43" t="s">
        <v>57</v>
      </c>
      <c r="V43" t="s">
        <v>57</v>
      </c>
      <c r="W43" t="s">
        <v>62</v>
      </c>
      <c r="X43" t="s">
        <v>62</v>
      </c>
      <c r="Y43" t="s">
        <v>62</v>
      </c>
      <c r="Z43" t="s">
        <v>44</v>
      </c>
      <c r="AA43" t="s">
        <v>44</v>
      </c>
      <c r="AB43">
        <v>2</v>
      </c>
      <c r="AC43" t="s">
        <v>45</v>
      </c>
      <c r="AD43" t="s">
        <v>46</v>
      </c>
      <c r="AE43" t="s">
        <v>56</v>
      </c>
      <c r="AF43" t="s">
        <v>47</v>
      </c>
      <c r="AG43" t="s">
        <v>57</v>
      </c>
      <c r="AH43" t="s">
        <v>48</v>
      </c>
      <c r="AI43" t="s">
        <v>49</v>
      </c>
      <c r="AJ43" t="s">
        <v>50</v>
      </c>
      <c r="AK43" t="s">
        <v>51</v>
      </c>
      <c r="AL43" t="s">
        <v>44</v>
      </c>
      <c r="AM43" t="s">
        <v>44</v>
      </c>
      <c r="AN43" t="s">
        <v>44</v>
      </c>
      <c r="AO43" t="s">
        <v>52</v>
      </c>
      <c r="AP43" t="s">
        <v>53</v>
      </c>
      <c r="AQ43" t="s">
        <v>54</v>
      </c>
    </row>
    <row r="44" spans="1:43" x14ac:dyDescent="0.25">
      <c r="A44" t="s">
        <v>487</v>
      </c>
      <c r="B44" t="s">
        <v>755</v>
      </c>
      <c r="C44">
        <v>118.18</v>
      </c>
      <c r="D44">
        <v>196</v>
      </c>
      <c r="E44">
        <v>1.0499999999999999E-3</v>
      </c>
      <c r="P44">
        <v>1</v>
      </c>
    </row>
    <row r="45" spans="1:43" x14ac:dyDescent="0.25">
      <c r="A45" t="s">
        <v>150</v>
      </c>
      <c r="B45" t="s">
        <v>151</v>
      </c>
      <c r="C45">
        <v>312</v>
      </c>
      <c r="D45">
        <v>238</v>
      </c>
      <c r="E45">
        <v>1.09E-8</v>
      </c>
      <c r="F45">
        <v>2.7</v>
      </c>
      <c r="G45">
        <v>1.3E-6</v>
      </c>
      <c r="H45">
        <v>1E-3</v>
      </c>
      <c r="I45">
        <v>1.0000000000000001E-5</v>
      </c>
      <c r="J45">
        <v>79400</v>
      </c>
      <c r="K45">
        <v>13700</v>
      </c>
      <c r="L45">
        <v>8700</v>
      </c>
      <c r="M45">
        <v>1030</v>
      </c>
      <c r="N45">
        <v>548</v>
      </c>
      <c r="O45">
        <v>36.1</v>
      </c>
      <c r="P45">
        <v>0.94799999999999995</v>
      </c>
      <c r="Q45">
        <v>1380</v>
      </c>
      <c r="R45">
        <v>0.158</v>
      </c>
      <c r="S45">
        <v>5.7000000000000002E-2</v>
      </c>
      <c r="T45">
        <v>5.7000000000000002E-2</v>
      </c>
      <c r="U45">
        <v>7110</v>
      </c>
      <c r="V45">
        <v>7110</v>
      </c>
      <c r="W45">
        <v>8.09E-3</v>
      </c>
      <c r="X45">
        <v>3.8399999999999997E-2</v>
      </c>
      <c r="Y45">
        <v>4.65E-2</v>
      </c>
      <c r="Z45">
        <v>0.20599999999999999</v>
      </c>
      <c r="AA45" t="s">
        <v>44</v>
      </c>
      <c r="AB45">
        <v>1180</v>
      </c>
      <c r="AC45">
        <v>3290</v>
      </c>
      <c r="AD45" t="s">
        <v>46</v>
      </c>
      <c r="AE45">
        <v>0.2</v>
      </c>
      <c r="AF45">
        <v>1.9E-3</v>
      </c>
      <c r="AG45" t="s">
        <v>57</v>
      </c>
      <c r="AH45" t="s">
        <v>48</v>
      </c>
      <c r="AI45" t="s">
        <v>49</v>
      </c>
      <c r="AJ45" t="s">
        <v>50</v>
      </c>
      <c r="AK45" t="s">
        <v>152</v>
      </c>
      <c r="AL45">
        <v>5.7000000000000002E-2</v>
      </c>
      <c r="AM45">
        <v>1.6199999999999999E-2</v>
      </c>
      <c r="AN45">
        <v>2.8299999999999999E-2</v>
      </c>
      <c r="AO45" t="s">
        <v>52</v>
      </c>
      <c r="AP45" t="s">
        <v>53</v>
      </c>
      <c r="AQ45" t="s">
        <v>54</v>
      </c>
    </row>
    <row r="46" spans="1:43" x14ac:dyDescent="0.25">
      <c r="A46" t="s">
        <v>155</v>
      </c>
      <c r="B46" t="s">
        <v>156</v>
      </c>
      <c r="C46">
        <v>112.4</v>
      </c>
      <c r="D46">
        <v>593.15</v>
      </c>
      <c r="E46">
        <v>5.4499999999999996E-12</v>
      </c>
      <c r="F46">
        <v>123000</v>
      </c>
      <c r="G46">
        <v>3.1E-2</v>
      </c>
      <c r="H46">
        <v>7.7200000000000005E-2</v>
      </c>
      <c r="I46">
        <v>9.5699999999999999E-6</v>
      </c>
      <c r="J46">
        <v>0.85113803799999999</v>
      </c>
      <c r="K46" t="s">
        <v>44</v>
      </c>
      <c r="L46">
        <v>75</v>
      </c>
      <c r="M46">
        <v>75</v>
      </c>
      <c r="N46">
        <v>75</v>
      </c>
      <c r="O46">
        <v>2.5299999999999999E-6</v>
      </c>
      <c r="P46">
        <v>8.9999999999999993E-3</v>
      </c>
      <c r="Q46" t="s">
        <v>57</v>
      </c>
      <c r="R46">
        <v>6.4000000000000001E-2</v>
      </c>
      <c r="S46">
        <v>0.125</v>
      </c>
      <c r="T46">
        <v>0.36399999999999999</v>
      </c>
      <c r="U46" t="s">
        <v>57</v>
      </c>
      <c r="V46" t="s">
        <v>57</v>
      </c>
      <c r="W46">
        <v>6.4999999999999996E-6</v>
      </c>
      <c r="X46">
        <v>1.2E-4</v>
      </c>
      <c r="Y46">
        <v>1.9148900000000001E-4</v>
      </c>
      <c r="Z46">
        <v>2.5000000000000001E-3</v>
      </c>
      <c r="AA46" t="s">
        <v>44</v>
      </c>
      <c r="AB46">
        <v>907</v>
      </c>
      <c r="AC46" t="s">
        <v>45</v>
      </c>
      <c r="AD46" t="s">
        <v>46</v>
      </c>
      <c r="AE46">
        <v>1E-3</v>
      </c>
      <c r="AF46" t="s">
        <v>47</v>
      </c>
      <c r="AG46">
        <v>2.0000000000000002E-5</v>
      </c>
      <c r="AH46">
        <v>1.8E-3</v>
      </c>
      <c r="AI46" t="s">
        <v>49</v>
      </c>
      <c r="AJ46" t="s">
        <v>110</v>
      </c>
      <c r="AK46" t="s">
        <v>111</v>
      </c>
      <c r="AL46">
        <v>6.2E-2</v>
      </c>
      <c r="AM46">
        <v>2.5000000000000001E-3</v>
      </c>
      <c r="AN46">
        <v>0.10625</v>
      </c>
      <c r="AO46" t="s">
        <v>52</v>
      </c>
      <c r="AP46" t="s">
        <v>53</v>
      </c>
      <c r="AQ46" t="s">
        <v>54</v>
      </c>
    </row>
    <row r="47" spans="1:43" x14ac:dyDescent="0.25">
      <c r="A47" t="s">
        <v>591</v>
      </c>
      <c r="B47" t="s">
        <v>159</v>
      </c>
      <c r="C47">
        <v>176.21</v>
      </c>
      <c r="D47">
        <v>275.89999999999998</v>
      </c>
      <c r="E47">
        <v>1.8599999999999999E-4</v>
      </c>
      <c r="F47">
        <v>30890</v>
      </c>
      <c r="G47" t="s">
        <v>56</v>
      </c>
      <c r="H47">
        <v>5.7000000000000002E-2</v>
      </c>
      <c r="I47">
        <v>7.9799999999999998E-6</v>
      </c>
      <c r="J47">
        <v>2.089</v>
      </c>
      <c r="K47">
        <v>4.54</v>
      </c>
      <c r="L47" t="s">
        <v>57</v>
      </c>
      <c r="M47">
        <v>0.34049999999999997</v>
      </c>
      <c r="N47">
        <v>0.18160000000000001</v>
      </c>
      <c r="O47" t="s">
        <v>57</v>
      </c>
      <c r="P47">
        <v>1</v>
      </c>
      <c r="Q47" t="s">
        <v>57</v>
      </c>
      <c r="R47" t="s">
        <v>57</v>
      </c>
      <c r="S47" t="s">
        <v>56</v>
      </c>
      <c r="T47" t="s">
        <v>56</v>
      </c>
      <c r="U47">
        <v>17.5</v>
      </c>
      <c r="V47">
        <v>17.5</v>
      </c>
      <c r="W47">
        <v>3.0699999999999997E-8</v>
      </c>
      <c r="X47">
        <v>9.7300000000000004E-8</v>
      </c>
      <c r="Y47" t="s">
        <v>62</v>
      </c>
      <c r="Z47" t="s">
        <v>44</v>
      </c>
      <c r="AA47" t="s">
        <v>44</v>
      </c>
      <c r="AB47">
        <v>3.16</v>
      </c>
      <c r="AC47" t="s">
        <v>45</v>
      </c>
      <c r="AD47" t="s">
        <v>46</v>
      </c>
      <c r="AE47" t="s">
        <v>56</v>
      </c>
      <c r="AF47" t="s">
        <v>47</v>
      </c>
      <c r="AG47" t="s">
        <v>57</v>
      </c>
      <c r="AH47" t="s">
        <v>48</v>
      </c>
      <c r="AI47" t="s">
        <v>49</v>
      </c>
      <c r="AJ47" t="s">
        <v>50</v>
      </c>
      <c r="AK47" t="s">
        <v>51</v>
      </c>
      <c r="AL47" t="s">
        <v>44</v>
      </c>
      <c r="AM47" t="s">
        <v>44</v>
      </c>
      <c r="AN47" t="s">
        <v>44</v>
      </c>
      <c r="AO47" t="s">
        <v>52</v>
      </c>
      <c r="AP47" t="s">
        <v>53</v>
      </c>
      <c r="AQ47" t="s">
        <v>54</v>
      </c>
    </row>
    <row r="48" spans="1:43" x14ac:dyDescent="0.25">
      <c r="A48" t="s">
        <v>632</v>
      </c>
      <c r="B48" t="s">
        <v>162</v>
      </c>
      <c r="C48">
        <v>76.099999999999994</v>
      </c>
      <c r="D48">
        <v>153</v>
      </c>
      <c r="E48">
        <v>0.47399999999999998</v>
      </c>
      <c r="F48">
        <v>1200</v>
      </c>
      <c r="G48">
        <v>0.03</v>
      </c>
      <c r="H48">
        <v>0.104</v>
      </c>
      <c r="I48">
        <v>1.0000000000000001E-5</v>
      </c>
      <c r="J48">
        <v>158</v>
      </c>
      <c r="K48">
        <v>66.2</v>
      </c>
      <c r="L48">
        <v>9.0999999999999998E-2</v>
      </c>
      <c r="M48">
        <v>4.96</v>
      </c>
      <c r="N48">
        <v>2.65</v>
      </c>
      <c r="O48" t="s">
        <v>57</v>
      </c>
      <c r="P48">
        <v>1</v>
      </c>
      <c r="Q48">
        <v>11.5</v>
      </c>
      <c r="R48">
        <v>126</v>
      </c>
      <c r="S48">
        <v>2.0699999999999998</v>
      </c>
      <c r="T48">
        <v>2.0699999999999998</v>
      </c>
      <c r="U48">
        <v>4.0999999999999999E-4</v>
      </c>
      <c r="V48">
        <v>4.0999999999999999E-4</v>
      </c>
      <c r="W48">
        <v>8.2600000000000002E-4</v>
      </c>
      <c r="X48">
        <v>3.9199999999999999E-3</v>
      </c>
      <c r="Y48">
        <v>4.7499999999999999E-3</v>
      </c>
      <c r="Z48">
        <v>7.94E-4</v>
      </c>
      <c r="AA48" t="s">
        <v>44</v>
      </c>
      <c r="AB48">
        <v>9.86</v>
      </c>
      <c r="AC48" t="s">
        <v>45</v>
      </c>
      <c r="AD48" t="s">
        <v>46</v>
      </c>
      <c r="AE48">
        <v>0.1</v>
      </c>
      <c r="AF48" t="s">
        <v>47</v>
      </c>
      <c r="AG48">
        <v>0.7</v>
      </c>
      <c r="AH48" t="s">
        <v>48</v>
      </c>
      <c r="AI48" t="s">
        <v>49</v>
      </c>
      <c r="AJ48" t="s">
        <v>50</v>
      </c>
      <c r="AK48" t="s">
        <v>51</v>
      </c>
      <c r="AL48">
        <v>2.0699999999999998</v>
      </c>
      <c r="AM48">
        <v>1.65E-3</v>
      </c>
      <c r="AN48">
        <v>2.8900000000000002E-3</v>
      </c>
      <c r="AO48" t="s">
        <v>52</v>
      </c>
      <c r="AP48" t="s">
        <v>53</v>
      </c>
      <c r="AQ48" t="s">
        <v>54</v>
      </c>
    </row>
    <row r="49" spans="1:43" x14ac:dyDescent="0.25">
      <c r="A49" t="s">
        <v>592</v>
      </c>
      <c r="B49" t="s">
        <v>163</v>
      </c>
      <c r="C49">
        <v>28.01</v>
      </c>
      <c r="D49">
        <v>134</v>
      </c>
      <c r="E49">
        <v>11.43</v>
      </c>
      <c r="F49">
        <v>49700</v>
      </c>
      <c r="G49">
        <v>5.6300000000000002E-4</v>
      </c>
      <c r="H49">
        <v>0.17299999999999999</v>
      </c>
      <c r="I49">
        <v>1.7900000000000001E-5</v>
      </c>
      <c r="J49">
        <v>2.5</v>
      </c>
      <c r="K49">
        <v>2.2200000000000002</v>
      </c>
      <c r="L49" t="s">
        <v>57</v>
      </c>
      <c r="M49">
        <v>0.16650000000000001</v>
      </c>
      <c r="N49">
        <v>8.8800000000000004E-2</v>
      </c>
      <c r="O49" t="s">
        <v>57</v>
      </c>
      <c r="P49">
        <v>1</v>
      </c>
      <c r="Q49" t="s">
        <v>57</v>
      </c>
      <c r="R49" t="s">
        <v>57</v>
      </c>
      <c r="S49" t="s">
        <v>56</v>
      </c>
      <c r="T49" t="s">
        <v>56</v>
      </c>
      <c r="U49">
        <v>22.6</v>
      </c>
      <c r="V49">
        <v>22.6</v>
      </c>
      <c r="W49">
        <v>1.9799999999999999E-8</v>
      </c>
      <c r="X49">
        <v>6.2800000000000006E-8</v>
      </c>
      <c r="Y49" t="s">
        <v>62</v>
      </c>
      <c r="Z49" t="s">
        <v>44</v>
      </c>
      <c r="AA49" t="s">
        <v>44</v>
      </c>
      <c r="AB49">
        <v>3.16</v>
      </c>
      <c r="AC49" t="s">
        <v>45</v>
      </c>
      <c r="AD49" t="s">
        <v>46</v>
      </c>
      <c r="AE49" t="s">
        <v>56</v>
      </c>
      <c r="AF49" t="s">
        <v>47</v>
      </c>
      <c r="AG49" t="s">
        <v>57</v>
      </c>
      <c r="AH49" t="s">
        <v>48</v>
      </c>
      <c r="AI49" t="s">
        <v>49</v>
      </c>
      <c r="AJ49" t="s">
        <v>50</v>
      </c>
      <c r="AK49" t="s">
        <v>51</v>
      </c>
      <c r="AL49" t="s">
        <v>44</v>
      </c>
      <c r="AM49" t="s">
        <v>44</v>
      </c>
      <c r="AN49" t="s">
        <v>44</v>
      </c>
      <c r="AO49" t="s">
        <v>52</v>
      </c>
      <c r="AP49" t="s">
        <v>53</v>
      </c>
      <c r="AQ49" t="s">
        <v>54</v>
      </c>
    </row>
    <row r="50" spans="1:43" x14ac:dyDescent="0.25">
      <c r="A50" t="s">
        <v>675</v>
      </c>
      <c r="B50" t="s">
        <v>676</v>
      </c>
      <c r="C50">
        <v>28.01</v>
      </c>
      <c r="D50">
        <v>134</v>
      </c>
      <c r="E50">
        <v>11.43</v>
      </c>
      <c r="F50">
        <v>49700</v>
      </c>
      <c r="G50">
        <v>5.6300000000000002E-4</v>
      </c>
      <c r="H50">
        <v>0.17299999999999999</v>
      </c>
      <c r="I50">
        <v>1.7900000000000001E-5</v>
      </c>
      <c r="J50">
        <v>2.5</v>
      </c>
      <c r="K50">
        <v>2.2200000000000002</v>
      </c>
      <c r="L50" t="s">
        <v>57</v>
      </c>
      <c r="M50">
        <v>0.16650000000000001</v>
      </c>
      <c r="N50">
        <v>8.8800000000000004E-2</v>
      </c>
      <c r="O50" t="s">
        <v>57</v>
      </c>
      <c r="P50">
        <v>1</v>
      </c>
      <c r="Q50" t="s">
        <v>57</v>
      </c>
      <c r="R50" t="s">
        <v>57</v>
      </c>
      <c r="S50" t="s">
        <v>56</v>
      </c>
      <c r="T50" t="s">
        <v>56</v>
      </c>
      <c r="U50">
        <v>22.6</v>
      </c>
      <c r="V50">
        <v>22.6</v>
      </c>
      <c r="W50">
        <v>1.9799999999999999E-8</v>
      </c>
      <c r="X50">
        <v>6.2800000000000006E-8</v>
      </c>
      <c r="Y50" t="s">
        <v>62</v>
      </c>
      <c r="Z50" t="s">
        <v>44</v>
      </c>
      <c r="AA50" t="s">
        <v>44</v>
      </c>
      <c r="AB50">
        <v>3.16</v>
      </c>
      <c r="AC50" t="s">
        <v>45</v>
      </c>
      <c r="AD50" t="s">
        <v>46</v>
      </c>
      <c r="AE50" t="s">
        <v>56</v>
      </c>
      <c r="AF50" t="s">
        <v>47</v>
      </c>
      <c r="AG50" t="s">
        <v>57</v>
      </c>
      <c r="AH50" t="s">
        <v>48</v>
      </c>
      <c r="AI50" t="s">
        <v>49</v>
      </c>
      <c r="AJ50" t="s">
        <v>50</v>
      </c>
      <c r="AK50" t="s">
        <v>51</v>
      </c>
      <c r="AL50" t="s">
        <v>44</v>
      </c>
      <c r="AM50" t="s">
        <v>44</v>
      </c>
      <c r="AN50" t="s">
        <v>44</v>
      </c>
      <c r="AO50" t="s">
        <v>52</v>
      </c>
      <c r="AP50" t="s">
        <v>53</v>
      </c>
      <c r="AQ50" t="s">
        <v>54</v>
      </c>
    </row>
    <row r="51" spans="1:43" x14ac:dyDescent="0.25">
      <c r="A51" t="s">
        <v>633</v>
      </c>
      <c r="B51" t="s">
        <v>164</v>
      </c>
      <c r="C51">
        <v>154</v>
      </c>
      <c r="D51">
        <v>250</v>
      </c>
      <c r="E51">
        <v>0.158</v>
      </c>
      <c r="F51">
        <v>790</v>
      </c>
      <c r="G51">
        <v>0.03</v>
      </c>
      <c r="H51">
        <v>7.8E-2</v>
      </c>
      <c r="I51">
        <v>8.8000000000000004E-6</v>
      </c>
      <c r="J51">
        <v>631</v>
      </c>
      <c r="K51">
        <v>152</v>
      </c>
      <c r="L51">
        <v>0.35</v>
      </c>
      <c r="M51">
        <v>11.4</v>
      </c>
      <c r="N51">
        <v>6.08</v>
      </c>
      <c r="O51">
        <v>0.7</v>
      </c>
      <c r="P51">
        <v>1</v>
      </c>
      <c r="Q51">
        <v>33.299999999999997</v>
      </c>
      <c r="R51">
        <v>95.1</v>
      </c>
      <c r="S51">
        <v>0.93200000000000005</v>
      </c>
      <c r="T51">
        <v>0.93200000000000005</v>
      </c>
      <c r="U51">
        <v>1.7899999999999999E-3</v>
      </c>
      <c r="V51">
        <v>1.7899999999999999E-3</v>
      </c>
      <c r="W51">
        <v>1.83E-3</v>
      </c>
      <c r="X51">
        <v>8.6800000000000002E-3</v>
      </c>
      <c r="Y51">
        <v>1.0500000000000001E-2</v>
      </c>
      <c r="Z51">
        <v>4.1399999999999996E-3</v>
      </c>
      <c r="AA51" t="s">
        <v>44</v>
      </c>
      <c r="AB51">
        <v>28.6</v>
      </c>
      <c r="AC51" t="s">
        <v>45</v>
      </c>
      <c r="AD51" t="s">
        <v>46</v>
      </c>
      <c r="AE51">
        <v>4.0000000000000001E-3</v>
      </c>
      <c r="AF51">
        <v>7.0000000000000007E-2</v>
      </c>
      <c r="AG51">
        <v>0.1</v>
      </c>
      <c r="AH51">
        <v>6.0000000000000002E-6</v>
      </c>
      <c r="AI51" t="s">
        <v>49</v>
      </c>
      <c r="AJ51" t="s">
        <v>50</v>
      </c>
      <c r="AK51" t="s">
        <v>51</v>
      </c>
      <c r="AL51">
        <v>0.93200000000000005</v>
      </c>
      <c r="AM51">
        <v>3.6600000000000001E-3</v>
      </c>
      <c r="AN51">
        <v>6.4000000000000003E-3</v>
      </c>
      <c r="AO51" t="s">
        <v>52</v>
      </c>
      <c r="AP51" t="s">
        <v>53</v>
      </c>
      <c r="AQ51" t="s">
        <v>54</v>
      </c>
    </row>
    <row r="52" spans="1:43" x14ac:dyDescent="0.25">
      <c r="A52" t="s">
        <v>593</v>
      </c>
      <c r="B52" t="s">
        <v>165</v>
      </c>
      <c r="C52">
        <v>60.07</v>
      </c>
      <c r="D52">
        <v>171.29</v>
      </c>
      <c r="E52">
        <v>10.79</v>
      </c>
      <c r="F52">
        <v>1000000</v>
      </c>
      <c r="G52">
        <v>4.9200000000000001E-2</v>
      </c>
      <c r="H52" t="s">
        <v>44</v>
      </c>
      <c r="I52" t="s">
        <v>44</v>
      </c>
      <c r="J52">
        <v>4.6800000000000001E-2</v>
      </c>
      <c r="K52">
        <v>0.9123</v>
      </c>
      <c r="L52" t="s">
        <v>57</v>
      </c>
      <c r="M52">
        <v>6.8422499999999997E-2</v>
      </c>
      <c r="N52">
        <v>3.6492000000000004E-2</v>
      </c>
      <c r="O52" t="s">
        <v>57</v>
      </c>
      <c r="P52">
        <v>1</v>
      </c>
      <c r="Q52" t="s">
        <v>57</v>
      </c>
      <c r="R52" t="s">
        <v>57</v>
      </c>
      <c r="S52" t="s">
        <v>56</v>
      </c>
      <c r="T52" t="s">
        <v>56</v>
      </c>
      <c r="U52" t="s">
        <v>57</v>
      </c>
      <c r="V52" t="s">
        <v>57</v>
      </c>
      <c r="W52" t="s">
        <v>62</v>
      </c>
      <c r="X52" t="s">
        <v>62</v>
      </c>
      <c r="Y52" t="s">
        <v>62</v>
      </c>
      <c r="Z52" t="s">
        <v>44</v>
      </c>
      <c r="AA52" t="s">
        <v>44</v>
      </c>
      <c r="AB52" t="s">
        <v>63</v>
      </c>
      <c r="AC52" t="s">
        <v>45</v>
      </c>
      <c r="AD52" t="s">
        <v>46</v>
      </c>
      <c r="AE52" t="s">
        <v>56</v>
      </c>
      <c r="AF52" t="s">
        <v>47</v>
      </c>
      <c r="AG52" t="s">
        <v>57</v>
      </c>
      <c r="AH52" t="s">
        <v>48</v>
      </c>
      <c r="AI52" t="s">
        <v>49</v>
      </c>
      <c r="AJ52" t="s">
        <v>50</v>
      </c>
      <c r="AK52" t="s">
        <v>51</v>
      </c>
      <c r="AL52" t="s">
        <v>44</v>
      </c>
      <c r="AM52" t="s">
        <v>44</v>
      </c>
      <c r="AN52" t="s">
        <v>44</v>
      </c>
      <c r="AO52" t="s">
        <v>52</v>
      </c>
      <c r="AP52" t="s">
        <v>53</v>
      </c>
      <c r="AQ52" t="s">
        <v>54</v>
      </c>
    </row>
    <row r="53" spans="1:43" x14ac:dyDescent="0.25">
      <c r="A53" t="s">
        <v>594</v>
      </c>
      <c r="B53" t="s">
        <v>166</v>
      </c>
      <c r="C53">
        <v>110</v>
      </c>
      <c r="D53">
        <v>378</v>
      </c>
      <c r="E53">
        <v>3.9499999999999998E-5</v>
      </c>
      <c r="F53">
        <v>461000</v>
      </c>
      <c r="G53">
        <v>9.4300000000000007E-9</v>
      </c>
      <c r="H53">
        <v>8.2699999999999996E-2</v>
      </c>
      <c r="I53">
        <v>9.5799999999999998E-6</v>
      </c>
      <c r="J53">
        <v>7.59</v>
      </c>
      <c r="K53">
        <v>7.33</v>
      </c>
      <c r="L53">
        <v>7.3300000000000004E-2</v>
      </c>
      <c r="M53">
        <v>0.55000000000000004</v>
      </c>
      <c r="N53">
        <v>0.29299999999999998</v>
      </c>
      <c r="O53">
        <v>36.1</v>
      </c>
      <c r="P53">
        <v>1</v>
      </c>
      <c r="Q53">
        <v>7.41</v>
      </c>
      <c r="R53">
        <v>101</v>
      </c>
      <c r="S53">
        <v>12</v>
      </c>
      <c r="T53">
        <v>12</v>
      </c>
      <c r="U53">
        <v>51.3</v>
      </c>
      <c r="V53">
        <v>51.3</v>
      </c>
      <c r="W53">
        <v>8.0699999999999996E-5</v>
      </c>
      <c r="X53">
        <v>3.8299999999999999E-4</v>
      </c>
      <c r="Y53">
        <v>4.64E-4</v>
      </c>
      <c r="Z53" t="s">
        <v>44</v>
      </c>
      <c r="AA53" t="s">
        <v>44</v>
      </c>
      <c r="AB53">
        <v>3.16</v>
      </c>
      <c r="AC53" t="s">
        <v>45</v>
      </c>
      <c r="AD53" t="s">
        <v>46</v>
      </c>
      <c r="AE53" t="s">
        <v>56</v>
      </c>
      <c r="AG53" t="s">
        <v>57</v>
      </c>
      <c r="AH53" t="s">
        <v>48</v>
      </c>
      <c r="AI53" t="s">
        <v>49</v>
      </c>
      <c r="AJ53" t="s">
        <v>50</v>
      </c>
      <c r="AK53" t="s">
        <v>51</v>
      </c>
      <c r="AL53">
        <v>12</v>
      </c>
      <c r="AM53">
        <v>1.6100000000000001E-4</v>
      </c>
      <c r="AN53">
        <v>2.8299999999999999E-4</v>
      </c>
      <c r="AO53" t="s">
        <v>52</v>
      </c>
      <c r="AP53" t="s">
        <v>53</v>
      </c>
      <c r="AQ53" t="s">
        <v>54</v>
      </c>
    </row>
    <row r="54" spans="1:43" x14ac:dyDescent="0.25">
      <c r="A54" t="s">
        <v>595</v>
      </c>
      <c r="B54" t="s">
        <v>167</v>
      </c>
      <c r="C54">
        <v>90.1</v>
      </c>
      <c r="D54">
        <v>203</v>
      </c>
      <c r="E54">
        <v>6.9899999999999997E-3</v>
      </c>
      <c r="F54">
        <v>1000000</v>
      </c>
      <c r="G54">
        <v>6.3E-7</v>
      </c>
      <c r="H54">
        <v>9.4500000000000001E-2</v>
      </c>
      <c r="I54">
        <v>1.0900000000000001E-5</v>
      </c>
      <c r="J54">
        <v>0.47899999999999998</v>
      </c>
      <c r="K54">
        <v>0.48499999999999999</v>
      </c>
      <c r="L54">
        <v>4.8500000000000001E-3</v>
      </c>
      <c r="M54">
        <v>3.6400000000000002E-2</v>
      </c>
      <c r="N54">
        <v>1.9400000000000001E-2</v>
      </c>
      <c r="O54">
        <v>8.43</v>
      </c>
      <c r="P54">
        <v>1</v>
      </c>
      <c r="Q54">
        <v>6.44</v>
      </c>
      <c r="R54">
        <v>1330</v>
      </c>
      <c r="S54">
        <v>59.3</v>
      </c>
      <c r="T54">
        <v>59.3</v>
      </c>
      <c r="U54">
        <v>4.0500000000000001E-2</v>
      </c>
      <c r="V54">
        <v>4.0500000000000001E-2</v>
      </c>
      <c r="W54">
        <v>4.8899999999999998E-6</v>
      </c>
      <c r="X54">
        <v>2.3200000000000001E-5</v>
      </c>
      <c r="Y54">
        <v>2.8099999999999999E-5</v>
      </c>
      <c r="Z54" t="s">
        <v>44</v>
      </c>
      <c r="AA54" t="s">
        <v>44</v>
      </c>
      <c r="AB54">
        <v>3.16</v>
      </c>
      <c r="AC54" t="s">
        <v>45</v>
      </c>
      <c r="AD54" t="s">
        <v>46</v>
      </c>
      <c r="AE54">
        <v>0.09</v>
      </c>
      <c r="AF54" t="s">
        <v>47</v>
      </c>
      <c r="AG54">
        <v>0.2</v>
      </c>
      <c r="AH54" t="s">
        <v>48</v>
      </c>
      <c r="AI54" t="s">
        <v>49</v>
      </c>
      <c r="AJ54" t="s">
        <v>50</v>
      </c>
      <c r="AK54" t="s">
        <v>51</v>
      </c>
      <c r="AL54">
        <v>59.3</v>
      </c>
      <c r="AM54">
        <v>9.7799999999999995E-6</v>
      </c>
      <c r="AN54">
        <v>1.7099999999999999E-5</v>
      </c>
      <c r="AO54" t="s">
        <v>52</v>
      </c>
      <c r="AP54" t="s">
        <v>53</v>
      </c>
      <c r="AQ54" t="s">
        <v>54</v>
      </c>
    </row>
    <row r="55" spans="1:43" x14ac:dyDescent="0.25">
      <c r="A55" t="s">
        <v>169</v>
      </c>
      <c r="B55" t="s">
        <v>170</v>
      </c>
      <c r="C55">
        <v>70.900000000000006</v>
      </c>
      <c r="D55">
        <v>172</v>
      </c>
      <c r="E55">
        <v>7.7</v>
      </c>
      <c r="F55">
        <v>6300</v>
      </c>
      <c r="G55">
        <v>1.17E-2</v>
      </c>
      <c r="H55">
        <v>1E-3</v>
      </c>
      <c r="I55">
        <v>1.0000000000000001E-5</v>
      </c>
      <c r="J55">
        <v>7.08</v>
      </c>
      <c r="K55">
        <v>13.22</v>
      </c>
      <c r="L55" t="s">
        <v>57</v>
      </c>
      <c r="M55">
        <v>0.99150000000000005</v>
      </c>
      <c r="N55">
        <v>0.52880000000000005</v>
      </c>
      <c r="O55" t="s">
        <v>57</v>
      </c>
      <c r="P55">
        <v>1</v>
      </c>
      <c r="Q55">
        <v>7.36</v>
      </c>
      <c r="R55" t="s">
        <v>57</v>
      </c>
      <c r="S55">
        <v>8.3800000000000008</v>
      </c>
      <c r="T55">
        <v>8.3800000000000008</v>
      </c>
      <c r="U55" t="s">
        <v>57</v>
      </c>
      <c r="V55" t="s">
        <v>57</v>
      </c>
      <c r="W55">
        <v>7.5900000000000002E-5</v>
      </c>
      <c r="X55">
        <v>3.6000000000000002E-4</v>
      </c>
      <c r="Y55">
        <v>4.3600000000000003E-4</v>
      </c>
      <c r="Z55" t="s">
        <v>44</v>
      </c>
      <c r="AA55" t="s">
        <v>44</v>
      </c>
      <c r="AB55">
        <v>3.16</v>
      </c>
      <c r="AC55" t="s">
        <v>45</v>
      </c>
      <c r="AD55" t="s">
        <v>46</v>
      </c>
      <c r="AE55">
        <v>0.1</v>
      </c>
      <c r="AF55" t="s">
        <v>47</v>
      </c>
      <c r="AG55">
        <v>2.0000000000000001E-4</v>
      </c>
      <c r="AH55" t="s">
        <v>48</v>
      </c>
      <c r="AI55" t="s">
        <v>49</v>
      </c>
      <c r="AJ55" t="s">
        <v>110</v>
      </c>
      <c r="AK55" t="s">
        <v>51</v>
      </c>
      <c r="AL55">
        <v>8.3800000000000008</v>
      </c>
      <c r="AM55">
        <v>1.5200000000000001E-4</v>
      </c>
      <c r="AN55">
        <v>2.6600000000000001E-4</v>
      </c>
      <c r="AO55" t="s">
        <v>52</v>
      </c>
      <c r="AP55" t="s">
        <v>53</v>
      </c>
      <c r="AQ55" t="s">
        <v>54</v>
      </c>
    </row>
    <row r="56" spans="1:43" x14ac:dyDescent="0.25">
      <c r="A56" t="s">
        <v>558</v>
      </c>
      <c r="B56" t="s">
        <v>69</v>
      </c>
      <c r="C56">
        <v>155</v>
      </c>
      <c r="D56">
        <v>330</v>
      </c>
      <c r="E56">
        <v>7.1099999999999997E-6</v>
      </c>
      <c r="F56">
        <v>1640</v>
      </c>
      <c r="G56">
        <v>6.7000000000000004E-7</v>
      </c>
      <c r="H56">
        <v>6.6000000000000003E-2</v>
      </c>
      <c r="I56">
        <v>7.6399999999999997E-6</v>
      </c>
      <c r="J56">
        <v>85.1</v>
      </c>
      <c r="K56">
        <v>79</v>
      </c>
      <c r="L56">
        <v>0.79</v>
      </c>
      <c r="M56">
        <v>5.92</v>
      </c>
      <c r="N56">
        <v>3.16</v>
      </c>
      <c r="O56">
        <v>3.37</v>
      </c>
      <c r="P56">
        <v>1</v>
      </c>
      <c r="Q56">
        <v>13.4</v>
      </c>
      <c r="R56">
        <v>17</v>
      </c>
      <c r="S56">
        <v>2.97</v>
      </c>
      <c r="T56">
        <v>2.97</v>
      </c>
      <c r="U56">
        <v>9.48</v>
      </c>
      <c r="V56">
        <v>9.48</v>
      </c>
      <c r="W56">
        <v>5.4799999999999998E-4</v>
      </c>
      <c r="X56">
        <v>2.5999999999999999E-3</v>
      </c>
      <c r="Y56">
        <v>3.15E-3</v>
      </c>
      <c r="Z56" t="s">
        <v>44</v>
      </c>
      <c r="AA56" t="s">
        <v>44</v>
      </c>
      <c r="AB56">
        <v>6.11</v>
      </c>
      <c r="AC56" t="s">
        <v>45</v>
      </c>
      <c r="AD56" t="s">
        <v>46</v>
      </c>
      <c r="AE56" t="s">
        <v>56</v>
      </c>
      <c r="AF56" t="s">
        <v>47</v>
      </c>
      <c r="AG56">
        <v>3.0000000000000001E-5</v>
      </c>
      <c r="AH56" t="s">
        <v>48</v>
      </c>
      <c r="AI56" t="s">
        <v>49</v>
      </c>
      <c r="AJ56" t="s">
        <v>50</v>
      </c>
      <c r="AK56" t="s">
        <v>51</v>
      </c>
      <c r="AL56">
        <v>2.97</v>
      </c>
      <c r="AM56">
        <v>1.1000000000000001E-3</v>
      </c>
      <c r="AN56">
        <v>1.92E-3</v>
      </c>
      <c r="AO56" t="s">
        <v>52</v>
      </c>
      <c r="AP56" t="s">
        <v>53</v>
      </c>
      <c r="AQ56" t="s">
        <v>54</v>
      </c>
    </row>
    <row r="57" spans="1:43" x14ac:dyDescent="0.25">
      <c r="A57" t="s">
        <v>173</v>
      </c>
      <c r="B57" t="s">
        <v>174</v>
      </c>
      <c r="C57">
        <v>113</v>
      </c>
      <c r="D57">
        <v>228</v>
      </c>
      <c r="E57">
        <v>1.5800000000000002E-2</v>
      </c>
      <c r="F57">
        <v>470</v>
      </c>
      <c r="G57">
        <v>3.7000000000000002E-3</v>
      </c>
      <c r="H57">
        <v>7.2999999999999995E-2</v>
      </c>
      <c r="I57">
        <v>8.6999999999999997E-6</v>
      </c>
      <c r="J57">
        <v>631</v>
      </c>
      <c r="K57">
        <v>224</v>
      </c>
      <c r="L57">
        <v>0.44</v>
      </c>
      <c r="M57">
        <v>16.8</v>
      </c>
      <c r="N57">
        <v>8.9600000000000009</v>
      </c>
      <c r="O57">
        <v>1.69</v>
      </c>
      <c r="P57">
        <v>1</v>
      </c>
      <c r="Q57">
        <v>33.299999999999997</v>
      </c>
      <c r="R57">
        <v>75.599999999999994</v>
      </c>
      <c r="S57">
        <v>0.93200000000000005</v>
      </c>
      <c r="T57">
        <v>0.93200000000000005</v>
      </c>
      <c r="U57">
        <v>1.4500000000000001E-2</v>
      </c>
      <c r="V57">
        <v>1.4500000000000001E-2</v>
      </c>
      <c r="W57">
        <v>1.83E-3</v>
      </c>
      <c r="X57">
        <v>8.6800000000000002E-3</v>
      </c>
      <c r="Y57">
        <v>1.0500000000000001E-2</v>
      </c>
      <c r="Z57">
        <v>4.8900000000000002E-3</v>
      </c>
      <c r="AA57" t="s">
        <v>44</v>
      </c>
      <c r="AB57">
        <v>28.6</v>
      </c>
      <c r="AC57" t="s">
        <v>45</v>
      </c>
      <c r="AD57" t="s">
        <v>46</v>
      </c>
      <c r="AE57">
        <v>0.02</v>
      </c>
      <c r="AF57" t="s">
        <v>47</v>
      </c>
      <c r="AG57">
        <v>1</v>
      </c>
      <c r="AH57" t="s">
        <v>48</v>
      </c>
      <c r="AI57" t="s">
        <v>49</v>
      </c>
      <c r="AJ57" t="s">
        <v>50</v>
      </c>
      <c r="AK57" t="s">
        <v>51</v>
      </c>
      <c r="AL57">
        <v>0.93200000000000005</v>
      </c>
      <c r="AM57">
        <v>3.6600000000000001E-3</v>
      </c>
      <c r="AN57">
        <v>6.4000000000000003E-3</v>
      </c>
      <c r="AO57" t="s">
        <v>52</v>
      </c>
      <c r="AP57" t="s">
        <v>53</v>
      </c>
      <c r="AQ57" t="s">
        <v>54</v>
      </c>
    </row>
    <row r="58" spans="1:43" x14ac:dyDescent="0.25">
      <c r="A58" t="s">
        <v>175</v>
      </c>
      <c r="B58" t="s">
        <v>176</v>
      </c>
      <c r="C58">
        <v>64.5</v>
      </c>
      <c r="D58">
        <v>133</v>
      </c>
      <c r="E58">
        <v>1.32</v>
      </c>
      <c r="F58">
        <v>5700</v>
      </c>
      <c r="G58">
        <v>8.8000000000000005E-3</v>
      </c>
      <c r="H58">
        <v>0.27100000000000002</v>
      </c>
      <c r="I58">
        <v>1.15E-5</v>
      </c>
      <c r="J58">
        <v>25.1</v>
      </c>
      <c r="K58">
        <v>15.4</v>
      </c>
      <c r="L58">
        <v>3.2000000000000001E-2</v>
      </c>
      <c r="M58">
        <v>1.1499999999999999</v>
      </c>
      <c r="N58">
        <v>0.62</v>
      </c>
      <c r="O58">
        <v>9.0299999999999994</v>
      </c>
      <c r="P58">
        <v>1</v>
      </c>
      <c r="Q58">
        <v>9.09</v>
      </c>
      <c r="R58">
        <v>284</v>
      </c>
      <c r="S58">
        <v>6.01</v>
      </c>
      <c r="T58">
        <v>6.01</v>
      </c>
      <c r="U58">
        <v>1.9699999999999999E-4</v>
      </c>
      <c r="V58">
        <v>1.9699999999999999E-4</v>
      </c>
      <c r="W58">
        <v>2.22E-4</v>
      </c>
      <c r="X58">
        <v>1.0499999999999999E-3</v>
      </c>
      <c r="Y58">
        <v>1.2800000000000001E-3</v>
      </c>
      <c r="Z58">
        <v>0.01</v>
      </c>
      <c r="AA58" t="s">
        <v>44</v>
      </c>
      <c r="AB58">
        <v>2.39</v>
      </c>
      <c r="AC58" t="s">
        <v>45</v>
      </c>
      <c r="AD58" t="s">
        <v>46</v>
      </c>
      <c r="AE58" t="s">
        <v>56</v>
      </c>
      <c r="AF58" t="s">
        <v>47</v>
      </c>
      <c r="AG58">
        <v>10</v>
      </c>
      <c r="AH58" t="s">
        <v>48</v>
      </c>
      <c r="AI58" t="s">
        <v>49</v>
      </c>
      <c r="AJ58" t="s">
        <v>50</v>
      </c>
      <c r="AK58" t="s">
        <v>51</v>
      </c>
      <c r="AL58">
        <v>6.01</v>
      </c>
      <c r="AM58">
        <v>4.44E-4</v>
      </c>
      <c r="AN58">
        <v>7.76E-4</v>
      </c>
      <c r="AO58" t="s">
        <v>52</v>
      </c>
      <c r="AP58" t="s">
        <v>53</v>
      </c>
      <c r="AQ58" t="s">
        <v>54</v>
      </c>
    </row>
    <row r="59" spans="1:43" x14ac:dyDescent="0.25">
      <c r="A59" t="s">
        <v>177</v>
      </c>
      <c r="B59" t="s">
        <v>178</v>
      </c>
      <c r="C59">
        <v>119</v>
      </c>
      <c r="D59">
        <v>209</v>
      </c>
      <c r="E59">
        <v>0.26300000000000001</v>
      </c>
      <c r="F59">
        <v>7900</v>
      </c>
      <c r="G59">
        <v>3.7000000000000002E-3</v>
      </c>
      <c r="H59">
        <v>0.104</v>
      </c>
      <c r="I59">
        <v>1.0000000000000001E-5</v>
      </c>
      <c r="J59">
        <v>100</v>
      </c>
      <c r="K59">
        <v>52.5</v>
      </c>
      <c r="L59">
        <v>0.08</v>
      </c>
      <c r="M59">
        <v>3.94</v>
      </c>
      <c r="N59">
        <v>2.1</v>
      </c>
      <c r="O59">
        <v>1.41</v>
      </c>
      <c r="P59">
        <v>1</v>
      </c>
      <c r="Q59">
        <v>8.0500000000000007</v>
      </c>
      <c r="R59">
        <v>101</v>
      </c>
      <c r="S59">
        <v>2.7</v>
      </c>
      <c r="T59">
        <v>2.7</v>
      </c>
      <c r="U59">
        <v>2.0400000000000001E-3</v>
      </c>
      <c r="V59">
        <v>2.0400000000000001E-3</v>
      </c>
      <c r="W59">
        <v>6.11E-4</v>
      </c>
      <c r="X59">
        <v>2.8999999999999998E-3</v>
      </c>
      <c r="Y59">
        <v>3.5100000000000001E-3</v>
      </c>
      <c r="Z59">
        <v>7.0699999999999995E-4</v>
      </c>
      <c r="AA59" t="s">
        <v>44</v>
      </c>
      <c r="AB59">
        <v>6.92</v>
      </c>
      <c r="AC59" t="s">
        <v>45</v>
      </c>
      <c r="AD59" t="s">
        <v>46</v>
      </c>
      <c r="AE59">
        <v>0.01</v>
      </c>
      <c r="AF59">
        <v>3.2000000000000001E-2</v>
      </c>
      <c r="AG59">
        <v>0.3</v>
      </c>
      <c r="AH59">
        <v>2.3E-5</v>
      </c>
      <c r="AI59" t="s">
        <v>49</v>
      </c>
      <c r="AJ59" t="s">
        <v>50</v>
      </c>
      <c r="AK59" t="s">
        <v>51</v>
      </c>
      <c r="AL59">
        <v>2.7</v>
      </c>
      <c r="AM59">
        <v>1.2199999999999999E-3</v>
      </c>
      <c r="AN59">
        <v>2.14E-3</v>
      </c>
      <c r="AO59" t="s">
        <v>52</v>
      </c>
      <c r="AP59" t="s">
        <v>53</v>
      </c>
      <c r="AQ59" t="s">
        <v>54</v>
      </c>
    </row>
    <row r="60" spans="1:43" x14ac:dyDescent="0.25">
      <c r="A60" t="s">
        <v>179</v>
      </c>
      <c r="B60" t="s">
        <v>180</v>
      </c>
      <c r="C60">
        <v>163</v>
      </c>
      <c r="D60">
        <v>333</v>
      </c>
      <c r="E60">
        <v>1.0499999999999999E-5</v>
      </c>
      <c r="F60">
        <v>11.7</v>
      </c>
      <c r="G60">
        <v>3.1399999999999999E-4</v>
      </c>
      <c r="H60">
        <v>1E-3</v>
      </c>
      <c r="I60">
        <v>1.0000000000000001E-5</v>
      </c>
      <c r="J60">
        <v>2400</v>
      </c>
      <c r="K60">
        <v>2100</v>
      </c>
      <c r="L60">
        <v>21</v>
      </c>
      <c r="M60">
        <v>158</v>
      </c>
      <c r="N60">
        <v>84.1</v>
      </c>
      <c r="O60">
        <v>5.27</v>
      </c>
      <c r="P60">
        <v>1</v>
      </c>
      <c r="Q60">
        <v>93</v>
      </c>
      <c r="R60">
        <v>4.42</v>
      </c>
      <c r="S60">
        <v>0.43099999999999999</v>
      </c>
      <c r="T60">
        <v>0.43099999999999999</v>
      </c>
      <c r="U60">
        <v>0.70799999999999996</v>
      </c>
      <c r="V60">
        <v>0.70799999999999996</v>
      </c>
      <c r="W60">
        <v>3.3700000000000002E-3</v>
      </c>
      <c r="X60">
        <v>1.6E-2</v>
      </c>
      <c r="Y60">
        <v>1.9400000000000001E-2</v>
      </c>
      <c r="Z60">
        <v>9.3299999999999994E-2</v>
      </c>
      <c r="AA60" t="s">
        <v>44</v>
      </c>
      <c r="AB60">
        <v>79.900000000000006</v>
      </c>
      <c r="AC60">
        <v>69.3</v>
      </c>
      <c r="AD60" t="s">
        <v>46</v>
      </c>
      <c r="AE60">
        <v>0.08</v>
      </c>
      <c r="AF60" t="s">
        <v>47</v>
      </c>
      <c r="AG60" t="s">
        <v>57</v>
      </c>
      <c r="AH60" t="s">
        <v>48</v>
      </c>
      <c r="AI60" t="s">
        <v>49</v>
      </c>
      <c r="AJ60" t="s">
        <v>50</v>
      </c>
      <c r="AK60" t="s">
        <v>72</v>
      </c>
      <c r="AL60">
        <v>0.43099999999999999</v>
      </c>
      <c r="AM60">
        <v>6.7400000000000003E-3</v>
      </c>
      <c r="AN60">
        <v>1.18E-2</v>
      </c>
      <c r="AO60" t="s">
        <v>52</v>
      </c>
      <c r="AP60" t="s">
        <v>53</v>
      </c>
      <c r="AQ60" t="s">
        <v>54</v>
      </c>
    </row>
    <row r="61" spans="1:43" x14ac:dyDescent="0.25">
      <c r="A61" t="s">
        <v>596</v>
      </c>
      <c r="B61" t="s">
        <v>181</v>
      </c>
      <c r="C61">
        <v>88.5</v>
      </c>
      <c r="D61">
        <v>143</v>
      </c>
      <c r="E61">
        <v>0.28399999999999997</v>
      </c>
      <c r="F61">
        <v>875</v>
      </c>
      <c r="G61">
        <v>2.8799999999999999E-2</v>
      </c>
      <c r="H61">
        <v>9.5600000000000004E-2</v>
      </c>
      <c r="I61">
        <v>1.11E-5</v>
      </c>
      <c r="J61">
        <v>339</v>
      </c>
      <c r="K61">
        <v>121</v>
      </c>
      <c r="L61">
        <v>1.21</v>
      </c>
      <c r="M61">
        <v>9.06</v>
      </c>
      <c r="N61">
        <v>4.83</v>
      </c>
      <c r="O61">
        <v>8.43</v>
      </c>
      <c r="P61">
        <v>1</v>
      </c>
      <c r="Q61">
        <v>20.6</v>
      </c>
      <c r="R61">
        <v>17.100000000000001</v>
      </c>
      <c r="S61">
        <v>1.34</v>
      </c>
      <c r="T61">
        <v>1.34</v>
      </c>
      <c r="U61">
        <v>9.6199999999999996E-4</v>
      </c>
      <c r="V61">
        <v>9.6199999999999996E-4</v>
      </c>
      <c r="W61">
        <v>1.2999999999999999E-3</v>
      </c>
      <c r="X61">
        <v>6.1999999999999998E-3</v>
      </c>
      <c r="Y61">
        <v>7.4999999999999997E-3</v>
      </c>
      <c r="Z61" t="s">
        <v>44</v>
      </c>
      <c r="AA61" t="s">
        <v>44</v>
      </c>
      <c r="AB61">
        <v>17.7</v>
      </c>
      <c r="AC61" t="s">
        <v>45</v>
      </c>
      <c r="AD61" t="s">
        <v>46</v>
      </c>
      <c r="AF61" t="s">
        <v>47</v>
      </c>
      <c r="AG61">
        <v>0.02</v>
      </c>
      <c r="AH61">
        <v>2.9999999999999997E-4</v>
      </c>
      <c r="AI61" t="s">
        <v>49</v>
      </c>
      <c r="AJ61" t="s">
        <v>50</v>
      </c>
      <c r="AK61" t="s">
        <v>51</v>
      </c>
      <c r="AL61">
        <v>1.34</v>
      </c>
      <c r="AM61">
        <v>2.6099999999999999E-3</v>
      </c>
      <c r="AN61">
        <v>4.5700000000000003E-3</v>
      </c>
      <c r="AO61" t="s">
        <v>52</v>
      </c>
      <c r="AP61" t="s">
        <v>53</v>
      </c>
      <c r="AQ61" t="s">
        <v>54</v>
      </c>
    </row>
    <row r="62" spans="1:43" x14ac:dyDescent="0.25">
      <c r="A62" t="s">
        <v>597</v>
      </c>
      <c r="B62" t="s">
        <v>187</v>
      </c>
      <c r="C62">
        <v>52</v>
      </c>
      <c r="D62">
        <v>2170</v>
      </c>
      <c r="E62">
        <v>0</v>
      </c>
      <c r="F62" t="s">
        <v>46</v>
      </c>
      <c r="G62">
        <v>0</v>
      </c>
      <c r="H62">
        <v>0.13600000000000001</v>
      </c>
      <c r="I62">
        <v>1.5800000000000001E-5</v>
      </c>
      <c r="J62">
        <v>0</v>
      </c>
      <c r="K62" t="s">
        <v>44</v>
      </c>
      <c r="L62">
        <v>19</v>
      </c>
      <c r="M62">
        <v>19</v>
      </c>
      <c r="N62">
        <v>19</v>
      </c>
      <c r="O62">
        <v>2.5299999999999999E-6</v>
      </c>
      <c r="P62">
        <v>0</v>
      </c>
      <c r="Q62" t="s">
        <v>57</v>
      </c>
      <c r="R62">
        <v>4.4999999999999997E-3</v>
      </c>
      <c r="S62">
        <v>4.8799999999999998E-3</v>
      </c>
      <c r="T62">
        <v>7.4999999999999997E-3</v>
      </c>
      <c r="U62" t="s">
        <v>57</v>
      </c>
      <c r="V62" t="s">
        <v>57</v>
      </c>
      <c r="W62">
        <v>1.5E-3</v>
      </c>
      <c r="X62">
        <v>5.4999999999999997E-3</v>
      </c>
      <c r="Y62" t="s">
        <v>62</v>
      </c>
      <c r="Z62" t="s">
        <v>44</v>
      </c>
      <c r="AA62" t="s">
        <v>44</v>
      </c>
      <c r="AB62">
        <v>3</v>
      </c>
      <c r="AC62" t="s">
        <v>45</v>
      </c>
      <c r="AD62" t="s">
        <v>46</v>
      </c>
      <c r="AE62">
        <v>1.5</v>
      </c>
      <c r="AF62" t="s">
        <v>47</v>
      </c>
      <c r="AG62" t="s">
        <v>57</v>
      </c>
      <c r="AH62" t="s">
        <v>48</v>
      </c>
      <c r="AI62" t="s">
        <v>49</v>
      </c>
      <c r="AJ62" t="s">
        <v>110</v>
      </c>
      <c r="AK62" t="s">
        <v>111</v>
      </c>
      <c r="AL62">
        <v>7.4999999999999997E-3</v>
      </c>
      <c r="AM62" t="s">
        <v>44</v>
      </c>
      <c r="AN62" t="s">
        <v>44</v>
      </c>
      <c r="AO62" t="s">
        <v>52</v>
      </c>
      <c r="AP62" t="s">
        <v>53</v>
      </c>
      <c r="AQ62" t="s">
        <v>54</v>
      </c>
    </row>
    <row r="63" spans="1:43" x14ac:dyDescent="0.25">
      <c r="A63" t="s">
        <v>711</v>
      </c>
      <c r="B63" t="s">
        <v>189</v>
      </c>
      <c r="C63">
        <v>52</v>
      </c>
      <c r="D63">
        <v>2170</v>
      </c>
      <c r="E63">
        <v>0</v>
      </c>
      <c r="F63" t="s">
        <v>46</v>
      </c>
      <c r="G63">
        <v>0</v>
      </c>
      <c r="H63">
        <v>0.13600000000000001</v>
      </c>
      <c r="I63">
        <v>0</v>
      </c>
      <c r="J63">
        <v>1</v>
      </c>
      <c r="K63" t="s">
        <v>44</v>
      </c>
      <c r="L63">
        <v>19</v>
      </c>
      <c r="M63">
        <v>19</v>
      </c>
      <c r="N63">
        <v>19</v>
      </c>
      <c r="O63">
        <v>2.5299999999999999E-6</v>
      </c>
      <c r="P63">
        <v>0</v>
      </c>
      <c r="Q63" t="s">
        <v>57</v>
      </c>
      <c r="R63">
        <v>4.4999999999999997E-3</v>
      </c>
      <c r="S63">
        <v>4.8799999999999998E-3</v>
      </c>
      <c r="T63">
        <v>7.4999999999999997E-3</v>
      </c>
      <c r="U63" t="s">
        <v>57</v>
      </c>
      <c r="V63" t="s">
        <v>57</v>
      </c>
      <c r="W63">
        <v>1.5E-3</v>
      </c>
      <c r="X63">
        <v>5.4999999999999997E-3</v>
      </c>
      <c r="Y63" t="s">
        <v>62</v>
      </c>
      <c r="Z63" t="s">
        <v>44</v>
      </c>
      <c r="AA63" t="s">
        <v>44</v>
      </c>
      <c r="AB63">
        <v>3.16</v>
      </c>
      <c r="AC63" t="s">
        <v>45</v>
      </c>
      <c r="AD63" t="s">
        <v>46</v>
      </c>
      <c r="AE63">
        <v>3.0000000000000001E-3</v>
      </c>
      <c r="AF63">
        <v>0.5</v>
      </c>
      <c r="AG63">
        <v>7.9999999999999996E-6</v>
      </c>
      <c r="AH63">
        <v>1.2E-2</v>
      </c>
      <c r="AI63" t="s">
        <v>49</v>
      </c>
      <c r="AJ63" t="s">
        <v>110</v>
      </c>
      <c r="AK63" t="s">
        <v>111</v>
      </c>
      <c r="AL63">
        <v>4.4999999999999997E-3</v>
      </c>
      <c r="AM63" t="s">
        <v>44</v>
      </c>
      <c r="AN63" t="s">
        <v>44</v>
      </c>
      <c r="AO63" t="s">
        <v>52</v>
      </c>
      <c r="AP63" t="s">
        <v>53</v>
      </c>
      <c r="AQ63" t="s">
        <v>54</v>
      </c>
    </row>
    <row r="64" spans="1:43" x14ac:dyDescent="0.25">
      <c r="A64" t="s">
        <v>190</v>
      </c>
      <c r="B64" t="s">
        <v>191</v>
      </c>
      <c r="C64">
        <v>228</v>
      </c>
      <c r="D64">
        <v>533</v>
      </c>
      <c r="E64">
        <v>8.1600000000000008E-12</v>
      </c>
      <c r="F64">
        <v>6.3E-3</v>
      </c>
      <c r="G64">
        <v>9.5000000000000005E-5</v>
      </c>
      <c r="H64">
        <v>1E-3</v>
      </c>
      <c r="I64">
        <v>1.0000000000000001E-5</v>
      </c>
      <c r="J64">
        <v>501000</v>
      </c>
      <c r="K64">
        <v>401000</v>
      </c>
      <c r="L64">
        <v>60000</v>
      </c>
      <c r="M64">
        <v>30100</v>
      </c>
      <c r="N64">
        <v>16000</v>
      </c>
      <c r="O64">
        <v>0.25</v>
      </c>
      <c r="P64">
        <v>0.74399999999999999</v>
      </c>
      <c r="Q64">
        <v>5690</v>
      </c>
      <c r="R64">
        <v>9.4799999999999995E-2</v>
      </c>
      <c r="S64">
        <v>1.9699999999999999E-2</v>
      </c>
      <c r="T64">
        <v>1.9699999999999999E-2</v>
      </c>
      <c r="U64">
        <v>692</v>
      </c>
      <c r="V64">
        <v>692</v>
      </c>
      <c r="W64">
        <v>8.4100000000000008E-3</v>
      </c>
      <c r="X64">
        <v>3.9899999999999998E-2</v>
      </c>
      <c r="Y64">
        <v>4.8300000000000003E-2</v>
      </c>
      <c r="Z64">
        <v>4.3600000000000003</v>
      </c>
      <c r="AA64" t="s">
        <v>44</v>
      </c>
      <c r="AB64">
        <v>4890</v>
      </c>
      <c r="AC64">
        <v>49900</v>
      </c>
      <c r="AD64" t="s">
        <v>46</v>
      </c>
      <c r="AE64" t="s">
        <v>56</v>
      </c>
      <c r="AF64">
        <v>0.17</v>
      </c>
      <c r="AG64" t="s">
        <v>57</v>
      </c>
      <c r="AH64">
        <v>1.8000000000000001E-4</v>
      </c>
      <c r="AI64" t="s">
        <v>49</v>
      </c>
      <c r="AJ64" t="s">
        <v>50</v>
      </c>
      <c r="AK64" t="s">
        <v>72</v>
      </c>
      <c r="AL64">
        <v>1.9699999999999999E-2</v>
      </c>
      <c r="AM64">
        <v>1.6799999999999999E-2</v>
      </c>
      <c r="AN64">
        <v>2.9399999999999999E-2</v>
      </c>
      <c r="AO64" t="s">
        <v>52</v>
      </c>
      <c r="AP64" t="s">
        <v>53</v>
      </c>
      <c r="AQ64" t="s">
        <v>54</v>
      </c>
    </row>
    <row r="65" spans="1:43" x14ac:dyDescent="0.25">
      <c r="A65" t="s">
        <v>731</v>
      </c>
      <c r="B65" t="s">
        <v>732</v>
      </c>
      <c r="C65">
        <v>242.32</v>
      </c>
      <c r="D65">
        <v>422.4</v>
      </c>
      <c r="E65">
        <v>7.1400000000000002E-10</v>
      </c>
      <c r="F65">
        <v>1.3299999999999999E-2</v>
      </c>
      <c r="G65">
        <v>5.5300000000000004E-6</v>
      </c>
      <c r="H65">
        <v>4.8899999999999999E-2</v>
      </c>
      <c r="I65">
        <v>5.66E-6</v>
      </c>
      <c r="J65">
        <v>1170000</v>
      </c>
      <c r="K65">
        <v>290000</v>
      </c>
      <c r="L65">
        <v>9270</v>
      </c>
      <c r="M65">
        <v>69500</v>
      </c>
      <c r="N65">
        <v>37100</v>
      </c>
      <c r="O65">
        <v>2.11</v>
      </c>
      <c r="P65">
        <v>0.84799999999999998</v>
      </c>
      <c r="Q65">
        <v>11000</v>
      </c>
      <c r="R65">
        <v>1.18</v>
      </c>
      <c r="S65">
        <v>1.2E-2</v>
      </c>
      <c r="T65">
        <v>1.2E-2</v>
      </c>
      <c r="U65">
        <v>125000</v>
      </c>
      <c r="V65">
        <v>125000</v>
      </c>
      <c r="W65">
        <v>7.7499999999999999E-3</v>
      </c>
      <c r="X65">
        <v>3.6799999999999999E-2</v>
      </c>
      <c r="Y65">
        <v>4.4600000000000001E-2</v>
      </c>
      <c r="Z65">
        <v>4.3600000000000003</v>
      </c>
      <c r="AB65">
        <v>764.6</v>
      </c>
      <c r="AC65">
        <v>1002</v>
      </c>
      <c r="AF65">
        <v>1.7</v>
      </c>
      <c r="AH65">
        <v>1.8E-3</v>
      </c>
      <c r="AI65" t="s">
        <v>49</v>
      </c>
      <c r="AJ65" t="s">
        <v>50</v>
      </c>
      <c r="AK65" t="s">
        <v>72</v>
      </c>
      <c r="AL65">
        <v>1.2E-2</v>
      </c>
      <c r="AM65">
        <v>1.55E-2</v>
      </c>
      <c r="AN65">
        <v>2.7099999999999999E-2</v>
      </c>
      <c r="AO65" t="s">
        <v>52</v>
      </c>
      <c r="AP65" t="s">
        <v>53</v>
      </c>
      <c r="AQ65" t="s">
        <v>54</v>
      </c>
    </row>
    <row r="66" spans="1:43" x14ac:dyDescent="0.25">
      <c r="A66" t="s">
        <v>598</v>
      </c>
      <c r="B66" t="s">
        <v>192</v>
      </c>
      <c r="C66">
        <v>58.9</v>
      </c>
      <c r="D66">
        <v>1770</v>
      </c>
      <c r="E66">
        <v>5.5000000000000004E-12</v>
      </c>
      <c r="F66">
        <v>87500</v>
      </c>
      <c r="G66">
        <v>0</v>
      </c>
      <c r="H66">
        <v>0.126</v>
      </c>
      <c r="I66">
        <v>0</v>
      </c>
      <c r="J66">
        <v>1.7</v>
      </c>
      <c r="K66">
        <v>13.2</v>
      </c>
      <c r="L66" t="s">
        <v>57</v>
      </c>
      <c r="M66">
        <v>0.98999999999999988</v>
      </c>
      <c r="N66">
        <v>0.52800000000000002</v>
      </c>
      <c r="O66">
        <v>2.5299999999999999E-6</v>
      </c>
      <c r="P66">
        <v>0</v>
      </c>
      <c r="Q66" t="s">
        <v>57</v>
      </c>
      <c r="R66">
        <v>7.0000000000000001E-3</v>
      </c>
      <c r="S66" t="s">
        <v>56</v>
      </c>
      <c r="T66">
        <v>0.02</v>
      </c>
      <c r="U66">
        <v>0.02</v>
      </c>
      <c r="V66">
        <v>0.02</v>
      </c>
      <c r="W66" t="s">
        <v>62</v>
      </c>
      <c r="X66">
        <v>0.02</v>
      </c>
      <c r="Y66" t="s">
        <v>62</v>
      </c>
      <c r="Z66" t="s">
        <v>44</v>
      </c>
      <c r="AA66" t="s">
        <v>44</v>
      </c>
      <c r="AB66">
        <v>0.98119999999999996</v>
      </c>
      <c r="AC66">
        <v>0.98119999999999996</v>
      </c>
      <c r="AD66" t="s">
        <v>46</v>
      </c>
      <c r="AE66">
        <v>2.9999999999999997E-4</v>
      </c>
      <c r="AF66" t="s">
        <v>47</v>
      </c>
      <c r="AG66">
        <v>6.0000000000000002E-6</v>
      </c>
      <c r="AH66">
        <v>8.9999999999999993E-3</v>
      </c>
      <c r="AI66" t="s">
        <v>49</v>
      </c>
      <c r="AJ66" t="s">
        <v>110</v>
      </c>
      <c r="AK66" t="s">
        <v>111</v>
      </c>
      <c r="AL66" t="s">
        <v>44</v>
      </c>
      <c r="AM66" t="s">
        <v>44</v>
      </c>
      <c r="AN66" t="s">
        <v>44</v>
      </c>
      <c r="AO66" t="s">
        <v>52</v>
      </c>
      <c r="AP66" t="s">
        <v>53</v>
      </c>
      <c r="AQ66" t="s">
        <v>54</v>
      </c>
    </row>
    <row r="67" spans="1:43" x14ac:dyDescent="0.25">
      <c r="A67" t="s">
        <v>599</v>
      </c>
      <c r="B67" t="s">
        <v>193</v>
      </c>
      <c r="C67">
        <v>64</v>
      </c>
      <c r="D67">
        <v>1370</v>
      </c>
      <c r="E67">
        <v>0</v>
      </c>
      <c r="F67">
        <v>10000</v>
      </c>
      <c r="G67">
        <v>0</v>
      </c>
      <c r="H67">
        <v>0.11899999999999999</v>
      </c>
      <c r="I67">
        <v>0</v>
      </c>
      <c r="J67">
        <v>0.26900000000000002</v>
      </c>
      <c r="K67">
        <v>13.2</v>
      </c>
      <c r="L67" t="s">
        <v>57</v>
      </c>
      <c r="M67">
        <v>0.98999999999999988</v>
      </c>
      <c r="N67">
        <v>0.52800000000000002</v>
      </c>
      <c r="O67">
        <v>2.5299999999999999E-6</v>
      </c>
      <c r="P67">
        <v>0</v>
      </c>
      <c r="Q67" t="s">
        <v>57</v>
      </c>
      <c r="R67" t="s">
        <v>57</v>
      </c>
      <c r="S67" t="s">
        <v>56</v>
      </c>
      <c r="T67" t="s">
        <v>56</v>
      </c>
      <c r="U67" t="s">
        <v>57</v>
      </c>
      <c r="V67" t="s">
        <v>57</v>
      </c>
      <c r="W67" t="s">
        <v>62</v>
      </c>
      <c r="X67" t="s">
        <v>62</v>
      </c>
      <c r="Y67" t="s">
        <v>62</v>
      </c>
      <c r="Z67" t="s">
        <v>44</v>
      </c>
      <c r="AA67" t="s">
        <v>44</v>
      </c>
      <c r="AB67" t="s">
        <v>63</v>
      </c>
      <c r="AC67" t="s">
        <v>45</v>
      </c>
      <c r="AD67" t="s">
        <v>46</v>
      </c>
      <c r="AF67" t="s">
        <v>47</v>
      </c>
      <c r="AG67" t="s">
        <v>57</v>
      </c>
      <c r="AH67" t="s">
        <v>48</v>
      </c>
      <c r="AI67" t="s">
        <v>49</v>
      </c>
      <c r="AJ67" t="s">
        <v>110</v>
      </c>
      <c r="AK67" t="s">
        <v>111</v>
      </c>
      <c r="AL67" t="s">
        <v>44</v>
      </c>
      <c r="AM67" t="s">
        <v>44</v>
      </c>
      <c r="AN67" t="s">
        <v>44</v>
      </c>
      <c r="AO67" t="s">
        <v>52</v>
      </c>
      <c r="AP67" t="s">
        <v>53</v>
      </c>
      <c r="AQ67" t="s">
        <v>54</v>
      </c>
    </row>
    <row r="68" spans="1:43" x14ac:dyDescent="0.25">
      <c r="A68" t="s">
        <v>600</v>
      </c>
      <c r="B68" t="s">
        <v>195</v>
      </c>
      <c r="C68">
        <v>109</v>
      </c>
      <c r="D68">
        <v>294</v>
      </c>
      <c r="E68">
        <v>2.24E-4</v>
      </c>
      <c r="F68">
        <v>9070</v>
      </c>
      <c r="G68">
        <v>2.6900000000000001E-6</v>
      </c>
      <c r="H68">
        <v>8.3199999999999996E-2</v>
      </c>
      <c r="I68">
        <v>9.6299999999999993E-6</v>
      </c>
      <c r="J68">
        <v>89.1</v>
      </c>
      <c r="K68">
        <v>82.6</v>
      </c>
      <c r="L68">
        <v>0.82599999999999996</v>
      </c>
      <c r="M68">
        <v>6.2</v>
      </c>
      <c r="N68">
        <v>3.31</v>
      </c>
      <c r="O68">
        <v>8.43</v>
      </c>
      <c r="P68">
        <v>1</v>
      </c>
      <c r="Q68">
        <v>13.7</v>
      </c>
      <c r="R68">
        <v>16.600000000000001</v>
      </c>
      <c r="S68">
        <v>2.89</v>
      </c>
      <c r="T68">
        <v>2.89</v>
      </c>
      <c r="U68">
        <v>2.48</v>
      </c>
      <c r="V68">
        <v>2.48</v>
      </c>
      <c r="W68">
        <v>5.6499999999999996E-4</v>
      </c>
      <c r="X68">
        <v>2.6800000000000001E-3</v>
      </c>
      <c r="Y68">
        <v>3.2499999999999999E-3</v>
      </c>
      <c r="Z68" t="s">
        <v>44</v>
      </c>
      <c r="AA68" t="s">
        <v>44</v>
      </c>
      <c r="AB68">
        <v>6.33</v>
      </c>
      <c r="AC68" t="s">
        <v>45</v>
      </c>
      <c r="AD68" t="s">
        <v>46</v>
      </c>
      <c r="AF68" t="s">
        <v>47</v>
      </c>
      <c r="AG68">
        <v>0.6</v>
      </c>
      <c r="AH68" t="s">
        <v>48</v>
      </c>
      <c r="AI68" t="s">
        <v>49</v>
      </c>
      <c r="AJ68" t="s">
        <v>50</v>
      </c>
      <c r="AK68" t="s">
        <v>51</v>
      </c>
      <c r="AL68">
        <v>2.89</v>
      </c>
      <c r="AM68">
        <v>1.1299999999999999E-3</v>
      </c>
      <c r="AN68">
        <v>1.98E-3</v>
      </c>
      <c r="AO68" t="s">
        <v>52</v>
      </c>
      <c r="AP68" t="s">
        <v>53</v>
      </c>
      <c r="AQ68" t="s">
        <v>54</v>
      </c>
    </row>
    <row r="69" spans="1:43" x14ac:dyDescent="0.25">
      <c r="A69" t="s">
        <v>204</v>
      </c>
      <c r="B69" t="s">
        <v>205</v>
      </c>
      <c r="C69">
        <v>120</v>
      </c>
      <c r="D69">
        <v>177</v>
      </c>
      <c r="E69">
        <v>5.9199999999999999E-3</v>
      </c>
      <c r="F69">
        <v>61</v>
      </c>
      <c r="G69">
        <v>1.2</v>
      </c>
      <c r="H69">
        <v>6.5000000000000002E-2</v>
      </c>
      <c r="I69">
        <v>7.0999999999999998E-6</v>
      </c>
      <c r="J69">
        <v>5010</v>
      </c>
      <c r="K69">
        <v>1020</v>
      </c>
      <c r="L69">
        <v>600</v>
      </c>
      <c r="M69">
        <v>76.5</v>
      </c>
      <c r="N69">
        <v>40.799999999999997</v>
      </c>
      <c r="O69">
        <v>31.6</v>
      </c>
      <c r="P69">
        <v>1</v>
      </c>
      <c r="Q69">
        <v>164</v>
      </c>
      <c r="R69">
        <v>0.27300000000000002</v>
      </c>
      <c r="S69">
        <v>0.28100000000000003</v>
      </c>
      <c r="T69">
        <v>0.28100000000000003</v>
      </c>
      <c r="U69">
        <v>4.06E-4</v>
      </c>
      <c r="V69">
        <v>4.06E-4</v>
      </c>
      <c r="W69">
        <v>4.4200000000000003E-3</v>
      </c>
      <c r="X69">
        <v>2.1000000000000001E-2</v>
      </c>
      <c r="Y69">
        <v>2.5399999999999999E-2</v>
      </c>
      <c r="Z69">
        <v>3.2599999999999997E-2</v>
      </c>
      <c r="AA69" t="s">
        <v>44</v>
      </c>
      <c r="AB69">
        <v>141</v>
      </c>
      <c r="AC69" t="s">
        <v>45</v>
      </c>
      <c r="AD69" t="s">
        <v>46</v>
      </c>
      <c r="AE69">
        <v>0.1</v>
      </c>
      <c r="AF69" t="s">
        <v>47</v>
      </c>
      <c r="AG69">
        <v>0.4</v>
      </c>
      <c r="AH69" t="s">
        <v>48</v>
      </c>
      <c r="AI69" t="s">
        <v>49</v>
      </c>
      <c r="AJ69" t="s">
        <v>50</v>
      </c>
      <c r="AK69" t="s">
        <v>51</v>
      </c>
      <c r="AL69">
        <v>0.28100000000000003</v>
      </c>
      <c r="AM69">
        <v>8.8500000000000002E-3</v>
      </c>
      <c r="AN69">
        <v>1.55E-2</v>
      </c>
      <c r="AO69" t="s">
        <v>52</v>
      </c>
      <c r="AP69" t="s">
        <v>53</v>
      </c>
      <c r="AQ69" t="s">
        <v>54</v>
      </c>
    </row>
    <row r="70" spans="1:43" x14ac:dyDescent="0.25">
      <c r="A70" t="s">
        <v>601</v>
      </c>
      <c r="B70" t="s">
        <v>206</v>
      </c>
      <c r="C70">
        <v>26.02</v>
      </c>
      <c r="D70" t="s">
        <v>60</v>
      </c>
      <c r="E70">
        <v>0.40799999999999997</v>
      </c>
      <c r="F70">
        <v>95400</v>
      </c>
      <c r="G70">
        <v>2.4E-2</v>
      </c>
      <c r="H70">
        <v>1E-3</v>
      </c>
      <c r="I70">
        <v>1.0000000000000001E-5</v>
      </c>
      <c r="J70">
        <v>0.20417379399999999</v>
      </c>
      <c r="K70">
        <v>0.34</v>
      </c>
      <c r="L70">
        <v>9.9</v>
      </c>
      <c r="M70">
        <v>0.03</v>
      </c>
      <c r="N70">
        <v>1.4E-2</v>
      </c>
      <c r="O70" t="s">
        <v>57</v>
      </c>
      <c r="P70">
        <v>1</v>
      </c>
      <c r="Q70">
        <v>6.39</v>
      </c>
      <c r="R70">
        <v>0.64600000000000002</v>
      </c>
      <c r="S70">
        <v>8.3800000000000008</v>
      </c>
      <c r="T70">
        <v>8.3800000000000008</v>
      </c>
      <c r="U70">
        <v>4.2899999999999999E-7</v>
      </c>
      <c r="V70">
        <v>4.2899999999999999E-7</v>
      </c>
      <c r="W70">
        <v>1.9099999999999999E-6</v>
      </c>
      <c r="X70">
        <v>9.0699999999999996E-6</v>
      </c>
      <c r="Y70">
        <v>1.1E-5</v>
      </c>
      <c r="Z70" t="s">
        <v>44</v>
      </c>
      <c r="AA70" t="s">
        <v>44</v>
      </c>
      <c r="AB70">
        <v>3.16</v>
      </c>
      <c r="AC70" t="s">
        <v>45</v>
      </c>
      <c r="AD70" t="s">
        <v>46</v>
      </c>
      <c r="AE70">
        <v>5.9999999999999995E-4</v>
      </c>
      <c r="AF70" t="s">
        <v>47</v>
      </c>
      <c r="AG70">
        <v>3.0000000000000001E-3</v>
      </c>
      <c r="AH70" t="s">
        <v>48</v>
      </c>
      <c r="AI70" t="s">
        <v>49</v>
      </c>
      <c r="AJ70" t="s">
        <v>50</v>
      </c>
      <c r="AK70" t="s">
        <v>51</v>
      </c>
      <c r="AL70">
        <v>8.3800000000000008</v>
      </c>
      <c r="AM70">
        <v>3.8199999999999998E-6</v>
      </c>
      <c r="AN70">
        <v>6.6800000000000004E-6</v>
      </c>
      <c r="AO70" t="s">
        <v>52</v>
      </c>
      <c r="AP70" t="s">
        <v>53</v>
      </c>
      <c r="AQ70" t="s">
        <v>54</v>
      </c>
    </row>
    <row r="71" spans="1:43" x14ac:dyDescent="0.25">
      <c r="A71" t="s">
        <v>488</v>
      </c>
      <c r="B71" t="s">
        <v>489</v>
      </c>
      <c r="C71">
        <v>84.16</v>
      </c>
      <c r="D71">
        <v>191.28</v>
      </c>
      <c r="E71">
        <v>0.123</v>
      </c>
      <c r="F71">
        <v>43.02</v>
      </c>
      <c r="G71">
        <v>0.255</v>
      </c>
      <c r="H71">
        <v>0.08</v>
      </c>
      <c r="I71">
        <v>9.1099999999999992E-6</v>
      </c>
      <c r="J71">
        <v>1513.6</v>
      </c>
      <c r="K71">
        <v>145.80000000000001</v>
      </c>
      <c r="M71">
        <v>10.935</v>
      </c>
      <c r="N71">
        <v>5.8320000000000007</v>
      </c>
      <c r="P71">
        <v>1</v>
      </c>
      <c r="U71">
        <v>0.38900000000000001</v>
      </c>
      <c r="V71">
        <v>0.38900000000000001</v>
      </c>
      <c r="W71">
        <v>2.1800000000000001E-5</v>
      </c>
      <c r="X71">
        <v>6.8899999999999994E-5</v>
      </c>
      <c r="AB71">
        <v>0.83</v>
      </c>
    </row>
    <row r="72" spans="1:43" x14ac:dyDescent="0.25">
      <c r="A72" t="s">
        <v>522</v>
      </c>
      <c r="B72" t="s">
        <v>523</v>
      </c>
      <c r="C72">
        <v>498.66</v>
      </c>
      <c r="D72">
        <v>473.37</v>
      </c>
      <c r="E72">
        <v>1.3400000000000001E-13</v>
      </c>
      <c r="F72">
        <v>6.3200000000000005E-5</v>
      </c>
      <c r="G72">
        <v>1.9999999999999999E-6</v>
      </c>
      <c r="J72">
        <v>186000000</v>
      </c>
      <c r="K72">
        <v>440000</v>
      </c>
      <c r="M72">
        <v>33000</v>
      </c>
      <c r="N72">
        <v>17600</v>
      </c>
      <c r="P72">
        <v>0.98740000000000006</v>
      </c>
      <c r="AK72" t="s">
        <v>65</v>
      </c>
    </row>
    <row r="73" spans="1:43" x14ac:dyDescent="0.25">
      <c r="A73" t="s">
        <v>609</v>
      </c>
      <c r="B73" t="s">
        <v>207</v>
      </c>
      <c r="C73">
        <v>278</v>
      </c>
      <c r="D73">
        <v>543</v>
      </c>
      <c r="E73">
        <v>1.3199999999999999E-13</v>
      </c>
      <c r="F73">
        <v>2.5000000000000001E-3</v>
      </c>
      <c r="G73">
        <v>1.4999999999999999E-8</v>
      </c>
      <c r="H73">
        <v>1E-3</v>
      </c>
      <c r="I73">
        <v>1.0000000000000001E-5</v>
      </c>
      <c r="J73">
        <v>3160000</v>
      </c>
      <c r="K73">
        <v>1790000</v>
      </c>
      <c r="L73">
        <v>580000</v>
      </c>
      <c r="M73">
        <v>134000</v>
      </c>
      <c r="N73">
        <v>71600</v>
      </c>
      <c r="O73">
        <v>0.27</v>
      </c>
      <c r="P73">
        <v>5.5E-2</v>
      </c>
      <c r="Q73">
        <v>23500</v>
      </c>
      <c r="R73">
        <v>4.0500000000000001E-2</v>
      </c>
      <c r="S73">
        <v>6.7799999999999996E-3</v>
      </c>
      <c r="T73">
        <v>6.7799999999999996E-3</v>
      </c>
      <c r="U73">
        <v>31200000</v>
      </c>
      <c r="V73">
        <v>31200000</v>
      </c>
      <c r="W73">
        <v>6.5199999999999998E-3</v>
      </c>
      <c r="X73">
        <v>3.1E-2</v>
      </c>
      <c r="Y73">
        <v>3.7499999999999999E-2</v>
      </c>
      <c r="Z73">
        <v>28</v>
      </c>
      <c r="AA73" t="s">
        <v>44</v>
      </c>
      <c r="AB73">
        <v>20200</v>
      </c>
      <c r="AC73">
        <v>497000</v>
      </c>
      <c r="AD73" t="s">
        <v>46</v>
      </c>
      <c r="AE73" t="s">
        <v>56</v>
      </c>
      <c r="AF73">
        <v>17</v>
      </c>
      <c r="AG73" t="s">
        <v>57</v>
      </c>
      <c r="AH73">
        <v>1.7999999999999999E-2</v>
      </c>
      <c r="AI73" t="s">
        <v>49</v>
      </c>
      <c r="AJ73" t="s">
        <v>50</v>
      </c>
      <c r="AK73" t="s">
        <v>72</v>
      </c>
      <c r="AL73">
        <v>6.7799999999999996E-3</v>
      </c>
      <c r="AM73">
        <v>1.2999999999999999E-2</v>
      </c>
      <c r="AN73">
        <v>2.2800000000000001E-2</v>
      </c>
      <c r="AO73" t="s">
        <v>52</v>
      </c>
      <c r="AP73" t="s">
        <v>53</v>
      </c>
      <c r="AQ73" t="s">
        <v>54</v>
      </c>
    </row>
    <row r="74" spans="1:43" x14ac:dyDescent="0.25">
      <c r="A74" t="s">
        <v>602</v>
      </c>
      <c r="B74" t="s">
        <v>209</v>
      </c>
      <c r="C74">
        <v>302.38</v>
      </c>
      <c r="D74">
        <v>489.15</v>
      </c>
      <c r="E74">
        <v>9.2999999999999995E-14</v>
      </c>
      <c r="F74">
        <v>2.4000000000000001E-4</v>
      </c>
      <c r="G74">
        <v>1.4E-8</v>
      </c>
      <c r="H74">
        <v>4.2200000000000001E-2</v>
      </c>
      <c r="I74">
        <v>4.9300000000000002E-6</v>
      </c>
      <c r="J74">
        <v>19054607.18</v>
      </c>
      <c r="K74">
        <v>4910000</v>
      </c>
      <c r="L74">
        <v>49100</v>
      </c>
      <c r="M74">
        <v>368250</v>
      </c>
      <c r="N74">
        <v>196400</v>
      </c>
      <c r="O74">
        <v>0.48</v>
      </c>
      <c r="P74">
        <v>1.2E-2</v>
      </c>
      <c r="Q74">
        <v>93682.106530000005</v>
      </c>
      <c r="R74">
        <v>1.9079858759999999</v>
      </c>
      <c r="S74">
        <v>2.399717E-3</v>
      </c>
      <c r="T74">
        <v>2.399717E-3</v>
      </c>
      <c r="U74">
        <v>226192136.59999999</v>
      </c>
      <c r="V74">
        <v>226192136.59999999</v>
      </c>
      <c r="W74">
        <v>3.8443100000000001E-3</v>
      </c>
      <c r="X74">
        <v>1.8260472E-2</v>
      </c>
      <c r="Y74">
        <v>2.2104782E-2</v>
      </c>
      <c r="Z74">
        <v>3.79</v>
      </c>
      <c r="AA74" t="s">
        <v>44</v>
      </c>
      <c r="AB74">
        <v>26693.160639999998</v>
      </c>
      <c r="AC74">
        <v>133000</v>
      </c>
      <c r="AD74" t="s">
        <v>46</v>
      </c>
      <c r="AE74" t="s">
        <v>56</v>
      </c>
      <c r="AF74">
        <v>0.68</v>
      </c>
      <c r="AG74" t="s">
        <v>57</v>
      </c>
      <c r="AH74">
        <v>7.2000000000000005E-4</v>
      </c>
      <c r="AI74" t="s">
        <v>49</v>
      </c>
      <c r="AJ74" t="s">
        <v>61</v>
      </c>
      <c r="AK74" t="s">
        <v>72</v>
      </c>
      <c r="AL74">
        <v>1.32E-2</v>
      </c>
      <c r="AM74">
        <v>1.5800000000000002E-2</v>
      </c>
      <c r="AN74">
        <v>2.7699999999999999E-2</v>
      </c>
      <c r="AO74" t="s">
        <v>52</v>
      </c>
      <c r="AP74" t="s">
        <v>53</v>
      </c>
      <c r="AQ74" t="s">
        <v>54</v>
      </c>
    </row>
    <row r="75" spans="1:43" x14ac:dyDescent="0.25">
      <c r="A75" t="s">
        <v>603</v>
      </c>
      <c r="B75" t="s">
        <v>552</v>
      </c>
      <c r="C75">
        <v>279.33999999999997</v>
      </c>
      <c r="D75">
        <v>469</v>
      </c>
      <c r="E75">
        <v>1.04E-12</v>
      </c>
      <c r="F75">
        <v>1.6E-2</v>
      </c>
      <c r="G75">
        <v>427000</v>
      </c>
      <c r="H75">
        <v>4.4499999999999998E-2</v>
      </c>
      <c r="I75">
        <v>5.2000000000000002E-6</v>
      </c>
      <c r="J75">
        <v>537000</v>
      </c>
      <c r="K75">
        <v>1910000</v>
      </c>
      <c r="L75">
        <v>939</v>
      </c>
      <c r="M75">
        <v>143250</v>
      </c>
      <c r="N75">
        <v>76400</v>
      </c>
      <c r="O75">
        <v>0.48</v>
      </c>
      <c r="P75">
        <v>0.122</v>
      </c>
      <c r="Q75">
        <v>5394.5676999999996</v>
      </c>
      <c r="R75">
        <v>5.7450135250000001</v>
      </c>
      <c r="S75">
        <v>2.0452199000000001E-2</v>
      </c>
      <c r="T75">
        <v>2.0452199000000001E-2</v>
      </c>
      <c r="U75">
        <v>1.83E-2</v>
      </c>
      <c r="V75">
        <v>3.6600000000000001E-3</v>
      </c>
      <c r="W75">
        <v>4.2399999999999998E-3</v>
      </c>
      <c r="X75">
        <v>1.34E-2</v>
      </c>
      <c r="Y75">
        <v>4.5499999999999999E-2</v>
      </c>
      <c r="Z75">
        <v>10.7</v>
      </c>
      <c r="AB75">
        <v>107</v>
      </c>
      <c r="AC75">
        <v>133000</v>
      </c>
      <c r="AH75">
        <v>1.8000000000000001E-4</v>
      </c>
      <c r="AJ75" t="s">
        <v>50</v>
      </c>
      <c r="AK75" t="s">
        <v>72</v>
      </c>
      <c r="AL75">
        <v>1.32E-2</v>
      </c>
      <c r="AM75">
        <v>1.5800000000000002E-2</v>
      </c>
      <c r="AN75">
        <v>2.7699999999999999E-2</v>
      </c>
    </row>
    <row r="76" spans="1:43" x14ac:dyDescent="0.25">
      <c r="A76" t="s">
        <v>604</v>
      </c>
      <c r="B76" t="s">
        <v>211</v>
      </c>
      <c r="C76">
        <v>302.38</v>
      </c>
      <c r="D76">
        <v>489.15</v>
      </c>
      <c r="E76">
        <v>8.4399999999999999E-15</v>
      </c>
      <c r="F76">
        <v>5.5400000000000002E-4</v>
      </c>
      <c r="G76">
        <v>1.4100000000000001E-8</v>
      </c>
      <c r="H76">
        <v>4.2200000000000001E-2</v>
      </c>
      <c r="I76">
        <v>4.9300000000000002E-6</v>
      </c>
      <c r="J76">
        <v>19054607.18</v>
      </c>
      <c r="K76">
        <v>2080000</v>
      </c>
      <c r="L76">
        <v>20800</v>
      </c>
      <c r="M76">
        <v>156000</v>
      </c>
      <c r="N76">
        <v>83200</v>
      </c>
      <c r="O76">
        <v>0.48</v>
      </c>
      <c r="P76">
        <v>1.1000000000000001E-3</v>
      </c>
      <c r="Q76">
        <v>93682.106530000005</v>
      </c>
      <c r="R76">
        <v>4.5039474290000001</v>
      </c>
      <c r="S76">
        <v>2.399717E-3</v>
      </c>
      <c r="T76">
        <v>2.399717E-3</v>
      </c>
      <c r="U76">
        <v>224587937</v>
      </c>
      <c r="V76">
        <v>224587937</v>
      </c>
      <c r="W76">
        <v>3.8443100000000001E-3</v>
      </c>
      <c r="X76">
        <v>1.8260472E-2</v>
      </c>
      <c r="Y76">
        <v>2.2104782E-2</v>
      </c>
      <c r="Z76">
        <v>10.7</v>
      </c>
      <c r="AA76" t="s">
        <v>44</v>
      </c>
      <c r="AB76">
        <v>26693.160639999998</v>
      </c>
      <c r="AC76">
        <v>133000</v>
      </c>
      <c r="AD76" t="s">
        <v>46</v>
      </c>
      <c r="AE76" t="s">
        <v>56</v>
      </c>
      <c r="AF76">
        <v>1.5</v>
      </c>
      <c r="AG76" t="s">
        <v>57</v>
      </c>
      <c r="AH76">
        <v>1.6000000000000001E-3</v>
      </c>
      <c r="AI76" t="s">
        <v>49</v>
      </c>
      <c r="AJ76" t="s">
        <v>61</v>
      </c>
      <c r="AK76" t="s">
        <v>72</v>
      </c>
      <c r="AL76">
        <v>1.32E-2</v>
      </c>
      <c r="AM76">
        <v>1.5800000000000002E-2</v>
      </c>
      <c r="AN76">
        <v>2.7699999999999999E-2</v>
      </c>
      <c r="AO76" t="s">
        <v>52</v>
      </c>
      <c r="AP76" t="s">
        <v>53</v>
      </c>
      <c r="AQ76" t="s">
        <v>54</v>
      </c>
    </row>
    <row r="77" spans="1:43" x14ac:dyDescent="0.25">
      <c r="A77" t="s">
        <v>605</v>
      </c>
      <c r="B77" t="s">
        <v>213</v>
      </c>
      <c r="C77">
        <v>302.38</v>
      </c>
      <c r="D77">
        <v>489.15</v>
      </c>
      <c r="E77">
        <v>8.3999999999999992E-15</v>
      </c>
      <c r="F77">
        <v>5.5400000000000002E-4</v>
      </c>
      <c r="G77">
        <v>1.4100000000000001E-8</v>
      </c>
      <c r="H77">
        <v>4.2200000000000001E-2</v>
      </c>
      <c r="I77">
        <v>4.9300000000000002E-6</v>
      </c>
      <c r="J77">
        <v>19054607.18</v>
      </c>
      <c r="K77">
        <v>2080000</v>
      </c>
      <c r="L77">
        <v>20800</v>
      </c>
      <c r="M77">
        <v>156000</v>
      </c>
      <c r="N77">
        <v>83200</v>
      </c>
      <c r="O77">
        <v>0.48</v>
      </c>
      <c r="P77">
        <v>1.1000000000000001E-3</v>
      </c>
      <c r="Q77">
        <v>93682.106530000005</v>
      </c>
      <c r="R77">
        <v>4.5039474290000001</v>
      </c>
      <c r="S77">
        <v>2.399717E-3</v>
      </c>
      <c r="T77">
        <v>2.399717E-3</v>
      </c>
      <c r="U77">
        <v>224587937</v>
      </c>
      <c r="V77">
        <v>224587937</v>
      </c>
      <c r="W77">
        <v>3.8443100000000001E-3</v>
      </c>
      <c r="X77">
        <v>1.8260472E-2</v>
      </c>
      <c r="Y77">
        <v>2.2104782E-2</v>
      </c>
      <c r="Z77">
        <v>10.7</v>
      </c>
      <c r="AA77" t="s">
        <v>44</v>
      </c>
      <c r="AB77">
        <v>26693.160639999998</v>
      </c>
      <c r="AC77">
        <v>133000</v>
      </c>
      <c r="AD77" t="s">
        <v>46</v>
      </c>
      <c r="AE77" t="s">
        <v>56</v>
      </c>
      <c r="AF77">
        <v>1</v>
      </c>
      <c r="AG77" t="s">
        <v>57</v>
      </c>
      <c r="AH77">
        <v>5.3999999999999999E-2</v>
      </c>
      <c r="AI77" t="s">
        <v>49</v>
      </c>
      <c r="AJ77" t="s">
        <v>61</v>
      </c>
      <c r="AK77" t="s">
        <v>72</v>
      </c>
      <c r="AL77">
        <v>1.32E-2</v>
      </c>
      <c r="AM77">
        <v>1.5800000000000002E-2</v>
      </c>
      <c r="AN77">
        <v>2.7699999999999999E-2</v>
      </c>
      <c r="AO77" t="s">
        <v>52</v>
      </c>
      <c r="AP77" t="s">
        <v>53</v>
      </c>
      <c r="AQ77" t="s">
        <v>54</v>
      </c>
    </row>
    <row r="78" spans="1:43" x14ac:dyDescent="0.25">
      <c r="A78" t="s">
        <v>606</v>
      </c>
      <c r="B78" t="s">
        <v>215</v>
      </c>
      <c r="C78">
        <v>279.33999999999997</v>
      </c>
      <c r="D78">
        <v>468.15</v>
      </c>
      <c r="E78">
        <v>9.9999999999999998E-13</v>
      </c>
      <c r="F78">
        <v>1.6E-2</v>
      </c>
      <c r="G78">
        <v>1.9000000000000001E-9</v>
      </c>
      <c r="H78">
        <v>4.4499999999999998E-2</v>
      </c>
      <c r="I78">
        <v>5.2000000000000002E-6</v>
      </c>
      <c r="J78">
        <v>467735.14130000002</v>
      </c>
      <c r="K78">
        <v>93900</v>
      </c>
      <c r="L78">
        <v>939</v>
      </c>
      <c r="M78">
        <v>7042.5</v>
      </c>
      <c r="N78">
        <v>3756</v>
      </c>
      <c r="O78">
        <v>0.48</v>
      </c>
      <c r="P78">
        <v>7.4800000000000005E-2</v>
      </c>
      <c r="Q78">
        <v>5394.5676999999996</v>
      </c>
      <c r="R78">
        <v>5.7450135250000001</v>
      </c>
      <c r="S78">
        <v>2.0452199000000001E-2</v>
      </c>
      <c r="T78">
        <v>2.0452199000000001E-2</v>
      </c>
      <c r="U78">
        <v>32151551.690000001</v>
      </c>
      <c r="V78">
        <v>32151551.690000001</v>
      </c>
      <c r="W78">
        <v>8.4375990000000005E-3</v>
      </c>
      <c r="X78">
        <v>4.0078596000000001E-2</v>
      </c>
      <c r="Y78">
        <v>4.8516194999999998E-2</v>
      </c>
      <c r="Z78">
        <v>10.7</v>
      </c>
      <c r="AA78" t="s">
        <v>44</v>
      </c>
      <c r="AB78">
        <v>4633.4021940000002</v>
      </c>
      <c r="AC78">
        <v>133000</v>
      </c>
      <c r="AD78" t="s">
        <v>46</v>
      </c>
      <c r="AE78" t="s">
        <v>56</v>
      </c>
      <c r="AF78">
        <v>0.17</v>
      </c>
      <c r="AG78" t="s">
        <v>57</v>
      </c>
      <c r="AH78">
        <v>1.8000000000000001E-4</v>
      </c>
      <c r="AI78" t="s">
        <v>49</v>
      </c>
      <c r="AJ78" t="s">
        <v>50</v>
      </c>
      <c r="AK78" t="s">
        <v>72</v>
      </c>
      <c r="AL78">
        <v>1.32E-2</v>
      </c>
      <c r="AM78">
        <v>1.5800000000000002E-2</v>
      </c>
      <c r="AN78">
        <v>2.7699999999999999E-2</v>
      </c>
      <c r="AO78" t="s">
        <v>52</v>
      </c>
      <c r="AP78" t="s">
        <v>53</v>
      </c>
      <c r="AQ78" t="s">
        <v>54</v>
      </c>
    </row>
    <row r="79" spans="1:43" x14ac:dyDescent="0.25">
      <c r="A79" t="s">
        <v>607</v>
      </c>
      <c r="B79" t="s">
        <v>217</v>
      </c>
      <c r="C79">
        <v>302.27999999999997</v>
      </c>
      <c r="D79">
        <v>498.15</v>
      </c>
      <c r="E79">
        <v>9.2999999999999995E-14</v>
      </c>
      <c r="F79">
        <v>2.4000000000000001E-4</v>
      </c>
      <c r="G79">
        <v>1.4100000000000001E-8</v>
      </c>
      <c r="H79">
        <v>4.2200000000000001E-2</v>
      </c>
      <c r="I79">
        <v>4.9300000000000002E-6</v>
      </c>
      <c r="J79">
        <v>19054607.18</v>
      </c>
      <c r="K79">
        <v>4910000</v>
      </c>
      <c r="L79">
        <v>49100</v>
      </c>
      <c r="M79">
        <v>368250</v>
      </c>
      <c r="N79">
        <v>196400</v>
      </c>
      <c r="O79">
        <v>0.48</v>
      </c>
      <c r="P79">
        <v>1.2E-2</v>
      </c>
      <c r="Q79">
        <v>93682.106530000005</v>
      </c>
      <c r="R79">
        <v>1.9079858759999999</v>
      </c>
      <c r="S79">
        <v>2.399717E-3</v>
      </c>
      <c r="T79">
        <v>2.399717E-3</v>
      </c>
      <c r="U79">
        <v>224587937</v>
      </c>
      <c r="V79">
        <v>224587937</v>
      </c>
      <c r="W79">
        <v>3.8443100000000001E-3</v>
      </c>
      <c r="X79">
        <v>1.8260472E-2</v>
      </c>
      <c r="Y79">
        <v>2.2104782E-2</v>
      </c>
      <c r="Z79">
        <v>10.7</v>
      </c>
      <c r="AA79" t="s">
        <v>44</v>
      </c>
      <c r="AB79">
        <v>26693.160639999998</v>
      </c>
      <c r="AC79">
        <v>133000</v>
      </c>
      <c r="AD79" t="s">
        <v>46</v>
      </c>
      <c r="AE79" t="s">
        <v>56</v>
      </c>
      <c r="AF79">
        <v>51</v>
      </c>
      <c r="AG79" t="s">
        <v>57</v>
      </c>
      <c r="AH79">
        <v>5.3999999999999999E-2</v>
      </c>
      <c r="AI79" t="s">
        <v>49</v>
      </c>
      <c r="AJ79" t="s">
        <v>61</v>
      </c>
      <c r="AK79" t="s">
        <v>72</v>
      </c>
      <c r="AL79">
        <v>1.32E-2</v>
      </c>
      <c r="AM79">
        <v>1.5800000000000002E-2</v>
      </c>
      <c r="AN79">
        <v>2.7699999999999999E-2</v>
      </c>
      <c r="AO79" t="s">
        <v>52</v>
      </c>
      <c r="AP79" t="s">
        <v>53</v>
      </c>
      <c r="AQ79" t="s">
        <v>54</v>
      </c>
    </row>
    <row r="80" spans="1:43" x14ac:dyDescent="0.25">
      <c r="A80" t="s">
        <v>608</v>
      </c>
      <c r="B80" t="s">
        <v>553</v>
      </c>
      <c r="C80">
        <v>267.33</v>
      </c>
      <c r="D80">
        <v>470.51</v>
      </c>
      <c r="E80">
        <v>4.4499999999999998E-12</v>
      </c>
      <c r="F80">
        <v>5.0270000000000002E-3</v>
      </c>
      <c r="G80">
        <v>8.2400000000000005E-10</v>
      </c>
      <c r="H80">
        <v>4.58E-2</v>
      </c>
      <c r="I80">
        <v>5.3499999999999996E-6</v>
      </c>
      <c r="J80">
        <v>380000</v>
      </c>
      <c r="K80">
        <v>358000</v>
      </c>
      <c r="L80">
        <v>160000</v>
      </c>
      <c r="M80">
        <v>26850</v>
      </c>
      <c r="N80">
        <v>14320</v>
      </c>
      <c r="O80">
        <v>0.48</v>
      </c>
      <c r="P80">
        <v>0.93500000000000005</v>
      </c>
      <c r="Q80">
        <v>9680</v>
      </c>
      <c r="R80">
        <v>6.0499999999999998E-2</v>
      </c>
      <c r="S80">
        <v>1.32E-2</v>
      </c>
      <c r="T80">
        <v>1.32E-2</v>
      </c>
      <c r="U80">
        <v>7.4700000000000001E-3</v>
      </c>
      <c r="V80">
        <v>7.4700000000000001E-3</v>
      </c>
      <c r="W80">
        <v>1.9800000000000002E-2</v>
      </c>
      <c r="X80">
        <v>6.2799999999999995E-2</v>
      </c>
      <c r="Y80">
        <v>4.5499999999999999E-2</v>
      </c>
      <c r="Z80">
        <v>10.7</v>
      </c>
      <c r="AB80">
        <v>7760</v>
      </c>
      <c r="AC80">
        <v>133000</v>
      </c>
      <c r="AH80">
        <v>1.8E-3</v>
      </c>
      <c r="AJ80" t="s">
        <v>50</v>
      </c>
      <c r="AK80" t="s">
        <v>72</v>
      </c>
      <c r="AL80">
        <v>1.32E-2</v>
      </c>
      <c r="AM80">
        <v>1.5800000000000002E-2</v>
      </c>
      <c r="AN80">
        <v>2.7699999999999999E-2</v>
      </c>
    </row>
    <row r="81" spans="1:43" x14ac:dyDescent="0.25">
      <c r="A81" t="s">
        <v>583</v>
      </c>
      <c r="B81" t="s">
        <v>218</v>
      </c>
      <c r="C81">
        <v>168.19</v>
      </c>
      <c r="D81">
        <v>359.5</v>
      </c>
      <c r="E81">
        <v>3.2600000000000001E-6</v>
      </c>
      <c r="F81">
        <v>3.1</v>
      </c>
      <c r="G81">
        <v>1.7699999999999999E-4</v>
      </c>
      <c r="H81">
        <v>6.2399999999999997E-2</v>
      </c>
      <c r="I81">
        <v>7.2200000000000003E-6</v>
      </c>
      <c r="J81">
        <v>13182.56739</v>
      </c>
      <c r="K81">
        <v>11226.386759999999</v>
      </c>
      <c r="L81">
        <v>112.2638676</v>
      </c>
      <c r="M81">
        <v>841.97900730000003</v>
      </c>
      <c r="N81">
        <v>449.05547050000001</v>
      </c>
      <c r="O81" t="s">
        <v>57</v>
      </c>
      <c r="P81">
        <v>0.99981751799999996</v>
      </c>
      <c r="Q81">
        <v>345.50683859999998</v>
      </c>
      <c r="R81">
        <v>3.0776317070000001</v>
      </c>
      <c r="S81">
        <v>0.16093110699999999</v>
      </c>
      <c r="T81">
        <v>0.16093110699999999</v>
      </c>
      <c r="U81">
        <v>7.7187942019999998</v>
      </c>
      <c r="V81">
        <v>7.7187942019999998</v>
      </c>
      <c r="W81">
        <v>5.8900000000000003E-3</v>
      </c>
      <c r="X81">
        <v>2.8000000000000001E-2</v>
      </c>
      <c r="Y81">
        <v>3.39E-2</v>
      </c>
      <c r="Z81" t="s">
        <v>44</v>
      </c>
      <c r="AA81" t="s">
        <v>44</v>
      </c>
      <c r="AB81">
        <v>296.75633590000001</v>
      </c>
      <c r="AC81">
        <v>471.93163070000003</v>
      </c>
      <c r="AD81" t="s">
        <v>46</v>
      </c>
      <c r="AE81">
        <v>1E-3</v>
      </c>
      <c r="AF81" t="s">
        <v>47</v>
      </c>
      <c r="AG81" t="s">
        <v>57</v>
      </c>
      <c r="AH81" t="s">
        <v>48</v>
      </c>
      <c r="AI81" t="s">
        <v>49</v>
      </c>
      <c r="AJ81" t="s">
        <v>50</v>
      </c>
      <c r="AK81" t="s">
        <v>219</v>
      </c>
      <c r="AL81">
        <v>0.16093110699999999</v>
      </c>
      <c r="AM81">
        <v>1.18E-2</v>
      </c>
      <c r="AN81">
        <v>2.06E-2</v>
      </c>
      <c r="AO81" t="s">
        <v>52</v>
      </c>
      <c r="AP81" t="s">
        <v>53</v>
      </c>
      <c r="AQ81" t="s">
        <v>54</v>
      </c>
    </row>
    <row r="82" spans="1:43" x14ac:dyDescent="0.25">
      <c r="A82" t="s">
        <v>492</v>
      </c>
      <c r="B82" t="s">
        <v>479</v>
      </c>
      <c r="C82">
        <v>278.35000000000002</v>
      </c>
      <c r="D82">
        <v>280</v>
      </c>
      <c r="E82">
        <v>2.62E-8</v>
      </c>
      <c r="F82">
        <v>2.351</v>
      </c>
      <c r="G82">
        <v>1.22E-6</v>
      </c>
      <c r="H82">
        <v>2.1399999999999999E-2</v>
      </c>
      <c r="I82">
        <v>5.3299999999999998E-6</v>
      </c>
      <c r="J82">
        <v>40700</v>
      </c>
      <c r="K82">
        <v>1919</v>
      </c>
      <c r="M82">
        <v>143.92499999999998</v>
      </c>
      <c r="N82">
        <v>76.760000000000005</v>
      </c>
      <c r="P82">
        <v>0.96109999999999995</v>
      </c>
      <c r="U82">
        <v>9.4500000000000001E-2</v>
      </c>
      <c r="V82">
        <v>9.4500000000000001E-2</v>
      </c>
      <c r="W82">
        <v>2.5000000000000001E-4</v>
      </c>
      <c r="X82">
        <v>7.9100000000000004E-4</v>
      </c>
      <c r="AB82">
        <v>167</v>
      </c>
      <c r="AE82">
        <v>0.1</v>
      </c>
      <c r="AK82" t="s">
        <v>152</v>
      </c>
    </row>
    <row r="83" spans="1:43" x14ac:dyDescent="0.25">
      <c r="A83" t="s">
        <v>584</v>
      </c>
      <c r="B83" t="s">
        <v>228</v>
      </c>
      <c r="C83">
        <v>147</v>
      </c>
      <c r="D83">
        <v>326</v>
      </c>
      <c r="E83">
        <v>1.9400000000000001E-3</v>
      </c>
      <c r="F83">
        <v>80</v>
      </c>
      <c r="G83">
        <v>3.5500000000000002E-3</v>
      </c>
      <c r="H83">
        <v>6.8199999999999997E-2</v>
      </c>
      <c r="I83">
        <v>7.9000000000000006E-6</v>
      </c>
      <c r="J83">
        <v>1910</v>
      </c>
      <c r="K83">
        <v>1680</v>
      </c>
      <c r="L83">
        <v>16.8</v>
      </c>
      <c r="M83">
        <v>126</v>
      </c>
      <c r="N83">
        <v>67.099999999999994</v>
      </c>
      <c r="O83">
        <v>3.37</v>
      </c>
      <c r="P83">
        <v>1</v>
      </c>
      <c r="Q83">
        <v>77.900000000000006</v>
      </c>
      <c r="R83">
        <v>4.6500000000000004</v>
      </c>
      <c r="S83">
        <v>0.49199999999999999</v>
      </c>
      <c r="T83">
        <v>0.49199999999999999</v>
      </c>
      <c r="U83">
        <v>4.9000000000000002E-2</v>
      </c>
      <c r="V83">
        <v>4.9000000000000002E-2</v>
      </c>
      <c r="W83">
        <v>3.0699999999999998E-3</v>
      </c>
      <c r="X83">
        <v>1.46E-2</v>
      </c>
      <c r="Y83">
        <v>1.7600000000000001E-2</v>
      </c>
      <c r="Z83" t="s">
        <v>44</v>
      </c>
      <c r="AA83" t="s">
        <v>44</v>
      </c>
      <c r="AB83">
        <v>66.900000000000006</v>
      </c>
      <c r="AC83" t="s">
        <v>45</v>
      </c>
      <c r="AD83" t="s">
        <v>46</v>
      </c>
      <c r="AE83">
        <v>7.0000000000000007E-2</v>
      </c>
      <c r="AF83">
        <v>5.4000000000000003E-3</v>
      </c>
      <c r="AG83">
        <v>0.8</v>
      </c>
      <c r="AH83">
        <v>1.1E-5</v>
      </c>
      <c r="AI83" t="s">
        <v>49</v>
      </c>
      <c r="AJ83" t="s">
        <v>50</v>
      </c>
      <c r="AK83" t="s">
        <v>51</v>
      </c>
      <c r="AL83">
        <v>0.49199999999999999</v>
      </c>
      <c r="AM83">
        <v>6.13E-3</v>
      </c>
      <c r="AN83">
        <v>1.0699999999999999E-2</v>
      </c>
      <c r="AO83" t="s">
        <v>52</v>
      </c>
      <c r="AP83" t="s">
        <v>53</v>
      </c>
      <c r="AQ83" t="s">
        <v>54</v>
      </c>
    </row>
    <row r="84" spans="1:43" x14ac:dyDescent="0.25">
      <c r="A84" t="s">
        <v>757</v>
      </c>
      <c r="B84" t="s">
        <v>758</v>
      </c>
      <c r="C84">
        <v>223.1</v>
      </c>
      <c r="D84">
        <v>355.47</v>
      </c>
      <c r="E84">
        <v>5.62E-8</v>
      </c>
      <c r="F84">
        <v>1.1319999999999999</v>
      </c>
      <c r="G84">
        <v>2.2699999999999999E-4</v>
      </c>
      <c r="H84">
        <v>2.5399999999999999E-2</v>
      </c>
      <c r="I84">
        <v>6.5599999999999999E-6</v>
      </c>
      <c r="J84">
        <v>112000</v>
      </c>
      <c r="K84">
        <v>13200</v>
      </c>
      <c r="P84">
        <v>1</v>
      </c>
      <c r="U84">
        <v>1.9300000000000001E-2</v>
      </c>
      <c r="V84">
        <v>1.9300000000000001E-2</v>
      </c>
      <c r="W84">
        <v>3.8700000000000002E-3</v>
      </c>
      <c r="X84">
        <v>1.2200000000000001E-2</v>
      </c>
      <c r="AB84">
        <v>8140</v>
      </c>
      <c r="AC84">
        <v>70900</v>
      </c>
      <c r="AF84">
        <v>7.0000000000000007E-2</v>
      </c>
      <c r="AH84">
        <v>2.0000000000000002E-5</v>
      </c>
      <c r="AK84" t="s">
        <v>65</v>
      </c>
    </row>
    <row r="85" spans="1:43" x14ac:dyDescent="0.25">
      <c r="A85" t="s">
        <v>229</v>
      </c>
      <c r="B85" t="s">
        <v>230</v>
      </c>
      <c r="C85">
        <v>99</v>
      </c>
      <c r="D85">
        <v>176</v>
      </c>
      <c r="E85">
        <v>0.30299999999999999</v>
      </c>
      <c r="F85">
        <v>5100</v>
      </c>
      <c r="G85">
        <v>5.5999999999999999E-3</v>
      </c>
      <c r="H85">
        <v>7.4200000000000002E-2</v>
      </c>
      <c r="I85">
        <v>1.0499999999999999E-5</v>
      </c>
      <c r="J85">
        <v>63.1</v>
      </c>
      <c r="K85">
        <v>53.4</v>
      </c>
      <c r="L85">
        <v>0.06</v>
      </c>
      <c r="M85">
        <v>4.01</v>
      </c>
      <c r="N85">
        <v>2.14</v>
      </c>
      <c r="O85">
        <v>1.64</v>
      </c>
      <c r="P85">
        <v>1</v>
      </c>
      <c r="Q85">
        <v>12</v>
      </c>
      <c r="R85">
        <v>189</v>
      </c>
      <c r="S85">
        <v>3.53</v>
      </c>
      <c r="T85">
        <v>3.53</v>
      </c>
      <c r="U85">
        <v>8.25E-4</v>
      </c>
      <c r="V85">
        <v>8.25E-4</v>
      </c>
      <c r="W85">
        <v>4.44E-4</v>
      </c>
      <c r="X85">
        <v>2.1099999999999999E-3</v>
      </c>
      <c r="Y85">
        <v>2.5500000000000002E-3</v>
      </c>
      <c r="Z85">
        <v>4.9299999999999995E-4</v>
      </c>
      <c r="AA85" t="s">
        <v>44</v>
      </c>
      <c r="AB85">
        <v>4.8499999999999996</v>
      </c>
      <c r="AC85" t="s">
        <v>45</v>
      </c>
      <c r="AD85" t="s">
        <v>46</v>
      </c>
      <c r="AE85">
        <v>0.2</v>
      </c>
      <c r="AF85">
        <v>5.7000000000000002E-3</v>
      </c>
      <c r="AG85" t="s">
        <v>57</v>
      </c>
      <c r="AH85">
        <v>1.5999999999999999E-6</v>
      </c>
      <c r="AI85" t="s">
        <v>49</v>
      </c>
      <c r="AJ85" t="s">
        <v>50</v>
      </c>
      <c r="AK85" t="s">
        <v>51</v>
      </c>
      <c r="AL85">
        <v>3.53</v>
      </c>
      <c r="AM85">
        <v>8.8800000000000001E-4</v>
      </c>
      <c r="AN85">
        <v>1.5499999999999999E-3</v>
      </c>
      <c r="AO85" t="s">
        <v>52</v>
      </c>
      <c r="AP85" t="s">
        <v>53</v>
      </c>
      <c r="AQ85" t="s">
        <v>54</v>
      </c>
    </row>
    <row r="86" spans="1:43" x14ac:dyDescent="0.25">
      <c r="A86" t="s">
        <v>231</v>
      </c>
      <c r="B86" t="s">
        <v>232</v>
      </c>
      <c r="C86">
        <v>99</v>
      </c>
      <c r="D86">
        <v>237</v>
      </c>
      <c r="E86">
        <v>0.104</v>
      </c>
      <c r="F86">
        <v>8500</v>
      </c>
      <c r="G86">
        <v>9.7999999999999997E-4</v>
      </c>
      <c r="H86">
        <v>0.104</v>
      </c>
      <c r="I86">
        <v>9.9000000000000001E-6</v>
      </c>
      <c r="J86">
        <v>31.6</v>
      </c>
      <c r="K86">
        <v>38</v>
      </c>
      <c r="L86">
        <v>3.5000000000000003E-2</v>
      </c>
      <c r="M86">
        <v>2.85</v>
      </c>
      <c r="N86">
        <v>1.52</v>
      </c>
      <c r="O86">
        <v>1.41</v>
      </c>
      <c r="P86">
        <v>1</v>
      </c>
      <c r="Q86">
        <v>9.6300000000000008</v>
      </c>
      <c r="R86">
        <v>275</v>
      </c>
      <c r="S86">
        <v>5.26</v>
      </c>
      <c r="T86">
        <v>5.26</v>
      </c>
      <c r="U86">
        <v>2.2599999999999999E-3</v>
      </c>
      <c r="V86">
        <v>2.2599999999999999E-3</v>
      </c>
      <c r="W86">
        <v>2.6600000000000001E-4</v>
      </c>
      <c r="X86">
        <v>1.2600000000000001E-3</v>
      </c>
      <c r="Y86">
        <v>1.5299999999999999E-3</v>
      </c>
      <c r="Z86">
        <v>2.3000000000000001E-4</v>
      </c>
      <c r="AA86" t="s">
        <v>44</v>
      </c>
      <c r="AB86">
        <v>2.85</v>
      </c>
      <c r="AC86" t="s">
        <v>45</v>
      </c>
      <c r="AD86" t="s">
        <v>46</v>
      </c>
      <c r="AE86">
        <v>6.0000000000000001E-3</v>
      </c>
      <c r="AF86">
        <v>9.0999999999999998E-2</v>
      </c>
      <c r="AG86">
        <v>0.4</v>
      </c>
      <c r="AH86">
        <v>2.5999999999999998E-5</v>
      </c>
      <c r="AI86" t="s">
        <v>49</v>
      </c>
      <c r="AJ86" t="s">
        <v>50</v>
      </c>
      <c r="AK86" t="s">
        <v>51</v>
      </c>
      <c r="AL86">
        <v>5.26</v>
      </c>
      <c r="AM86">
        <v>5.31E-4</v>
      </c>
      <c r="AN86">
        <v>9.3000000000000005E-4</v>
      </c>
      <c r="AO86" t="s">
        <v>52</v>
      </c>
      <c r="AP86" t="s">
        <v>53</v>
      </c>
      <c r="AQ86" t="s">
        <v>54</v>
      </c>
    </row>
    <row r="87" spans="1:43" x14ac:dyDescent="0.25">
      <c r="A87" t="s">
        <v>233</v>
      </c>
      <c r="B87" t="s">
        <v>234</v>
      </c>
      <c r="C87">
        <v>99</v>
      </c>
      <c r="D87">
        <v>153</v>
      </c>
      <c r="E87">
        <v>0.78900000000000003</v>
      </c>
      <c r="F87">
        <v>2300</v>
      </c>
      <c r="G87">
        <v>2.5999999999999999E-2</v>
      </c>
      <c r="H87">
        <v>0.09</v>
      </c>
      <c r="I87">
        <v>1.04E-5</v>
      </c>
      <c r="J87">
        <v>126</v>
      </c>
      <c r="K87">
        <v>65</v>
      </c>
      <c r="L87">
        <v>0.12</v>
      </c>
      <c r="M87">
        <v>4.88</v>
      </c>
      <c r="N87">
        <v>2.6</v>
      </c>
      <c r="O87">
        <v>1.41</v>
      </c>
      <c r="P87">
        <v>1</v>
      </c>
      <c r="Q87">
        <v>9.6199999999999992</v>
      </c>
      <c r="R87">
        <v>80.099999999999994</v>
      </c>
      <c r="S87">
        <v>2.37</v>
      </c>
      <c r="T87">
        <v>2.37</v>
      </c>
      <c r="U87">
        <v>3.7100000000000002E-4</v>
      </c>
      <c r="V87">
        <v>3.7100000000000002E-4</v>
      </c>
      <c r="W87">
        <v>7.1199999999999996E-4</v>
      </c>
      <c r="X87">
        <v>3.3800000000000002E-3</v>
      </c>
      <c r="Y87">
        <v>4.0899999999999999E-3</v>
      </c>
      <c r="Z87">
        <v>1.0499999999999999E-3</v>
      </c>
      <c r="AA87" t="s">
        <v>44</v>
      </c>
      <c r="AB87">
        <v>8.26</v>
      </c>
      <c r="AC87" t="s">
        <v>45</v>
      </c>
      <c r="AD87" t="s">
        <v>46</v>
      </c>
      <c r="AE87">
        <v>0.05</v>
      </c>
      <c r="AF87" t="s">
        <v>47</v>
      </c>
      <c r="AG87">
        <v>0.2</v>
      </c>
      <c r="AH87" t="s">
        <v>48</v>
      </c>
      <c r="AI87" t="s">
        <v>49</v>
      </c>
      <c r="AJ87" t="s">
        <v>50</v>
      </c>
      <c r="AK87" t="s">
        <v>51</v>
      </c>
      <c r="AL87">
        <v>2.37</v>
      </c>
      <c r="AM87">
        <v>1.42E-3</v>
      </c>
      <c r="AN87">
        <v>2.49E-3</v>
      </c>
      <c r="AO87" t="s">
        <v>52</v>
      </c>
      <c r="AP87" t="s">
        <v>53</v>
      </c>
      <c r="AQ87" t="s">
        <v>54</v>
      </c>
    </row>
    <row r="88" spans="1:43" x14ac:dyDescent="0.25">
      <c r="A88" t="s">
        <v>235</v>
      </c>
      <c r="B88" t="s">
        <v>236</v>
      </c>
      <c r="C88">
        <v>96.94</v>
      </c>
      <c r="D88">
        <v>193.15</v>
      </c>
      <c r="E88">
        <v>0.26300000000000001</v>
      </c>
      <c r="F88">
        <v>3500</v>
      </c>
      <c r="G88">
        <v>4.1000000000000003E-3</v>
      </c>
      <c r="H88">
        <v>1E-3</v>
      </c>
      <c r="I88">
        <v>1.0000000000000001E-5</v>
      </c>
      <c r="J88">
        <v>79.432823470000002</v>
      </c>
      <c r="K88">
        <v>38.28</v>
      </c>
      <c r="L88">
        <v>7.0999999999999994E-2</v>
      </c>
      <c r="M88">
        <v>2.87</v>
      </c>
      <c r="N88">
        <v>1.53</v>
      </c>
      <c r="O88" t="s">
        <v>57</v>
      </c>
      <c r="P88">
        <v>1</v>
      </c>
      <c r="Q88">
        <v>13.1</v>
      </c>
      <c r="R88">
        <v>184</v>
      </c>
      <c r="S88">
        <v>3.09</v>
      </c>
      <c r="T88">
        <v>3.09</v>
      </c>
      <c r="U88">
        <v>1.4400000000000001E-3</v>
      </c>
      <c r="V88">
        <v>1.4400000000000001E-3</v>
      </c>
      <c r="W88">
        <v>5.2199899999999999E-4</v>
      </c>
      <c r="X88">
        <v>2.4794970000000002E-3</v>
      </c>
      <c r="Y88">
        <v>3.0014960000000002E-3</v>
      </c>
      <c r="Z88">
        <v>7.6255500000000005E-4</v>
      </c>
      <c r="AA88" t="s">
        <v>44</v>
      </c>
      <c r="AB88">
        <v>5.79</v>
      </c>
      <c r="AC88" t="s">
        <v>45</v>
      </c>
      <c r="AD88" t="s">
        <v>46</v>
      </c>
      <c r="AE88">
        <v>2E-3</v>
      </c>
      <c r="AG88" t="s">
        <v>57</v>
      </c>
      <c r="AH88" t="s">
        <v>48</v>
      </c>
      <c r="AI88" t="s">
        <v>49</v>
      </c>
      <c r="AJ88" t="s">
        <v>50</v>
      </c>
      <c r="AK88" t="s">
        <v>51</v>
      </c>
      <c r="AL88">
        <v>3.09</v>
      </c>
      <c r="AM88">
        <v>1.0439990000000001E-3</v>
      </c>
      <c r="AN88">
        <v>1.826998E-3</v>
      </c>
      <c r="AO88" t="s">
        <v>52</v>
      </c>
      <c r="AP88" t="s">
        <v>53</v>
      </c>
      <c r="AQ88" t="s">
        <v>54</v>
      </c>
    </row>
    <row r="89" spans="1:43" x14ac:dyDescent="0.25">
      <c r="A89" t="s">
        <v>567</v>
      </c>
      <c r="B89" t="s">
        <v>66</v>
      </c>
      <c r="C89">
        <v>221</v>
      </c>
      <c r="D89">
        <v>414</v>
      </c>
      <c r="E89">
        <v>1.09E-7</v>
      </c>
      <c r="F89">
        <v>677</v>
      </c>
      <c r="G89">
        <v>3.5600000000000001E-8</v>
      </c>
      <c r="H89">
        <v>5.1999999999999998E-2</v>
      </c>
      <c r="I89">
        <v>6.02E-6</v>
      </c>
      <c r="J89">
        <v>646</v>
      </c>
      <c r="K89">
        <v>579</v>
      </c>
      <c r="L89">
        <v>5.79</v>
      </c>
      <c r="M89">
        <v>43.4</v>
      </c>
      <c r="N89">
        <v>23.2</v>
      </c>
      <c r="O89">
        <v>5.0599999999999996</v>
      </c>
      <c r="P89">
        <v>0.995</v>
      </c>
      <c r="Q89">
        <v>33.9</v>
      </c>
      <c r="R89">
        <v>5.85</v>
      </c>
      <c r="S89">
        <v>0.92</v>
      </c>
      <c r="T89">
        <v>0.92</v>
      </c>
      <c r="U89">
        <v>1540</v>
      </c>
      <c r="V89">
        <v>1540</v>
      </c>
      <c r="W89" t="s">
        <v>62</v>
      </c>
      <c r="X89" t="s">
        <v>62</v>
      </c>
      <c r="Y89" t="s">
        <v>62</v>
      </c>
      <c r="Z89" t="s">
        <v>44</v>
      </c>
      <c r="AA89" t="s">
        <v>44</v>
      </c>
      <c r="AB89" t="s">
        <v>63</v>
      </c>
      <c r="AC89" t="s">
        <v>45</v>
      </c>
      <c r="AD89" t="s">
        <v>46</v>
      </c>
      <c r="AE89">
        <v>0.01</v>
      </c>
      <c r="AF89" t="s">
        <v>47</v>
      </c>
      <c r="AG89" t="s">
        <v>57</v>
      </c>
      <c r="AH89" t="s">
        <v>48</v>
      </c>
      <c r="AI89" t="s">
        <v>49</v>
      </c>
      <c r="AJ89" t="s">
        <v>50</v>
      </c>
      <c r="AK89" t="s">
        <v>67</v>
      </c>
      <c r="AL89" t="s">
        <v>44</v>
      </c>
      <c r="AM89" t="s">
        <v>44</v>
      </c>
      <c r="AN89" t="s">
        <v>44</v>
      </c>
      <c r="AO89" t="s">
        <v>52</v>
      </c>
      <c r="AP89" t="s">
        <v>53</v>
      </c>
      <c r="AQ89" t="s">
        <v>54</v>
      </c>
    </row>
    <row r="90" spans="1:43" x14ac:dyDescent="0.25">
      <c r="A90" t="s">
        <v>237</v>
      </c>
      <c r="B90" t="s">
        <v>238</v>
      </c>
      <c r="C90">
        <v>113</v>
      </c>
      <c r="D90">
        <v>203</v>
      </c>
      <c r="E90">
        <v>6.8400000000000002E-2</v>
      </c>
      <c r="F90">
        <v>2800</v>
      </c>
      <c r="G90">
        <v>2.8E-3</v>
      </c>
      <c r="H90">
        <v>7.8200000000000006E-2</v>
      </c>
      <c r="I90">
        <v>8.7299999999999994E-6</v>
      </c>
      <c r="J90">
        <v>100</v>
      </c>
      <c r="K90">
        <v>47</v>
      </c>
      <c r="L90">
        <v>0.09</v>
      </c>
      <c r="M90">
        <v>3.53</v>
      </c>
      <c r="N90">
        <v>1.88</v>
      </c>
      <c r="O90">
        <v>0.2</v>
      </c>
      <c r="P90">
        <v>1</v>
      </c>
      <c r="Q90">
        <v>8.0500000000000007</v>
      </c>
      <c r="R90">
        <v>92.6</v>
      </c>
      <c r="S90">
        <v>2.7</v>
      </c>
      <c r="T90">
        <v>2.7</v>
      </c>
      <c r="U90">
        <v>2.6900000000000001E-3</v>
      </c>
      <c r="V90">
        <v>2.6900000000000001E-3</v>
      </c>
      <c r="W90">
        <v>6.11E-4</v>
      </c>
      <c r="X90">
        <v>2.8999999999999998E-3</v>
      </c>
      <c r="Y90">
        <v>3.5100000000000001E-3</v>
      </c>
      <c r="Z90">
        <v>1.41E-3</v>
      </c>
      <c r="AA90" t="s">
        <v>44</v>
      </c>
      <c r="AB90">
        <v>6.92</v>
      </c>
      <c r="AC90" t="s">
        <v>45</v>
      </c>
      <c r="AD90" t="s">
        <v>46</v>
      </c>
      <c r="AE90">
        <v>0.09</v>
      </c>
      <c r="AF90">
        <v>3.5999999999999997E-2</v>
      </c>
      <c r="AG90">
        <v>4.0000000000000001E-3</v>
      </c>
      <c r="AH90" t="s">
        <v>48</v>
      </c>
      <c r="AI90" t="s">
        <v>49</v>
      </c>
      <c r="AJ90" t="s">
        <v>50</v>
      </c>
      <c r="AK90" t="s">
        <v>51</v>
      </c>
      <c r="AL90">
        <v>2.7</v>
      </c>
      <c r="AM90">
        <v>1.2199999999999999E-3</v>
      </c>
      <c r="AN90">
        <v>2.14E-3</v>
      </c>
      <c r="AO90" t="s">
        <v>52</v>
      </c>
      <c r="AP90" t="s">
        <v>53</v>
      </c>
      <c r="AQ90" t="s">
        <v>54</v>
      </c>
    </row>
    <row r="91" spans="1:43" x14ac:dyDescent="0.25">
      <c r="A91" t="s">
        <v>575</v>
      </c>
      <c r="B91" t="s">
        <v>243</v>
      </c>
      <c r="C91">
        <v>111</v>
      </c>
      <c r="D91">
        <v>225</v>
      </c>
      <c r="E91">
        <v>4.4699999999999997E-2</v>
      </c>
      <c r="F91">
        <v>2800</v>
      </c>
      <c r="G91">
        <v>1.7999999999999999E-2</v>
      </c>
      <c r="H91">
        <v>6.2600000000000003E-2</v>
      </c>
      <c r="I91">
        <v>1.0000000000000001E-5</v>
      </c>
      <c r="J91">
        <v>39.799999999999997</v>
      </c>
      <c r="K91">
        <v>27.1</v>
      </c>
      <c r="L91">
        <v>9.0999999999999998E-2</v>
      </c>
      <c r="M91">
        <v>2.0299999999999998</v>
      </c>
      <c r="N91">
        <v>1.08</v>
      </c>
      <c r="O91">
        <v>22.4</v>
      </c>
      <c r="P91">
        <v>1</v>
      </c>
      <c r="Q91">
        <v>10.3</v>
      </c>
      <c r="R91">
        <v>113</v>
      </c>
      <c r="S91">
        <v>4.6100000000000003</v>
      </c>
      <c r="T91">
        <v>4.5999999999999996</v>
      </c>
      <c r="U91">
        <v>1.5699999999999999E-4</v>
      </c>
      <c r="V91">
        <v>1.5699999999999999E-4</v>
      </c>
      <c r="W91">
        <v>3.1700000000000001E-4</v>
      </c>
      <c r="X91">
        <v>1.5E-3</v>
      </c>
      <c r="Y91">
        <v>1.82E-3</v>
      </c>
      <c r="Z91">
        <v>4.4499999999999997E-4</v>
      </c>
      <c r="AA91" t="s">
        <v>44</v>
      </c>
      <c r="AB91">
        <v>3.4</v>
      </c>
      <c r="AC91" t="s">
        <v>45</v>
      </c>
      <c r="AD91" t="s">
        <v>46</v>
      </c>
      <c r="AE91">
        <v>0.03</v>
      </c>
      <c r="AF91">
        <v>0.1</v>
      </c>
      <c r="AG91">
        <v>0.02</v>
      </c>
      <c r="AH91">
        <v>3.9999999999999998E-6</v>
      </c>
      <c r="AI91" t="s">
        <v>49</v>
      </c>
      <c r="AJ91" t="s">
        <v>50</v>
      </c>
      <c r="AK91" t="s">
        <v>51</v>
      </c>
      <c r="AL91">
        <v>4.5999999999999996</v>
      </c>
      <c r="AM91">
        <v>6.3299999999999999E-4</v>
      </c>
      <c r="AN91">
        <v>1.1100000000000001E-3</v>
      </c>
      <c r="AO91" t="s">
        <v>52</v>
      </c>
      <c r="AP91" t="s">
        <v>53</v>
      </c>
      <c r="AQ91" t="s">
        <v>54</v>
      </c>
    </row>
    <row r="92" spans="1:43" x14ac:dyDescent="0.25">
      <c r="A92" t="s">
        <v>733</v>
      </c>
      <c r="B92" t="s">
        <v>722</v>
      </c>
      <c r="C92">
        <v>111</v>
      </c>
      <c r="D92">
        <v>225</v>
      </c>
      <c r="E92">
        <v>4.4699999999999997E-2</v>
      </c>
      <c r="F92">
        <v>2800</v>
      </c>
      <c r="G92">
        <v>1.7999999999999999E-2</v>
      </c>
      <c r="H92">
        <v>6.2600000000000003E-2</v>
      </c>
      <c r="I92">
        <v>1.0000000000000001E-5</v>
      </c>
      <c r="J92">
        <v>39.799999999999997</v>
      </c>
      <c r="K92">
        <v>27.1</v>
      </c>
      <c r="L92">
        <v>9.0999999999999998E-2</v>
      </c>
      <c r="M92">
        <v>2.0299999999999998</v>
      </c>
      <c r="N92">
        <v>1.08</v>
      </c>
      <c r="O92">
        <v>22.4</v>
      </c>
      <c r="P92">
        <v>1</v>
      </c>
      <c r="Q92">
        <v>10.3</v>
      </c>
      <c r="R92">
        <v>113</v>
      </c>
      <c r="S92">
        <v>4.6100000000000003</v>
      </c>
      <c r="T92">
        <v>4.5999999999999996</v>
      </c>
      <c r="U92">
        <v>1.5699999999999999E-4</v>
      </c>
      <c r="V92">
        <v>1.5699999999999999E-4</v>
      </c>
      <c r="W92">
        <v>3.1700000000000001E-4</v>
      </c>
      <c r="X92">
        <v>1.5E-3</v>
      </c>
      <c r="Y92">
        <v>1.82E-3</v>
      </c>
      <c r="Z92">
        <v>4.4499999999999997E-4</v>
      </c>
      <c r="AA92" t="s">
        <v>44</v>
      </c>
      <c r="AB92">
        <v>3.4</v>
      </c>
      <c r="AC92" t="s">
        <v>45</v>
      </c>
      <c r="AD92" t="s">
        <v>46</v>
      </c>
      <c r="AE92">
        <v>0.03</v>
      </c>
      <c r="AF92">
        <v>0.1</v>
      </c>
      <c r="AG92">
        <v>0.02</v>
      </c>
      <c r="AH92">
        <v>3.9999999999999998E-6</v>
      </c>
      <c r="AI92" t="s">
        <v>49</v>
      </c>
      <c r="AJ92" t="s">
        <v>50</v>
      </c>
      <c r="AK92" t="s">
        <v>51</v>
      </c>
      <c r="AL92">
        <v>4.5999999999999996</v>
      </c>
      <c r="AM92">
        <v>6.3299999999999999E-4</v>
      </c>
      <c r="AN92">
        <v>1.1100000000000001E-3</v>
      </c>
      <c r="AO92" t="s">
        <v>52</v>
      </c>
      <c r="AP92" t="s">
        <v>53</v>
      </c>
      <c r="AQ92" t="s">
        <v>54</v>
      </c>
    </row>
    <row r="93" spans="1:43" x14ac:dyDescent="0.25">
      <c r="A93" t="s">
        <v>576</v>
      </c>
      <c r="B93" t="s">
        <v>244</v>
      </c>
      <c r="C93">
        <v>105</v>
      </c>
      <c r="D93">
        <v>301</v>
      </c>
      <c r="E93">
        <v>3.6800000000000001E-7</v>
      </c>
      <c r="F93">
        <v>1000000</v>
      </c>
      <c r="G93">
        <v>3.8699999999999999E-11</v>
      </c>
      <c r="H93">
        <v>8.5300000000000001E-2</v>
      </c>
      <c r="I93">
        <v>9.8800000000000003E-6</v>
      </c>
      <c r="J93">
        <v>3.7199999999999997E-2</v>
      </c>
      <c r="K93">
        <v>3.9300000000000002E-2</v>
      </c>
      <c r="L93">
        <v>3.9300000000000001E-4</v>
      </c>
      <c r="M93">
        <v>2.9499999999999999E-3</v>
      </c>
      <c r="N93">
        <v>1.57E-3</v>
      </c>
      <c r="O93">
        <v>14.9</v>
      </c>
      <c r="P93">
        <v>0.998</v>
      </c>
      <c r="Q93">
        <v>6.39</v>
      </c>
      <c r="R93">
        <v>16300</v>
      </c>
      <c r="S93">
        <v>260</v>
      </c>
      <c r="T93">
        <v>260</v>
      </c>
      <c r="U93">
        <v>43.3</v>
      </c>
      <c r="V93">
        <v>43.3</v>
      </c>
      <c r="W93">
        <v>1.9099999999999999E-6</v>
      </c>
      <c r="X93">
        <v>9.0699999999999996E-6</v>
      </c>
      <c r="Y93">
        <v>1.1E-5</v>
      </c>
      <c r="Z93" t="s">
        <v>44</v>
      </c>
      <c r="AA93" t="s">
        <v>44</v>
      </c>
      <c r="AB93">
        <v>3.16</v>
      </c>
      <c r="AC93" t="s">
        <v>45</v>
      </c>
      <c r="AD93" t="s">
        <v>46</v>
      </c>
      <c r="AE93">
        <v>0.02</v>
      </c>
      <c r="AF93" t="s">
        <v>47</v>
      </c>
      <c r="AG93">
        <v>3.0000000000000001E-3</v>
      </c>
      <c r="AH93" t="s">
        <v>48</v>
      </c>
      <c r="AI93" t="s">
        <v>49</v>
      </c>
      <c r="AJ93" t="s">
        <v>50</v>
      </c>
      <c r="AK93" t="s">
        <v>51</v>
      </c>
      <c r="AL93">
        <v>260</v>
      </c>
      <c r="AM93">
        <v>3.8199999999999998E-6</v>
      </c>
      <c r="AN93">
        <v>6.6800000000000004E-6</v>
      </c>
      <c r="AO93" t="s">
        <v>52</v>
      </c>
      <c r="AP93" t="s">
        <v>53</v>
      </c>
      <c r="AQ93" t="s">
        <v>54</v>
      </c>
    </row>
    <row r="94" spans="1:43" x14ac:dyDescent="0.25">
      <c r="A94" t="s">
        <v>577</v>
      </c>
      <c r="B94" t="s">
        <v>245</v>
      </c>
      <c r="C94">
        <v>154.185</v>
      </c>
      <c r="D94">
        <v>249.15</v>
      </c>
      <c r="E94">
        <v>2.7899199999999999E-4</v>
      </c>
      <c r="F94">
        <v>7000</v>
      </c>
      <c r="G94">
        <v>6.1500000000000004E-6</v>
      </c>
      <c r="H94">
        <v>6.6100000000000006E-2</v>
      </c>
      <c r="I94">
        <v>7.6499999999999996E-6</v>
      </c>
      <c r="J94">
        <v>13.80384265</v>
      </c>
      <c r="K94">
        <v>13.209914299999999</v>
      </c>
      <c r="L94">
        <v>0.132099143</v>
      </c>
      <c r="M94">
        <v>0.99074357300000004</v>
      </c>
      <c r="N94">
        <v>0.52839657200000001</v>
      </c>
      <c r="O94">
        <v>505.89</v>
      </c>
      <c r="P94">
        <v>0.99999786700000004</v>
      </c>
      <c r="Q94">
        <v>8.0609939829999995</v>
      </c>
      <c r="R94">
        <v>61.022303399999998</v>
      </c>
      <c r="S94">
        <v>8.4933691410000005</v>
      </c>
      <c r="T94">
        <v>8.4933691410000005</v>
      </c>
      <c r="U94">
        <v>0.14892571800000001</v>
      </c>
      <c r="V94">
        <v>0.14892571800000001</v>
      </c>
      <c r="W94">
        <v>1.36E-4</v>
      </c>
      <c r="X94">
        <v>6.4499999999999996E-4</v>
      </c>
      <c r="Y94">
        <v>7.8100000000000001E-4</v>
      </c>
      <c r="Z94" t="s">
        <v>44</v>
      </c>
      <c r="AA94" t="s">
        <v>44</v>
      </c>
      <c r="AB94">
        <v>1.5059134080000001</v>
      </c>
      <c r="AC94" t="s">
        <v>45</v>
      </c>
      <c r="AD94" t="s">
        <v>46</v>
      </c>
      <c r="AE94" t="s">
        <v>56</v>
      </c>
      <c r="AF94">
        <v>1.2</v>
      </c>
      <c r="AG94" t="s">
        <v>57</v>
      </c>
      <c r="AH94" t="s">
        <v>48</v>
      </c>
      <c r="AI94" t="s">
        <v>49</v>
      </c>
      <c r="AJ94" t="s">
        <v>50</v>
      </c>
      <c r="AK94" t="s">
        <v>51</v>
      </c>
      <c r="AL94">
        <v>8.4933691410000005</v>
      </c>
      <c r="AM94">
        <v>2.72E-4</v>
      </c>
      <c r="AN94">
        <v>4.7600000000000002E-4</v>
      </c>
      <c r="AO94" t="s">
        <v>52</v>
      </c>
      <c r="AP94" t="s">
        <v>53</v>
      </c>
      <c r="AQ94" t="s">
        <v>54</v>
      </c>
    </row>
    <row r="95" spans="1:43" x14ac:dyDescent="0.25">
      <c r="A95" t="s">
        <v>634</v>
      </c>
      <c r="B95" t="s">
        <v>59</v>
      </c>
      <c r="C95">
        <v>162</v>
      </c>
      <c r="D95">
        <v>205</v>
      </c>
      <c r="E95">
        <v>2.8799999999999999E-5</v>
      </c>
      <c r="F95">
        <v>1000000</v>
      </c>
      <c r="G95">
        <v>4.6699999999999998E-9</v>
      </c>
      <c r="H95">
        <v>6.3899999999999998E-2</v>
      </c>
      <c r="I95">
        <v>7.4000000000000003E-6</v>
      </c>
      <c r="J95">
        <v>3.63</v>
      </c>
      <c r="K95">
        <v>3.55</v>
      </c>
      <c r="L95">
        <v>3.5499999999999997E-2</v>
      </c>
      <c r="M95">
        <v>0.26700000000000002</v>
      </c>
      <c r="N95">
        <v>0.14199999999999999</v>
      </c>
      <c r="O95">
        <v>14.9</v>
      </c>
      <c r="P95">
        <v>1</v>
      </c>
      <c r="Q95">
        <v>6.94</v>
      </c>
      <c r="R95">
        <v>195</v>
      </c>
      <c r="S95">
        <v>18.399999999999999</v>
      </c>
      <c r="T95">
        <v>18.399999999999999</v>
      </c>
      <c r="U95">
        <v>47.2</v>
      </c>
      <c r="V95">
        <v>47.2</v>
      </c>
      <c r="W95">
        <v>4.0800000000000002E-5</v>
      </c>
      <c r="X95">
        <v>1.94E-4</v>
      </c>
      <c r="Y95">
        <v>2.34E-4</v>
      </c>
      <c r="Z95" t="s">
        <v>44</v>
      </c>
      <c r="AA95" t="s">
        <v>44</v>
      </c>
      <c r="AB95">
        <v>3.16</v>
      </c>
      <c r="AC95" t="s">
        <v>45</v>
      </c>
      <c r="AD95" t="s">
        <v>46</v>
      </c>
      <c r="AE95">
        <v>0.03</v>
      </c>
      <c r="AF95" t="s">
        <v>47</v>
      </c>
      <c r="AG95">
        <v>1E-4</v>
      </c>
      <c r="AH95" t="s">
        <v>48</v>
      </c>
      <c r="AI95" t="s">
        <v>49</v>
      </c>
      <c r="AJ95" t="s">
        <v>50</v>
      </c>
      <c r="AK95" t="s">
        <v>51</v>
      </c>
      <c r="AL95">
        <v>18.399999999999999</v>
      </c>
      <c r="AM95">
        <v>8.1500000000000002E-5</v>
      </c>
      <c r="AN95">
        <v>1.4300000000000001E-4</v>
      </c>
      <c r="AO95" t="s">
        <v>52</v>
      </c>
      <c r="AP95" t="s">
        <v>53</v>
      </c>
      <c r="AQ95" t="s">
        <v>54</v>
      </c>
    </row>
    <row r="96" spans="1:43" x14ac:dyDescent="0.25">
      <c r="A96" t="s">
        <v>493</v>
      </c>
      <c r="B96" t="s">
        <v>494</v>
      </c>
      <c r="C96">
        <v>134.18</v>
      </c>
      <c r="D96">
        <v>235.04</v>
      </c>
      <c r="E96">
        <v>3.8999999999999998E-3</v>
      </c>
      <c r="F96">
        <v>179600</v>
      </c>
      <c r="G96">
        <v>2.0800000000000001E-7</v>
      </c>
      <c r="J96">
        <v>0.33100000000000002</v>
      </c>
      <c r="K96">
        <v>1.9330000000000001</v>
      </c>
      <c r="M96">
        <v>0.14497499999999999</v>
      </c>
      <c r="N96">
        <v>7.732E-2</v>
      </c>
      <c r="P96">
        <v>1</v>
      </c>
      <c r="AB96">
        <v>0.92030000000000001</v>
      </c>
      <c r="AC96">
        <v>0.92030000000000001</v>
      </c>
    </row>
    <row r="97" spans="1:43" x14ac:dyDescent="0.25">
      <c r="A97" t="s">
        <v>735</v>
      </c>
      <c r="B97" t="s">
        <v>734</v>
      </c>
      <c r="C97">
        <v>366.46</v>
      </c>
      <c r="D97">
        <v>365.28</v>
      </c>
      <c r="E97">
        <v>2.8399999999999999E-6</v>
      </c>
      <c r="F97">
        <v>1.65</v>
      </c>
      <c r="G97">
        <v>2.9600000000000001E-10</v>
      </c>
      <c r="J97">
        <v>11500</v>
      </c>
      <c r="K97">
        <v>765.9</v>
      </c>
      <c r="M97">
        <v>57.442499999999995</v>
      </c>
      <c r="N97">
        <v>30.635999999999999</v>
      </c>
      <c r="P97">
        <v>1</v>
      </c>
      <c r="AB97">
        <v>19.7</v>
      </c>
      <c r="AC97">
        <v>19.7</v>
      </c>
    </row>
    <row r="98" spans="1:43" x14ac:dyDescent="0.25">
      <c r="A98" t="s">
        <v>496</v>
      </c>
      <c r="B98" t="s">
        <v>495</v>
      </c>
      <c r="C98">
        <v>134.18</v>
      </c>
      <c r="D98">
        <v>270.95</v>
      </c>
      <c r="E98">
        <v>1.2300000000000001E-4</v>
      </c>
      <c r="F98">
        <v>828000</v>
      </c>
      <c r="G98">
        <v>8.6300000000000002E-10</v>
      </c>
      <c r="H98">
        <v>5.62E-2</v>
      </c>
      <c r="I98">
        <v>7.9699999999999999E-6</v>
      </c>
      <c r="J98">
        <v>0.20399999999999999</v>
      </c>
      <c r="K98">
        <v>1</v>
      </c>
      <c r="M98">
        <v>7.4999999999999997E-2</v>
      </c>
      <c r="N98">
        <v>0.04</v>
      </c>
      <c r="P98">
        <v>1</v>
      </c>
      <c r="U98">
        <v>79.2</v>
      </c>
      <c r="V98">
        <v>79.2</v>
      </c>
      <c r="W98">
        <v>2.28E-9</v>
      </c>
      <c r="X98">
        <v>7.2099999999999997E-9</v>
      </c>
      <c r="AB98">
        <v>0.90510000000000002</v>
      </c>
      <c r="AC98">
        <v>0.90510000000000002</v>
      </c>
    </row>
    <row r="99" spans="1:43" x14ac:dyDescent="0.25">
      <c r="A99" t="s">
        <v>497</v>
      </c>
      <c r="B99" t="s">
        <v>498</v>
      </c>
      <c r="C99">
        <v>120.15</v>
      </c>
      <c r="D99">
        <v>259.39999999999998</v>
      </c>
      <c r="E99">
        <v>1.47E-4</v>
      </c>
      <c r="F99">
        <v>1000000</v>
      </c>
      <c r="J99">
        <v>6.6100000000000006E-2</v>
      </c>
      <c r="K99">
        <v>1</v>
      </c>
      <c r="M99">
        <v>7.4999999999999997E-2</v>
      </c>
      <c r="N99">
        <v>0.04</v>
      </c>
      <c r="P99">
        <v>1</v>
      </c>
      <c r="AB99">
        <v>0.89510000000000001</v>
      </c>
      <c r="AC99">
        <v>0.89510000000000001</v>
      </c>
    </row>
    <row r="100" spans="1:43" x14ac:dyDescent="0.25">
      <c r="A100" t="s">
        <v>508</v>
      </c>
      <c r="B100" t="s">
        <v>511</v>
      </c>
      <c r="C100">
        <v>66.05</v>
      </c>
      <c r="D100">
        <v>115.89</v>
      </c>
      <c r="E100">
        <v>5.0599999999999996</v>
      </c>
      <c r="F100">
        <v>5656</v>
      </c>
      <c r="G100">
        <v>0.38700000000000001</v>
      </c>
      <c r="H100">
        <v>0.10199999999999999</v>
      </c>
      <c r="I100">
        <v>1.15E-5</v>
      </c>
      <c r="J100">
        <v>13.5</v>
      </c>
      <c r="K100">
        <v>31.82</v>
      </c>
      <c r="M100">
        <v>2.3864999999999998</v>
      </c>
      <c r="N100">
        <v>1.2727999999999999</v>
      </c>
      <c r="P100">
        <v>1</v>
      </c>
      <c r="U100">
        <v>14.1</v>
      </c>
      <c r="V100">
        <v>14.1</v>
      </c>
      <c r="W100">
        <v>4.4400000000000001E-8</v>
      </c>
      <c r="X100">
        <v>1.4100000000000001E-7</v>
      </c>
      <c r="AB100">
        <v>1.3959999999999999</v>
      </c>
      <c r="AC100">
        <v>1.3959999999999999</v>
      </c>
      <c r="AE100">
        <v>40</v>
      </c>
      <c r="AK100" t="s">
        <v>713</v>
      </c>
    </row>
    <row r="101" spans="1:43" x14ac:dyDescent="0.25">
      <c r="A101" t="s">
        <v>509</v>
      </c>
      <c r="B101" t="s">
        <v>510</v>
      </c>
      <c r="C101">
        <v>52.02</v>
      </c>
      <c r="D101">
        <v>114.36</v>
      </c>
      <c r="E101">
        <v>9.94</v>
      </c>
      <c r="F101">
        <v>16620</v>
      </c>
      <c r="G101">
        <v>0.29199999999999998</v>
      </c>
      <c r="J101">
        <v>5.13</v>
      </c>
      <c r="K101">
        <v>21.73</v>
      </c>
      <c r="M101">
        <v>1.62975</v>
      </c>
      <c r="N101">
        <v>0.86920000000000008</v>
      </c>
      <c r="P101">
        <v>1</v>
      </c>
      <c r="AB101">
        <v>1.026</v>
      </c>
      <c r="AC101">
        <v>1.026</v>
      </c>
      <c r="AK101" t="s">
        <v>713</v>
      </c>
    </row>
    <row r="102" spans="1:43" x14ac:dyDescent="0.25">
      <c r="A102" t="s">
        <v>501</v>
      </c>
      <c r="B102" t="s">
        <v>502</v>
      </c>
      <c r="C102">
        <v>90.12</v>
      </c>
      <c r="D102">
        <v>191.69</v>
      </c>
      <c r="E102">
        <v>0.104</v>
      </c>
      <c r="F102">
        <v>188000</v>
      </c>
      <c r="G102">
        <v>1.34E-5</v>
      </c>
      <c r="J102">
        <v>0.61699999999999999</v>
      </c>
      <c r="K102">
        <v>2.3759999999999999</v>
      </c>
      <c r="M102">
        <v>0.1782</v>
      </c>
      <c r="N102">
        <v>9.5039999999999999E-2</v>
      </c>
      <c r="P102">
        <v>1</v>
      </c>
      <c r="AB102">
        <v>0.9355</v>
      </c>
      <c r="AC102">
        <v>0.9355</v>
      </c>
    </row>
    <row r="103" spans="1:43" x14ac:dyDescent="0.25">
      <c r="A103" t="s">
        <v>515</v>
      </c>
      <c r="B103" t="s">
        <v>516</v>
      </c>
      <c r="C103">
        <v>107.54</v>
      </c>
      <c r="D103">
        <v>258.13</v>
      </c>
      <c r="E103">
        <v>2.3600000000000001E-3</v>
      </c>
      <c r="F103">
        <v>458500</v>
      </c>
      <c r="G103">
        <v>7.23E-7</v>
      </c>
      <c r="H103">
        <v>7.7299999999999994E-2</v>
      </c>
      <c r="I103">
        <v>1.01E-5</v>
      </c>
      <c r="J103">
        <v>0.191</v>
      </c>
      <c r="K103">
        <v>1</v>
      </c>
      <c r="M103">
        <v>7.4999999999999997E-2</v>
      </c>
      <c r="N103">
        <v>0.04</v>
      </c>
      <c r="P103">
        <v>1</v>
      </c>
      <c r="U103">
        <v>101</v>
      </c>
      <c r="V103">
        <v>101</v>
      </c>
      <c r="W103">
        <v>1.51E-9</v>
      </c>
      <c r="X103">
        <v>4.7600000000000001E-9</v>
      </c>
      <c r="AB103">
        <v>0.90380000000000005</v>
      </c>
      <c r="AC103">
        <v>0.90380000000000005</v>
      </c>
    </row>
    <row r="104" spans="1:43" x14ac:dyDescent="0.25">
      <c r="A104" t="s">
        <v>686</v>
      </c>
      <c r="B104" t="s">
        <v>246</v>
      </c>
      <c r="C104">
        <v>194</v>
      </c>
      <c r="D104">
        <v>274</v>
      </c>
      <c r="E104">
        <v>2.17E-6</v>
      </c>
      <c r="F104">
        <v>4000</v>
      </c>
      <c r="G104">
        <v>1.05E-7</v>
      </c>
      <c r="H104">
        <v>5.6800000000000003E-2</v>
      </c>
      <c r="I104">
        <v>6.2899999999999999E-6</v>
      </c>
      <c r="J104">
        <v>36.299999999999997</v>
      </c>
      <c r="K104">
        <v>34.200000000000003</v>
      </c>
      <c r="L104">
        <v>0.34</v>
      </c>
      <c r="M104">
        <v>2.56</v>
      </c>
      <c r="N104">
        <v>1.37</v>
      </c>
      <c r="O104">
        <v>36.1</v>
      </c>
      <c r="P104">
        <v>1</v>
      </c>
      <c r="Q104">
        <v>10</v>
      </c>
      <c r="R104">
        <v>29.3</v>
      </c>
      <c r="S104">
        <v>4.8600000000000003</v>
      </c>
      <c r="T104">
        <v>4.8600000000000003</v>
      </c>
      <c r="U104">
        <v>24.4</v>
      </c>
      <c r="V104">
        <v>24.4</v>
      </c>
      <c r="W104">
        <v>2.9500000000000001E-4</v>
      </c>
      <c r="X104">
        <v>1.4E-3</v>
      </c>
      <c r="Y104">
        <v>1.6999999999999999E-3</v>
      </c>
      <c r="Z104">
        <v>3.4200000000000002E-4</v>
      </c>
      <c r="AA104" t="s">
        <v>44</v>
      </c>
      <c r="AB104">
        <v>3.17</v>
      </c>
      <c r="AC104" t="s">
        <v>45</v>
      </c>
      <c r="AD104" t="s">
        <v>46</v>
      </c>
      <c r="AF104" t="s">
        <v>47</v>
      </c>
      <c r="AG104" t="s">
        <v>57</v>
      </c>
      <c r="AH104" t="s">
        <v>48</v>
      </c>
      <c r="AI104" t="s">
        <v>49</v>
      </c>
      <c r="AJ104" t="s">
        <v>50</v>
      </c>
      <c r="AK104" t="s">
        <v>714</v>
      </c>
      <c r="AL104">
        <v>4.8600000000000003</v>
      </c>
      <c r="AM104">
        <v>5.9100000000000005E-4</v>
      </c>
      <c r="AN104">
        <v>1.0300000000000001E-3</v>
      </c>
      <c r="AO104" t="s">
        <v>52</v>
      </c>
      <c r="AP104" t="s">
        <v>53</v>
      </c>
      <c r="AQ104" t="s">
        <v>54</v>
      </c>
    </row>
    <row r="105" spans="1:43" x14ac:dyDescent="0.25">
      <c r="A105" t="s">
        <v>573</v>
      </c>
      <c r="B105" t="s">
        <v>247</v>
      </c>
      <c r="C105">
        <v>126.13</v>
      </c>
      <c r="D105">
        <v>289.12</v>
      </c>
      <c r="E105">
        <v>8.1700000000000002E-4</v>
      </c>
      <c r="F105">
        <v>69440</v>
      </c>
      <c r="G105">
        <v>2.6000000000000001E-6</v>
      </c>
      <c r="H105">
        <v>6.9199999999999998E-2</v>
      </c>
      <c r="I105">
        <v>9.9000000000000001E-6</v>
      </c>
      <c r="J105">
        <v>1.45</v>
      </c>
      <c r="K105">
        <v>8.4909999999999997</v>
      </c>
      <c r="L105" t="s">
        <v>57</v>
      </c>
      <c r="M105">
        <v>0.63682499999999997</v>
      </c>
      <c r="N105">
        <v>0.33964</v>
      </c>
      <c r="O105" t="s">
        <v>57</v>
      </c>
      <c r="P105">
        <v>1</v>
      </c>
      <c r="Q105" t="s">
        <v>57</v>
      </c>
      <c r="R105" t="s">
        <v>57</v>
      </c>
      <c r="S105" t="s">
        <v>56</v>
      </c>
      <c r="T105" t="s">
        <v>56</v>
      </c>
      <c r="U105" t="s">
        <v>57</v>
      </c>
      <c r="V105" t="s">
        <v>57</v>
      </c>
      <c r="W105">
        <v>1.14E-7</v>
      </c>
      <c r="X105">
        <v>3.6100000000000002E-7</v>
      </c>
      <c r="Y105" t="s">
        <v>62</v>
      </c>
      <c r="Z105" t="s">
        <v>44</v>
      </c>
      <c r="AA105" t="s">
        <v>44</v>
      </c>
      <c r="AB105">
        <v>0.99409999999999998</v>
      </c>
      <c r="AC105">
        <v>0.99409999999999998</v>
      </c>
      <c r="AD105" t="s">
        <v>46</v>
      </c>
      <c r="AE105" t="s">
        <v>56</v>
      </c>
      <c r="AF105" t="s">
        <v>47</v>
      </c>
      <c r="AG105" t="s">
        <v>57</v>
      </c>
      <c r="AH105" t="s">
        <v>48</v>
      </c>
      <c r="AI105" t="s">
        <v>49</v>
      </c>
      <c r="AJ105" t="s">
        <v>50</v>
      </c>
      <c r="AK105" t="s">
        <v>51</v>
      </c>
      <c r="AL105" t="s">
        <v>44</v>
      </c>
      <c r="AM105" t="s">
        <v>44</v>
      </c>
      <c r="AN105" t="s">
        <v>44</v>
      </c>
      <c r="AO105" t="s">
        <v>52</v>
      </c>
      <c r="AP105" t="s">
        <v>53</v>
      </c>
      <c r="AQ105" t="s">
        <v>54</v>
      </c>
    </row>
    <row r="106" spans="1:43" x14ac:dyDescent="0.25">
      <c r="A106" t="s">
        <v>499</v>
      </c>
      <c r="B106" t="s">
        <v>500</v>
      </c>
      <c r="C106">
        <v>225.3</v>
      </c>
      <c r="D106">
        <v>351.01</v>
      </c>
      <c r="E106">
        <v>4.8699999999999999E-8</v>
      </c>
      <c r="F106">
        <v>1.46</v>
      </c>
      <c r="G106">
        <v>2.34E-7</v>
      </c>
      <c r="H106">
        <v>5.1299999999999998E-2</v>
      </c>
      <c r="I106">
        <v>6.0000000000000002E-6</v>
      </c>
      <c r="J106">
        <v>19500</v>
      </c>
      <c r="K106">
        <v>2028</v>
      </c>
      <c r="M106">
        <v>152.1</v>
      </c>
      <c r="N106">
        <v>81.12</v>
      </c>
      <c r="P106">
        <v>0.32600000000000001</v>
      </c>
      <c r="U106">
        <v>8.4900000000000003E-2</v>
      </c>
      <c r="V106">
        <v>8.4900000000000003E-2</v>
      </c>
      <c r="W106">
        <v>2.9999999999999997E-4</v>
      </c>
      <c r="X106">
        <v>9.5E-4</v>
      </c>
      <c r="AB106">
        <v>334.5</v>
      </c>
      <c r="AC106">
        <v>335</v>
      </c>
    </row>
    <row r="107" spans="1:43" x14ac:dyDescent="0.25">
      <c r="A107" t="s">
        <v>574</v>
      </c>
      <c r="B107" t="s">
        <v>248</v>
      </c>
      <c r="C107">
        <v>121</v>
      </c>
      <c r="D107">
        <v>276</v>
      </c>
      <c r="E107">
        <v>9.2100000000000005E-4</v>
      </c>
      <c r="F107">
        <v>1450</v>
      </c>
      <c r="G107">
        <v>7.7000000000000001E-5</v>
      </c>
      <c r="H107">
        <v>7.7600000000000002E-2</v>
      </c>
      <c r="I107">
        <v>8.9800000000000004E-6</v>
      </c>
      <c r="J107">
        <v>204</v>
      </c>
      <c r="K107">
        <v>187</v>
      </c>
      <c r="L107">
        <v>1.87</v>
      </c>
      <c r="M107">
        <v>14</v>
      </c>
      <c r="N107">
        <v>7.47</v>
      </c>
      <c r="O107">
        <v>36.1</v>
      </c>
      <c r="P107">
        <v>1</v>
      </c>
      <c r="Q107">
        <v>14</v>
      </c>
      <c r="R107">
        <v>7.48</v>
      </c>
      <c r="S107">
        <v>1.79</v>
      </c>
      <c r="T107">
        <v>1.79</v>
      </c>
      <c r="U107">
        <v>0.21</v>
      </c>
      <c r="V107">
        <v>0.21</v>
      </c>
      <c r="W107">
        <v>9.6699999999999998E-4</v>
      </c>
      <c r="X107">
        <v>4.5900000000000003E-3</v>
      </c>
      <c r="Y107">
        <v>5.5599999999999998E-3</v>
      </c>
      <c r="Z107" t="s">
        <v>44</v>
      </c>
      <c r="AA107" t="s">
        <v>44</v>
      </c>
      <c r="AB107">
        <v>12</v>
      </c>
      <c r="AC107" t="s">
        <v>45</v>
      </c>
      <c r="AD107" t="s">
        <v>46</v>
      </c>
      <c r="AE107">
        <v>2E-3</v>
      </c>
      <c r="AF107" t="s">
        <v>47</v>
      </c>
      <c r="AG107" t="s">
        <v>57</v>
      </c>
      <c r="AH107" t="s">
        <v>48</v>
      </c>
      <c r="AI107" t="s">
        <v>49</v>
      </c>
      <c r="AJ107" t="s">
        <v>50</v>
      </c>
      <c r="AK107" t="s">
        <v>51</v>
      </c>
      <c r="AL107">
        <v>1.79</v>
      </c>
      <c r="AM107">
        <v>1.9300000000000001E-3</v>
      </c>
      <c r="AN107">
        <v>3.3800000000000002E-3</v>
      </c>
      <c r="AO107" t="s">
        <v>52</v>
      </c>
      <c r="AP107" t="s">
        <v>53</v>
      </c>
      <c r="AQ107" t="s">
        <v>54</v>
      </c>
    </row>
    <row r="108" spans="1:43" x14ac:dyDescent="0.25">
      <c r="A108" t="s">
        <v>582</v>
      </c>
      <c r="B108" t="s">
        <v>251</v>
      </c>
      <c r="C108">
        <v>73.099999999999994</v>
      </c>
      <c r="D108">
        <v>213</v>
      </c>
      <c r="E108">
        <v>5.0899999999999999E-3</v>
      </c>
      <c r="F108">
        <v>1000000</v>
      </c>
      <c r="G108">
        <v>3.72E-7</v>
      </c>
      <c r="H108">
        <v>0.109</v>
      </c>
      <c r="I108">
        <v>1.26E-5</v>
      </c>
      <c r="J108">
        <v>9.7699999999999995E-2</v>
      </c>
      <c r="K108">
        <v>0.10199999999999999</v>
      </c>
      <c r="L108">
        <v>1.0200000000000001E-3</v>
      </c>
      <c r="M108">
        <v>7.6299999999999996E-3</v>
      </c>
      <c r="N108">
        <v>4.0699999999999998E-3</v>
      </c>
      <c r="O108">
        <v>8.43</v>
      </c>
      <c r="P108">
        <v>1</v>
      </c>
      <c r="Q108">
        <v>6.39</v>
      </c>
      <c r="R108">
        <v>6280</v>
      </c>
      <c r="S108">
        <v>149</v>
      </c>
      <c r="T108">
        <v>149</v>
      </c>
      <c r="U108">
        <v>1.26E-2</v>
      </c>
      <c r="V108">
        <v>1.26E-2</v>
      </c>
      <c r="W108">
        <v>1.9099999999999999E-6</v>
      </c>
      <c r="X108">
        <v>9.0699999999999996E-6</v>
      </c>
      <c r="Y108">
        <v>1.1E-5</v>
      </c>
      <c r="Z108" t="s">
        <v>44</v>
      </c>
      <c r="AA108" t="s">
        <v>44</v>
      </c>
      <c r="AB108">
        <v>3.16</v>
      </c>
      <c r="AC108" t="s">
        <v>45</v>
      </c>
      <c r="AD108" t="s">
        <v>46</v>
      </c>
      <c r="AE108">
        <v>0.1</v>
      </c>
      <c r="AF108" t="s">
        <v>47</v>
      </c>
      <c r="AG108">
        <v>0.03</v>
      </c>
      <c r="AH108" t="s">
        <v>48</v>
      </c>
      <c r="AI108" t="s">
        <v>49</v>
      </c>
      <c r="AJ108" t="s">
        <v>50</v>
      </c>
      <c r="AK108" t="s">
        <v>51</v>
      </c>
      <c r="AL108">
        <v>149</v>
      </c>
      <c r="AM108">
        <v>3.8199999999999998E-6</v>
      </c>
      <c r="AN108">
        <v>6.6800000000000004E-6</v>
      </c>
      <c r="AO108" t="s">
        <v>52</v>
      </c>
      <c r="AP108" t="s">
        <v>53</v>
      </c>
      <c r="AQ108" t="s">
        <v>54</v>
      </c>
    </row>
    <row r="109" spans="1:43" x14ac:dyDescent="0.25">
      <c r="A109" t="s">
        <v>736</v>
      </c>
      <c r="B109" t="s">
        <v>737</v>
      </c>
      <c r="C109">
        <v>244.32</v>
      </c>
      <c r="D109">
        <v>410.65</v>
      </c>
      <c r="E109">
        <v>2.7900000000000002E-10</v>
      </c>
      <c r="F109">
        <v>60</v>
      </c>
      <c r="G109">
        <v>1.8100000000000001E-13</v>
      </c>
      <c r="H109">
        <v>1E-3</v>
      </c>
      <c r="I109">
        <v>1.0000000000000001E-5</v>
      </c>
      <c r="J109">
        <v>64.565422900000002</v>
      </c>
      <c r="K109">
        <v>60.19</v>
      </c>
      <c r="L109">
        <v>0.6</v>
      </c>
      <c r="M109">
        <v>4.51</v>
      </c>
      <c r="N109">
        <v>2.4</v>
      </c>
      <c r="O109">
        <v>1.41</v>
      </c>
      <c r="P109">
        <v>0.85899999999999999</v>
      </c>
      <c r="Q109">
        <v>12.1</v>
      </c>
      <c r="R109">
        <v>20</v>
      </c>
      <c r="S109">
        <v>3.48</v>
      </c>
      <c r="T109">
        <v>3.48</v>
      </c>
      <c r="U109">
        <v>26144296</v>
      </c>
      <c r="V109">
        <v>26144296</v>
      </c>
      <c r="W109">
        <v>4.5125900000000002E-4</v>
      </c>
      <c r="X109">
        <v>2.143481E-3</v>
      </c>
      <c r="Y109">
        <v>2.5947409999999998E-3</v>
      </c>
      <c r="Z109">
        <v>5.1289800000000002E-4</v>
      </c>
      <c r="AA109" t="s">
        <v>44</v>
      </c>
      <c r="AB109">
        <v>4.9400000000000004</v>
      </c>
      <c r="AC109" t="s">
        <v>45</v>
      </c>
      <c r="AD109" t="s">
        <v>46</v>
      </c>
      <c r="AE109" t="s">
        <v>56</v>
      </c>
      <c r="AF109">
        <v>11</v>
      </c>
      <c r="AG109" t="s">
        <v>57</v>
      </c>
      <c r="AH109">
        <v>4.0000000000000003E-5</v>
      </c>
      <c r="AI109" t="s">
        <v>49</v>
      </c>
      <c r="AJ109" t="s">
        <v>50</v>
      </c>
      <c r="AK109" t="s">
        <v>51</v>
      </c>
      <c r="AL109">
        <v>3.48</v>
      </c>
      <c r="AM109">
        <v>9.0251800000000005E-4</v>
      </c>
      <c r="AN109">
        <v>1.5794069999999999E-3</v>
      </c>
      <c r="AO109" t="s">
        <v>52</v>
      </c>
      <c r="AP109" t="s">
        <v>53</v>
      </c>
      <c r="AQ109" t="s">
        <v>54</v>
      </c>
    </row>
    <row r="110" spans="1:43" x14ac:dyDescent="0.25">
      <c r="A110" t="s">
        <v>759</v>
      </c>
      <c r="B110" t="s">
        <v>760</v>
      </c>
      <c r="C110">
        <v>244.3</v>
      </c>
      <c r="D110">
        <v>435.6</v>
      </c>
      <c r="E110">
        <v>9.1999999999999997E-9</v>
      </c>
      <c r="F110">
        <v>723.9</v>
      </c>
      <c r="G110">
        <v>1.8100000000000001E-13</v>
      </c>
      <c r="H110">
        <v>4.8599999999999997E-2</v>
      </c>
      <c r="I110">
        <v>5.6799999999999998E-6</v>
      </c>
      <c r="J110">
        <v>120</v>
      </c>
      <c r="K110">
        <v>508.8</v>
      </c>
      <c r="P110">
        <v>0.99153000000000002</v>
      </c>
      <c r="U110">
        <v>3.43</v>
      </c>
      <c r="V110">
        <v>3.43</v>
      </c>
      <c r="W110">
        <v>0.51</v>
      </c>
      <c r="X110">
        <v>1.61E-6</v>
      </c>
      <c r="AB110">
        <v>6.4580000000000002</v>
      </c>
      <c r="AC110">
        <v>6.4580000000000002</v>
      </c>
      <c r="AF110">
        <v>1.6</v>
      </c>
    </row>
    <row r="111" spans="1:43" x14ac:dyDescent="0.25">
      <c r="A111" t="s">
        <v>252</v>
      </c>
      <c r="B111" t="s">
        <v>253</v>
      </c>
      <c r="C111">
        <v>184</v>
      </c>
      <c r="D111">
        <v>386</v>
      </c>
      <c r="E111">
        <v>6.7100000000000001E-6</v>
      </c>
      <c r="F111">
        <v>2790</v>
      </c>
      <c r="G111">
        <v>4.4299999999999998E-7</v>
      </c>
      <c r="H111">
        <v>2.7300000000000001E-2</v>
      </c>
      <c r="I111">
        <v>9.0599999999999997E-6</v>
      </c>
      <c r="J111">
        <v>34.700000000000003</v>
      </c>
      <c r="K111">
        <v>0.01</v>
      </c>
      <c r="L111">
        <v>1E-4</v>
      </c>
      <c r="M111">
        <v>8.0000000000000004E-4</v>
      </c>
      <c r="N111">
        <v>4.0000000000000002E-4</v>
      </c>
      <c r="O111">
        <v>0.96</v>
      </c>
      <c r="P111">
        <v>1</v>
      </c>
      <c r="Q111">
        <v>9.8699999999999992</v>
      </c>
      <c r="R111">
        <v>98700</v>
      </c>
      <c r="S111">
        <v>4.99</v>
      </c>
      <c r="T111">
        <v>4.99</v>
      </c>
      <c r="U111">
        <v>5.51</v>
      </c>
      <c r="V111">
        <v>5.51</v>
      </c>
      <c r="W111">
        <v>1.17E-5</v>
      </c>
      <c r="X111">
        <v>5.5600000000000003E-5</v>
      </c>
      <c r="Y111">
        <v>6.7399999999999998E-5</v>
      </c>
      <c r="Z111">
        <v>2.6200000000000003E-4</v>
      </c>
      <c r="AA111" t="s">
        <v>44</v>
      </c>
      <c r="AB111">
        <v>3.06</v>
      </c>
      <c r="AC111" t="s">
        <v>45</v>
      </c>
      <c r="AD111" t="s">
        <v>46</v>
      </c>
      <c r="AE111">
        <v>2E-3</v>
      </c>
      <c r="AF111" t="s">
        <v>47</v>
      </c>
      <c r="AG111" t="s">
        <v>57</v>
      </c>
      <c r="AH111" t="s">
        <v>48</v>
      </c>
      <c r="AI111" t="s">
        <v>49</v>
      </c>
      <c r="AJ111" t="s">
        <v>50</v>
      </c>
      <c r="AK111" t="s">
        <v>67</v>
      </c>
      <c r="AL111">
        <v>4.99</v>
      </c>
      <c r="AM111">
        <v>2.34E-5</v>
      </c>
      <c r="AN111">
        <v>4.1E-5</v>
      </c>
      <c r="AO111" t="s">
        <v>52</v>
      </c>
      <c r="AP111" t="s">
        <v>53</v>
      </c>
      <c r="AQ111" t="s">
        <v>54</v>
      </c>
    </row>
    <row r="112" spans="1:43" x14ac:dyDescent="0.25">
      <c r="A112" t="s">
        <v>254</v>
      </c>
      <c r="B112" t="s">
        <v>255</v>
      </c>
      <c r="C112">
        <v>182</v>
      </c>
      <c r="D112">
        <v>342</v>
      </c>
      <c r="E112">
        <v>1.9299999999999999E-7</v>
      </c>
      <c r="F112">
        <v>270</v>
      </c>
      <c r="G112">
        <v>9.2599999999999995E-8</v>
      </c>
      <c r="H112">
        <v>0.20300000000000001</v>
      </c>
      <c r="I112">
        <v>7.0600000000000002E-6</v>
      </c>
      <c r="J112">
        <v>95.5</v>
      </c>
      <c r="K112">
        <v>88.4</v>
      </c>
      <c r="L112">
        <v>0.88</v>
      </c>
      <c r="M112">
        <v>6.63</v>
      </c>
      <c r="N112">
        <v>3.54</v>
      </c>
      <c r="O112">
        <v>1.41</v>
      </c>
      <c r="P112">
        <v>0.999</v>
      </c>
      <c r="Q112">
        <v>14.1</v>
      </c>
      <c r="R112">
        <v>15.9</v>
      </c>
      <c r="S112">
        <v>2.78</v>
      </c>
      <c r="T112">
        <v>2.78</v>
      </c>
      <c r="U112">
        <v>77.5</v>
      </c>
      <c r="V112">
        <v>77.5</v>
      </c>
      <c r="W112">
        <v>5.9199999999999997E-4</v>
      </c>
      <c r="X112">
        <v>2.81E-3</v>
      </c>
      <c r="Y112">
        <v>3.4099999999999998E-3</v>
      </c>
      <c r="Z112">
        <v>7.8600000000000002E-4</v>
      </c>
      <c r="AA112" t="s">
        <v>44</v>
      </c>
      <c r="AB112">
        <v>6.68</v>
      </c>
      <c r="AC112" t="s">
        <v>45</v>
      </c>
      <c r="AD112" t="s">
        <v>46</v>
      </c>
      <c r="AE112">
        <v>2E-3</v>
      </c>
      <c r="AF112">
        <v>0.31</v>
      </c>
      <c r="AG112" t="s">
        <v>57</v>
      </c>
      <c r="AH112">
        <v>8.8999999999999995E-5</v>
      </c>
      <c r="AI112" t="s">
        <v>49</v>
      </c>
      <c r="AJ112" t="s">
        <v>50</v>
      </c>
      <c r="AK112" t="s">
        <v>51</v>
      </c>
      <c r="AL112">
        <v>2.78</v>
      </c>
      <c r="AM112">
        <v>1.1900000000000001E-3</v>
      </c>
      <c r="AN112">
        <v>2.0699999999999998E-3</v>
      </c>
      <c r="AO112" t="s">
        <v>52</v>
      </c>
      <c r="AP112" t="s">
        <v>53</v>
      </c>
      <c r="AQ112" t="s">
        <v>54</v>
      </c>
    </row>
    <row r="113" spans="1:43" x14ac:dyDescent="0.25">
      <c r="A113" t="s">
        <v>256</v>
      </c>
      <c r="B113" t="s">
        <v>257</v>
      </c>
      <c r="C113">
        <v>391</v>
      </c>
      <c r="D113">
        <v>298</v>
      </c>
      <c r="E113">
        <v>3.4200000000000002E-9</v>
      </c>
      <c r="F113">
        <v>0.02</v>
      </c>
      <c r="G113">
        <v>6.7000000000000002E-5</v>
      </c>
      <c r="H113">
        <v>1E-3</v>
      </c>
      <c r="I113">
        <v>1.0000000000000001E-5</v>
      </c>
      <c r="J113">
        <v>126000000</v>
      </c>
      <c r="K113">
        <v>91700000</v>
      </c>
      <c r="L113">
        <v>13000000</v>
      </c>
      <c r="M113">
        <v>6880000</v>
      </c>
      <c r="N113">
        <v>3670000</v>
      </c>
      <c r="O113">
        <v>9.0299999999999994</v>
      </c>
      <c r="P113">
        <v>0.85199999999999998</v>
      </c>
      <c r="Q113">
        <v>401000</v>
      </c>
      <c r="R113">
        <v>3.0800000000000001E-2</v>
      </c>
      <c r="S113">
        <v>8.0599999999999997E-4</v>
      </c>
      <c r="T113">
        <v>8.0599999999999997E-4</v>
      </c>
      <c r="U113">
        <v>353000</v>
      </c>
      <c r="V113">
        <v>353000</v>
      </c>
      <c r="W113">
        <v>1.64E-3</v>
      </c>
      <c r="X113">
        <v>7.77E-3</v>
      </c>
      <c r="Y113">
        <v>9.41E-3</v>
      </c>
      <c r="Z113">
        <v>17000</v>
      </c>
      <c r="AA113" t="s">
        <v>44</v>
      </c>
      <c r="AB113">
        <v>2.35</v>
      </c>
      <c r="AC113">
        <v>462</v>
      </c>
      <c r="AD113" t="s">
        <v>46</v>
      </c>
      <c r="AE113">
        <v>0.01</v>
      </c>
      <c r="AG113" t="s">
        <v>57</v>
      </c>
      <c r="AH113" t="s">
        <v>48</v>
      </c>
      <c r="AI113" t="s">
        <v>49</v>
      </c>
      <c r="AJ113" t="s">
        <v>50</v>
      </c>
      <c r="AK113" t="s">
        <v>152</v>
      </c>
      <c r="AL113">
        <v>8.0599999999999997E-4</v>
      </c>
      <c r="AM113">
        <v>3.2699999999999999E-3</v>
      </c>
      <c r="AN113">
        <v>5.7299999999999999E-3</v>
      </c>
      <c r="AO113" t="s">
        <v>52</v>
      </c>
      <c r="AP113" t="s">
        <v>53</v>
      </c>
      <c r="AQ113" t="s">
        <v>54</v>
      </c>
    </row>
    <row r="114" spans="1:43" x14ac:dyDescent="0.25">
      <c r="A114" t="s">
        <v>258</v>
      </c>
      <c r="B114" t="s">
        <v>259</v>
      </c>
      <c r="C114">
        <v>88.1</v>
      </c>
      <c r="D114">
        <v>285</v>
      </c>
      <c r="E114">
        <v>5.0099999999999999E-2</v>
      </c>
      <c r="F114">
        <v>1000000</v>
      </c>
      <c r="G114">
        <v>4.7999999999999998E-6</v>
      </c>
      <c r="H114">
        <v>0.22900000000000001</v>
      </c>
      <c r="I114">
        <v>1.0200000000000001E-5</v>
      </c>
      <c r="J114">
        <v>0.53700000000000003</v>
      </c>
      <c r="K114">
        <v>0.54</v>
      </c>
      <c r="L114">
        <v>0.01</v>
      </c>
      <c r="M114">
        <v>0.04</v>
      </c>
      <c r="N114">
        <v>0.02</v>
      </c>
      <c r="O114">
        <v>1.41</v>
      </c>
      <c r="P114">
        <v>1</v>
      </c>
      <c r="Q114">
        <v>6.45</v>
      </c>
      <c r="R114">
        <v>1190</v>
      </c>
      <c r="S114">
        <v>8.3800000000000008</v>
      </c>
      <c r="T114">
        <v>8.3800000000000008</v>
      </c>
      <c r="U114">
        <v>6.0099999999999997E-3</v>
      </c>
      <c r="V114">
        <v>6.0099999999999997E-3</v>
      </c>
      <c r="W114">
        <v>5.57E-6</v>
      </c>
      <c r="X114">
        <v>2.65E-5</v>
      </c>
      <c r="Y114">
        <v>3.1999999999999999E-5</v>
      </c>
      <c r="Z114">
        <v>4.2899999999999996E-6</v>
      </c>
      <c r="AA114" t="s">
        <v>44</v>
      </c>
      <c r="AB114">
        <v>3.16</v>
      </c>
      <c r="AC114" t="s">
        <v>45</v>
      </c>
      <c r="AD114" t="s">
        <v>46</v>
      </c>
      <c r="AE114">
        <v>0.03</v>
      </c>
      <c r="AF114">
        <v>0.1</v>
      </c>
      <c r="AG114">
        <v>0.03</v>
      </c>
      <c r="AH114">
        <v>5.0000000000000004E-6</v>
      </c>
      <c r="AI114" t="s">
        <v>49</v>
      </c>
      <c r="AJ114" t="s">
        <v>50</v>
      </c>
      <c r="AK114" t="s">
        <v>51</v>
      </c>
      <c r="AL114">
        <v>8.3800000000000008</v>
      </c>
      <c r="AM114">
        <v>1.11E-5</v>
      </c>
      <c r="AN114">
        <v>1.95E-5</v>
      </c>
      <c r="AO114" t="s">
        <v>52</v>
      </c>
      <c r="AP114" t="s">
        <v>53</v>
      </c>
      <c r="AQ114" t="s">
        <v>54</v>
      </c>
    </row>
    <row r="115" spans="1:43" x14ac:dyDescent="0.25">
      <c r="A115" t="s">
        <v>688</v>
      </c>
      <c r="B115" t="s">
        <v>261</v>
      </c>
      <c r="C115">
        <v>356</v>
      </c>
      <c r="D115">
        <v>514</v>
      </c>
      <c r="E115">
        <v>5.7899999999999996E-13</v>
      </c>
      <c r="F115">
        <v>1.18E-4</v>
      </c>
      <c r="G115">
        <v>2.6000000000000001E-6</v>
      </c>
      <c r="H115">
        <v>9.8900000000000002E-2</v>
      </c>
      <c r="I115">
        <v>7.9999999999999996E-6</v>
      </c>
      <c r="J115">
        <v>4370000</v>
      </c>
      <c r="K115">
        <v>2690000</v>
      </c>
      <c r="L115">
        <v>26900</v>
      </c>
      <c r="M115">
        <v>202000</v>
      </c>
      <c r="N115">
        <v>108000</v>
      </c>
      <c r="O115">
        <v>0.03</v>
      </c>
      <c r="P115">
        <v>0.11700000000000001</v>
      </c>
      <c r="Q115">
        <v>30100</v>
      </c>
      <c r="R115">
        <v>1.1200000000000001</v>
      </c>
      <c r="S115">
        <v>5.62E-3</v>
      </c>
      <c r="T115">
        <v>5.62E-3</v>
      </c>
      <c r="U115">
        <v>239000</v>
      </c>
      <c r="V115">
        <v>239000</v>
      </c>
      <c r="W115">
        <v>6.0499999999999998E-3</v>
      </c>
      <c r="X115">
        <v>2.8799999999999999E-2</v>
      </c>
      <c r="Y115">
        <v>3.4799999999999998E-2</v>
      </c>
      <c r="Z115">
        <v>4.7100000000000003E-2</v>
      </c>
      <c r="AA115">
        <v>2.5</v>
      </c>
      <c r="AB115">
        <v>25900</v>
      </c>
      <c r="AC115" t="s">
        <v>45</v>
      </c>
      <c r="AD115">
        <v>0.09</v>
      </c>
      <c r="AE115">
        <v>6.9999999999999996E-10</v>
      </c>
      <c r="AF115">
        <v>1400000</v>
      </c>
      <c r="AG115">
        <v>4.0000000000000001E-8</v>
      </c>
      <c r="AH115">
        <v>400</v>
      </c>
      <c r="AI115" t="s">
        <v>49</v>
      </c>
      <c r="AJ115" t="s">
        <v>50</v>
      </c>
      <c r="AK115" t="s">
        <v>262</v>
      </c>
      <c r="AL115">
        <v>4.5500000000000002E-3</v>
      </c>
      <c r="AM115">
        <v>1.0999999999999999E-2</v>
      </c>
      <c r="AN115">
        <v>1.9199999999999998E-2</v>
      </c>
      <c r="AO115">
        <v>1</v>
      </c>
      <c r="AP115" t="s">
        <v>53</v>
      </c>
      <c r="AQ115" t="s">
        <v>54</v>
      </c>
    </row>
    <row r="116" spans="1:43" x14ac:dyDescent="0.25">
      <c r="A116" t="s">
        <v>651</v>
      </c>
      <c r="B116" t="s">
        <v>250</v>
      </c>
      <c r="C116">
        <v>256</v>
      </c>
      <c r="D116">
        <v>423</v>
      </c>
      <c r="E116">
        <v>2.6300000000000002E-10</v>
      </c>
      <c r="F116">
        <v>6.0999999999999999E-2</v>
      </c>
      <c r="G116">
        <v>1.11E-6</v>
      </c>
      <c r="H116">
        <v>4.7100000000000003E-2</v>
      </c>
      <c r="I116">
        <v>5.4500000000000003E-6</v>
      </c>
      <c r="J116">
        <v>631000</v>
      </c>
      <c r="K116">
        <v>503000</v>
      </c>
      <c r="L116">
        <v>5030</v>
      </c>
      <c r="M116">
        <v>37700</v>
      </c>
      <c r="N116">
        <v>20100</v>
      </c>
      <c r="O116">
        <v>0.7</v>
      </c>
      <c r="P116">
        <v>0.307</v>
      </c>
      <c r="Q116">
        <v>6790</v>
      </c>
      <c r="R116">
        <v>1.35</v>
      </c>
      <c r="S116">
        <v>1.72E-2</v>
      </c>
      <c r="T116">
        <v>1.72E-2</v>
      </c>
      <c r="U116">
        <v>76000</v>
      </c>
      <c r="V116">
        <v>76000</v>
      </c>
      <c r="W116">
        <v>8.2699999999999996E-3</v>
      </c>
      <c r="X116">
        <v>3.9300000000000002E-2</v>
      </c>
      <c r="Y116">
        <v>4.7600000000000003E-2</v>
      </c>
      <c r="Z116" t="s">
        <v>44</v>
      </c>
      <c r="AA116" t="s">
        <v>44</v>
      </c>
      <c r="AB116">
        <v>5830</v>
      </c>
      <c r="AC116">
        <v>133000</v>
      </c>
      <c r="AD116" t="s">
        <v>46</v>
      </c>
      <c r="AE116" t="s">
        <v>56</v>
      </c>
      <c r="AF116">
        <v>255</v>
      </c>
      <c r="AG116" t="s">
        <v>57</v>
      </c>
      <c r="AI116" t="s">
        <v>49</v>
      </c>
      <c r="AJ116" t="s">
        <v>50</v>
      </c>
      <c r="AK116" t="s">
        <v>72</v>
      </c>
      <c r="AL116">
        <v>1.72E-2</v>
      </c>
      <c r="AM116">
        <v>1.6500000000000001E-2</v>
      </c>
      <c r="AN116">
        <v>2.9000000000000001E-2</v>
      </c>
      <c r="AO116" t="s">
        <v>52</v>
      </c>
      <c r="AP116" t="s">
        <v>53</v>
      </c>
      <c r="AQ116" t="s">
        <v>54</v>
      </c>
    </row>
    <row r="117" spans="1:43" x14ac:dyDescent="0.25">
      <c r="A117" t="s">
        <v>263</v>
      </c>
      <c r="B117" t="s">
        <v>264</v>
      </c>
      <c r="C117">
        <v>92.5</v>
      </c>
      <c r="D117">
        <v>216</v>
      </c>
      <c r="E117">
        <v>2.1600000000000001E-2</v>
      </c>
      <c r="F117">
        <v>65900</v>
      </c>
      <c r="G117">
        <v>3.04E-5</v>
      </c>
      <c r="H117">
        <v>8.5999999999999993E-2</v>
      </c>
      <c r="I117">
        <v>9.7999999999999993E-6</v>
      </c>
      <c r="J117">
        <v>0.61699999999999999</v>
      </c>
      <c r="K117">
        <v>0.62</v>
      </c>
      <c r="L117">
        <v>6.0000000000000001E-3</v>
      </c>
      <c r="M117">
        <v>0.05</v>
      </c>
      <c r="N117">
        <v>0.02</v>
      </c>
      <c r="O117">
        <v>9.0299999999999994</v>
      </c>
      <c r="P117">
        <v>1</v>
      </c>
      <c r="Q117">
        <v>6.47</v>
      </c>
      <c r="R117">
        <v>1040</v>
      </c>
      <c r="S117">
        <v>8.3800000000000008</v>
      </c>
      <c r="T117">
        <v>8.3800000000000008</v>
      </c>
      <c r="U117">
        <v>1.1000000000000001E-3</v>
      </c>
      <c r="V117">
        <v>1.1000000000000001E-3</v>
      </c>
      <c r="W117">
        <v>6.4999999999999996E-6</v>
      </c>
      <c r="X117">
        <v>3.0899999999999999E-5</v>
      </c>
      <c r="Y117">
        <v>3.7400000000000001E-5</v>
      </c>
      <c r="Z117">
        <v>1.4100000000000001E-5</v>
      </c>
      <c r="AA117" t="s">
        <v>44</v>
      </c>
      <c r="AB117">
        <v>3.16</v>
      </c>
      <c r="AC117" t="s">
        <v>45</v>
      </c>
      <c r="AD117" t="s">
        <v>46</v>
      </c>
      <c r="AE117">
        <v>6.0000000000000001E-3</v>
      </c>
      <c r="AF117">
        <v>9.9000000000000008E-3</v>
      </c>
      <c r="AG117">
        <v>1E-3</v>
      </c>
      <c r="AH117">
        <v>1.1999999999999999E-6</v>
      </c>
      <c r="AI117" t="s">
        <v>49</v>
      </c>
      <c r="AJ117" t="s">
        <v>50</v>
      </c>
      <c r="AK117" t="s">
        <v>51</v>
      </c>
      <c r="AL117">
        <v>8.3800000000000008</v>
      </c>
      <c r="AM117">
        <v>1.2999999999999999E-5</v>
      </c>
      <c r="AN117">
        <v>2.2799999999999999E-5</v>
      </c>
      <c r="AO117" t="s">
        <v>52</v>
      </c>
      <c r="AP117" t="s">
        <v>53</v>
      </c>
      <c r="AQ117" t="s">
        <v>54</v>
      </c>
    </row>
    <row r="118" spans="1:43" x14ac:dyDescent="0.25">
      <c r="A118" t="s">
        <v>555</v>
      </c>
      <c r="B118" t="s">
        <v>55</v>
      </c>
      <c r="C118">
        <v>72.099999999999994</v>
      </c>
      <c r="D118">
        <v>123</v>
      </c>
      <c r="E118">
        <v>0.23699999999999999</v>
      </c>
      <c r="F118">
        <v>95000</v>
      </c>
      <c r="G118" t="s">
        <v>56</v>
      </c>
      <c r="H118">
        <v>9.2899999999999996E-2</v>
      </c>
      <c r="I118">
        <v>1.04E-5</v>
      </c>
      <c r="J118">
        <v>7.24</v>
      </c>
      <c r="K118">
        <v>9.91</v>
      </c>
      <c r="L118">
        <v>9.9099999999999994E-2</v>
      </c>
      <c r="M118">
        <v>0.74299999999999999</v>
      </c>
      <c r="N118">
        <v>0.39600000000000002</v>
      </c>
      <c r="O118" t="s">
        <v>57</v>
      </c>
      <c r="P118">
        <v>1</v>
      </c>
      <c r="Q118">
        <v>7.38</v>
      </c>
      <c r="R118">
        <v>74.400000000000006</v>
      </c>
      <c r="S118">
        <v>12.3</v>
      </c>
      <c r="T118">
        <v>12.3</v>
      </c>
      <c r="U118" t="s">
        <v>57</v>
      </c>
      <c r="V118" t="s">
        <v>57</v>
      </c>
      <c r="W118">
        <v>7.75E-5</v>
      </c>
      <c r="X118">
        <v>3.68E-4</v>
      </c>
      <c r="Y118">
        <v>4.4499999999999997E-4</v>
      </c>
      <c r="Z118" t="s">
        <v>44</v>
      </c>
      <c r="AA118" t="s">
        <v>44</v>
      </c>
      <c r="AB118">
        <v>3.16</v>
      </c>
      <c r="AC118" t="s">
        <v>45</v>
      </c>
      <c r="AD118" t="s">
        <v>46</v>
      </c>
      <c r="AE118" t="s">
        <v>56</v>
      </c>
      <c r="AF118" t="s">
        <v>47</v>
      </c>
      <c r="AG118">
        <v>0.02</v>
      </c>
      <c r="AH118" t="s">
        <v>48</v>
      </c>
      <c r="AI118" t="s">
        <v>49</v>
      </c>
      <c r="AJ118" t="s">
        <v>50</v>
      </c>
      <c r="AK118" t="s">
        <v>51</v>
      </c>
      <c r="AL118">
        <v>12.3</v>
      </c>
      <c r="AM118">
        <v>1.55E-4</v>
      </c>
      <c r="AN118">
        <v>2.7099999999999997E-4</v>
      </c>
      <c r="AO118" t="s">
        <v>52</v>
      </c>
      <c r="AP118" t="s">
        <v>53</v>
      </c>
      <c r="AQ118" t="s">
        <v>54</v>
      </c>
    </row>
    <row r="119" spans="1:43" x14ac:dyDescent="0.25">
      <c r="A119" t="s">
        <v>578</v>
      </c>
      <c r="B119" t="s">
        <v>265</v>
      </c>
      <c r="C119">
        <v>100</v>
      </c>
      <c r="D119">
        <v>202</v>
      </c>
      <c r="E119">
        <v>5.0799999999999998E-2</v>
      </c>
      <c r="F119">
        <v>15000</v>
      </c>
      <c r="G119">
        <v>3.39E-4</v>
      </c>
      <c r="H119">
        <v>8.8099999999999998E-2</v>
      </c>
      <c r="I119">
        <v>1.0200000000000001E-5</v>
      </c>
      <c r="J119">
        <v>20.9</v>
      </c>
      <c r="K119">
        <v>19.899999999999999</v>
      </c>
      <c r="L119">
        <v>0.19900000000000001</v>
      </c>
      <c r="M119">
        <v>1.49</v>
      </c>
      <c r="N119">
        <v>0.79400000000000004</v>
      </c>
      <c r="O119">
        <v>36.1</v>
      </c>
      <c r="P119">
        <v>1</v>
      </c>
      <c r="Q119">
        <v>8.7200000000000006</v>
      </c>
      <c r="R119">
        <v>43.9</v>
      </c>
      <c r="S119">
        <v>6.68</v>
      </c>
      <c r="T119">
        <v>6.68</v>
      </c>
      <c r="U119">
        <v>4.1999999999999997E-3</v>
      </c>
      <c r="V119">
        <v>4.1999999999999997E-3</v>
      </c>
      <c r="W119">
        <v>1.9100000000000001E-4</v>
      </c>
      <c r="X119">
        <v>9.0899999999999998E-4</v>
      </c>
      <c r="Y119">
        <v>1.1000000000000001E-3</v>
      </c>
      <c r="Z119" t="s">
        <v>44</v>
      </c>
      <c r="AA119" t="s">
        <v>44</v>
      </c>
      <c r="AB119">
        <v>2.0699999999999998</v>
      </c>
      <c r="AC119" t="s">
        <v>45</v>
      </c>
      <c r="AD119" t="s">
        <v>46</v>
      </c>
      <c r="AE119">
        <v>1.37E-2</v>
      </c>
      <c r="AG119" t="s">
        <v>57</v>
      </c>
      <c r="AH119" t="s">
        <v>48</v>
      </c>
      <c r="AI119" t="s">
        <v>49</v>
      </c>
      <c r="AJ119" t="s">
        <v>50</v>
      </c>
      <c r="AK119" t="s">
        <v>51</v>
      </c>
      <c r="AL119">
        <v>6.68</v>
      </c>
      <c r="AM119">
        <v>3.8299999999999999E-4</v>
      </c>
      <c r="AN119">
        <v>6.7000000000000002E-4</v>
      </c>
      <c r="AO119" t="s">
        <v>52</v>
      </c>
      <c r="AP119" t="s">
        <v>53</v>
      </c>
      <c r="AQ119" t="s">
        <v>54</v>
      </c>
    </row>
    <row r="120" spans="1:43" x14ac:dyDescent="0.25">
      <c r="A120" t="s">
        <v>266</v>
      </c>
      <c r="B120" t="s">
        <v>267</v>
      </c>
      <c r="C120">
        <v>106</v>
      </c>
      <c r="D120">
        <v>178</v>
      </c>
      <c r="E120">
        <v>1.26E-2</v>
      </c>
      <c r="F120">
        <v>170</v>
      </c>
      <c r="G120">
        <v>7.9000000000000008E-3</v>
      </c>
      <c r="H120">
        <v>7.4999999999999997E-2</v>
      </c>
      <c r="I120">
        <v>7.7999999999999999E-6</v>
      </c>
      <c r="J120">
        <v>1260</v>
      </c>
      <c r="K120">
        <v>204</v>
      </c>
      <c r="L120">
        <v>0.73</v>
      </c>
      <c r="M120">
        <v>15.3</v>
      </c>
      <c r="N120">
        <v>8.16</v>
      </c>
      <c r="O120">
        <v>25.3</v>
      </c>
      <c r="P120">
        <v>1</v>
      </c>
      <c r="Q120">
        <v>56.6</v>
      </c>
      <c r="R120">
        <v>77.599999999999994</v>
      </c>
      <c r="S120">
        <v>0.625</v>
      </c>
      <c r="T120">
        <v>0.625</v>
      </c>
      <c r="U120">
        <v>1.4200000000000001E-2</v>
      </c>
      <c r="V120">
        <v>1.4200000000000001E-2</v>
      </c>
      <c r="W120">
        <v>2.5600000000000002E-3</v>
      </c>
      <c r="X120">
        <v>1.21E-2</v>
      </c>
      <c r="Y120">
        <v>1.47E-2</v>
      </c>
      <c r="Z120">
        <v>1.0500000000000001E-2</v>
      </c>
      <c r="AA120" t="s">
        <v>44</v>
      </c>
      <c r="AB120">
        <v>48.6</v>
      </c>
      <c r="AC120" t="s">
        <v>45</v>
      </c>
      <c r="AD120" t="s">
        <v>46</v>
      </c>
      <c r="AE120">
        <v>0.1</v>
      </c>
      <c r="AF120">
        <v>1.0999999999999999E-2</v>
      </c>
      <c r="AG120">
        <v>1</v>
      </c>
      <c r="AH120">
        <v>2.5000000000000002E-6</v>
      </c>
      <c r="AI120" t="s">
        <v>49</v>
      </c>
      <c r="AJ120" t="s">
        <v>50</v>
      </c>
      <c r="AK120" t="s">
        <v>51</v>
      </c>
      <c r="AL120">
        <v>0.625</v>
      </c>
      <c r="AM120">
        <v>5.11E-3</v>
      </c>
      <c r="AN120">
        <v>8.9499999999999996E-3</v>
      </c>
      <c r="AO120" t="s">
        <v>52</v>
      </c>
      <c r="AP120" t="s">
        <v>53</v>
      </c>
      <c r="AQ120" t="s">
        <v>54</v>
      </c>
    </row>
    <row r="121" spans="1:43" x14ac:dyDescent="0.25">
      <c r="A121" t="s">
        <v>268</v>
      </c>
      <c r="B121" t="s">
        <v>269</v>
      </c>
      <c r="C121">
        <v>188</v>
      </c>
      <c r="D121">
        <v>283</v>
      </c>
      <c r="E121">
        <v>1.7100000000000001E-2</v>
      </c>
      <c r="F121">
        <v>4000</v>
      </c>
      <c r="G121">
        <v>7.3999999999999999E-4</v>
      </c>
      <c r="H121">
        <v>1E-3</v>
      </c>
      <c r="I121">
        <v>1.0000000000000001E-5</v>
      </c>
      <c r="J121">
        <v>100</v>
      </c>
      <c r="K121">
        <v>92.5</v>
      </c>
      <c r="L121">
        <v>8.5000000000000006E-2</v>
      </c>
      <c r="M121">
        <v>6.94</v>
      </c>
      <c r="N121">
        <v>3.7</v>
      </c>
      <c r="O121">
        <v>1.41</v>
      </c>
      <c r="P121">
        <v>1</v>
      </c>
      <c r="Q121">
        <v>8.0500000000000007</v>
      </c>
      <c r="R121">
        <v>94.8</v>
      </c>
      <c r="S121">
        <v>2.7</v>
      </c>
      <c r="T121">
        <v>2.7</v>
      </c>
      <c r="U121">
        <v>1.0200000000000001E-2</v>
      </c>
      <c r="V121">
        <v>1.0200000000000001E-2</v>
      </c>
      <c r="W121">
        <v>6.11E-4</v>
      </c>
      <c r="X121">
        <v>2.8999999999999998E-3</v>
      </c>
      <c r="Y121">
        <v>3.5100000000000001E-3</v>
      </c>
      <c r="Z121">
        <v>4.4700000000000002E-4</v>
      </c>
      <c r="AA121" t="s">
        <v>44</v>
      </c>
      <c r="AB121">
        <v>6.92</v>
      </c>
      <c r="AC121" t="s">
        <v>45</v>
      </c>
      <c r="AD121" t="s">
        <v>46</v>
      </c>
      <c r="AE121">
        <v>8.9999999999999993E-3</v>
      </c>
      <c r="AF121">
        <v>2</v>
      </c>
      <c r="AG121">
        <v>8.9999999999999993E-3</v>
      </c>
      <c r="AH121">
        <v>2.2000000000000001E-4</v>
      </c>
      <c r="AI121" t="s">
        <v>49</v>
      </c>
      <c r="AJ121" t="s">
        <v>50</v>
      </c>
      <c r="AK121" t="s">
        <v>51</v>
      </c>
      <c r="AL121">
        <v>2.7</v>
      </c>
      <c r="AM121">
        <v>1.2199999999999999E-3</v>
      </c>
      <c r="AN121">
        <v>2.14E-3</v>
      </c>
      <c r="AO121" t="s">
        <v>52</v>
      </c>
      <c r="AP121" t="s">
        <v>53</v>
      </c>
      <c r="AQ121" t="s">
        <v>54</v>
      </c>
    </row>
    <row r="122" spans="1:43" x14ac:dyDescent="0.25">
      <c r="A122" t="s">
        <v>579</v>
      </c>
      <c r="B122" t="s">
        <v>270</v>
      </c>
      <c r="C122">
        <v>62.1</v>
      </c>
      <c r="D122">
        <v>260</v>
      </c>
      <c r="E122">
        <v>1.21E-4</v>
      </c>
      <c r="F122">
        <v>1000000</v>
      </c>
      <c r="G122">
        <v>7.5100000000000007E-9</v>
      </c>
      <c r="H122">
        <v>0.121</v>
      </c>
      <c r="I122">
        <v>1.4E-5</v>
      </c>
      <c r="J122">
        <v>4.3700000000000003E-2</v>
      </c>
      <c r="K122">
        <v>4.6100000000000002E-2</v>
      </c>
      <c r="L122">
        <v>4.6099999999999998E-4</v>
      </c>
      <c r="M122">
        <v>3.46E-3</v>
      </c>
      <c r="N122">
        <v>1.8400000000000001E-3</v>
      </c>
      <c r="O122">
        <v>14.9</v>
      </c>
      <c r="P122">
        <v>1</v>
      </c>
      <c r="Q122">
        <v>6.39</v>
      </c>
      <c r="R122">
        <v>13900</v>
      </c>
      <c r="S122">
        <v>237</v>
      </c>
      <c r="T122">
        <v>237</v>
      </c>
      <c r="U122">
        <v>0.26500000000000001</v>
      </c>
      <c r="V122">
        <v>0.26500000000000001</v>
      </c>
      <c r="W122">
        <v>1.9099999999999999E-6</v>
      </c>
      <c r="X122">
        <v>9.0699999999999996E-6</v>
      </c>
      <c r="Y122">
        <v>1.1E-5</v>
      </c>
      <c r="Z122" t="s">
        <v>44</v>
      </c>
      <c r="AA122" t="s">
        <v>44</v>
      </c>
      <c r="AB122">
        <v>3.16</v>
      </c>
      <c r="AC122" t="s">
        <v>45</v>
      </c>
      <c r="AD122" t="s">
        <v>46</v>
      </c>
      <c r="AE122">
        <v>2</v>
      </c>
      <c r="AF122" t="s">
        <v>47</v>
      </c>
      <c r="AG122">
        <v>0.4</v>
      </c>
      <c r="AH122" t="s">
        <v>48</v>
      </c>
      <c r="AI122" t="s">
        <v>49</v>
      </c>
      <c r="AJ122" t="s">
        <v>50</v>
      </c>
      <c r="AK122" t="s">
        <v>51</v>
      </c>
      <c r="AL122">
        <v>237</v>
      </c>
      <c r="AM122">
        <v>3.8199999999999998E-6</v>
      </c>
      <c r="AN122">
        <v>6.6800000000000004E-6</v>
      </c>
      <c r="AO122" t="s">
        <v>52</v>
      </c>
      <c r="AP122" t="s">
        <v>53</v>
      </c>
      <c r="AQ122" t="s">
        <v>54</v>
      </c>
    </row>
    <row r="123" spans="1:43" x14ac:dyDescent="0.25">
      <c r="A123" t="s">
        <v>635</v>
      </c>
      <c r="B123" t="s">
        <v>68</v>
      </c>
      <c r="C123">
        <v>160.21</v>
      </c>
      <c r="D123">
        <v>258.77</v>
      </c>
      <c r="E123">
        <v>7.0299999999999996E-4</v>
      </c>
      <c r="F123">
        <v>3103</v>
      </c>
      <c r="G123">
        <v>6.3799999999999999E-6</v>
      </c>
      <c r="H123" t="s">
        <v>44</v>
      </c>
      <c r="I123" t="s">
        <v>44</v>
      </c>
      <c r="J123">
        <v>37.200000000000003</v>
      </c>
      <c r="K123">
        <v>15.08</v>
      </c>
      <c r="L123" t="s">
        <v>57</v>
      </c>
      <c r="M123">
        <v>1.131</v>
      </c>
      <c r="N123">
        <v>0.60320000000000007</v>
      </c>
      <c r="O123" t="s">
        <v>57</v>
      </c>
      <c r="P123">
        <v>1</v>
      </c>
      <c r="Q123" t="s">
        <v>57</v>
      </c>
      <c r="R123" t="s">
        <v>57</v>
      </c>
      <c r="S123" t="s">
        <v>56</v>
      </c>
      <c r="T123" t="s">
        <v>56</v>
      </c>
      <c r="U123" t="s">
        <v>57</v>
      </c>
      <c r="V123" t="s">
        <v>57</v>
      </c>
      <c r="W123" t="s">
        <v>62</v>
      </c>
      <c r="X123" t="s">
        <v>62</v>
      </c>
      <c r="Y123" t="s">
        <v>62</v>
      </c>
      <c r="Z123" t="s">
        <v>44</v>
      </c>
      <c r="AA123" t="s">
        <v>44</v>
      </c>
      <c r="AB123">
        <v>2.573</v>
      </c>
      <c r="AC123">
        <v>2.573</v>
      </c>
      <c r="AD123" t="s">
        <v>46</v>
      </c>
      <c r="AE123" t="s">
        <v>56</v>
      </c>
      <c r="AF123" t="s">
        <v>47</v>
      </c>
      <c r="AG123" t="s">
        <v>57</v>
      </c>
      <c r="AH123" t="s">
        <v>48</v>
      </c>
      <c r="AI123" t="s">
        <v>49</v>
      </c>
      <c r="AJ123" t="s">
        <v>50</v>
      </c>
      <c r="AK123" t="s">
        <v>51</v>
      </c>
      <c r="AL123" t="s">
        <v>44</v>
      </c>
      <c r="AM123" t="s">
        <v>44</v>
      </c>
      <c r="AN123" t="s">
        <v>44</v>
      </c>
      <c r="AO123" t="s">
        <v>52</v>
      </c>
      <c r="AP123" t="s">
        <v>53</v>
      </c>
      <c r="AQ123" t="s">
        <v>54</v>
      </c>
    </row>
    <row r="124" spans="1:43" x14ac:dyDescent="0.25">
      <c r="A124" t="s">
        <v>580</v>
      </c>
      <c r="B124" t="s">
        <v>168</v>
      </c>
      <c r="C124">
        <v>132.15799999999999</v>
      </c>
      <c r="D124">
        <v>211.45</v>
      </c>
      <c r="E124">
        <v>3.0794400000000001E-3</v>
      </c>
      <c r="F124">
        <v>247000</v>
      </c>
      <c r="G124">
        <v>1.6500000000000001E-6</v>
      </c>
      <c r="H124">
        <v>7.3200000000000001E-2</v>
      </c>
      <c r="I124">
        <v>8.4800000000000001E-6</v>
      </c>
      <c r="J124">
        <v>3.89045145</v>
      </c>
      <c r="K124">
        <v>3.8040831389999998</v>
      </c>
      <c r="L124">
        <v>3.8040830999999997E-2</v>
      </c>
      <c r="M124">
        <v>0.28530623500000002</v>
      </c>
      <c r="N124">
        <v>0.15216332599999999</v>
      </c>
      <c r="O124">
        <v>8.4314999999999998</v>
      </c>
      <c r="P124">
        <v>1</v>
      </c>
      <c r="Q124">
        <v>6.9689285480000001</v>
      </c>
      <c r="R124">
        <v>183.1960105</v>
      </c>
      <c r="S124">
        <v>17.659564929999998</v>
      </c>
      <c r="T124">
        <v>17.659564929999998</v>
      </c>
      <c r="U124">
        <v>0.14417411299999999</v>
      </c>
      <c r="V124">
        <v>0.14417411299999999</v>
      </c>
      <c r="W124">
        <v>4.35E-5</v>
      </c>
      <c r="X124">
        <v>2.0699999999999999E-4</v>
      </c>
      <c r="Y124">
        <v>2.5000000000000001E-4</v>
      </c>
      <c r="Z124" t="s">
        <v>44</v>
      </c>
      <c r="AA124" t="s">
        <v>44</v>
      </c>
      <c r="AB124">
        <v>3.16227766</v>
      </c>
      <c r="AC124" t="s">
        <v>45</v>
      </c>
      <c r="AD124" t="s">
        <v>46</v>
      </c>
      <c r="AE124">
        <v>0.1</v>
      </c>
      <c r="AF124" t="s">
        <v>47</v>
      </c>
      <c r="AG124">
        <v>0.3</v>
      </c>
      <c r="AH124" t="s">
        <v>48</v>
      </c>
      <c r="AI124" t="s">
        <v>49</v>
      </c>
      <c r="AJ124" t="s">
        <v>50</v>
      </c>
      <c r="AK124" t="s">
        <v>51</v>
      </c>
      <c r="AL124">
        <v>17.659564929999998</v>
      </c>
      <c r="AM124">
        <v>8.7100000000000003E-5</v>
      </c>
      <c r="AN124">
        <v>1.5200000000000001E-4</v>
      </c>
      <c r="AO124" t="s">
        <v>52</v>
      </c>
      <c r="AP124" t="s">
        <v>53</v>
      </c>
      <c r="AQ124" t="s">
        <v>54</v>
      </c>
    </row>
    <row r="125" spans="1:43" x14ac:dyDescent="0.25">
      <c r="A125" t="s">
        <v>581</v>
      </c>
      <c r="B125" t="s">
        <v>503</v>
      </c>
      <c r="C125">
        <v>43.07</v>
      </c>
      <c r="D125">
        <v>214.33</v>
      </c>
      <c r="E125">
        <v>0.30299999999999999</v>
      </c>
      <c r="F125">
        <v>1000000</v>
      </c>
      <c r="G125">
        <v>7.3300000000000001E-6</v>
      </c>
      <c r="H125">
        <v>0.13300000000000001</v>
      </c>
      <c r="I125">
        <v>1.42E-5</v>
      </c>
      <c r="J125">
        <v>0.52500000000000002</v>
      </c>
      <c r="K125">
        <v>9.0429999999999993</v>
      </c>
      <c r="M125">
        <v>0.67822499999999997</v>
      </c>
      <c r="N125">
        <v>0.36171999999999999</v>
      </c>
      <c r="P125">
        <v>1</v>
      </c>
      <c r="U125">
        <v>56</v>
      </c>
      <c r="V125">
        <v>56</v>
      </c>
      <c r="W125">
        <v>4.1499999999999999E-9</v>
      </c>
      <c r="X125">
        <v>1.31E-8</v>
      </c>
      <c r="AB125">
        <v>0.93430000000000002</v>
      </c>
      <c r="AC125">
        <v>0.93430000000000002</v>
      </c>
      <c r="AF125">
        <v>65</v>
      </c>
      <c r="AH125">
        <v>1.9E-2</v>
      </c>
      <c r="AJ125" t="s">
        <v>50</v>
      </c>
    </row>
    <row r="126" spans="1:43" x14ac:dyDescent="0.25">
      <c r="A126" t="s">
        <v>689</v>
      </c>
      <c r="B126" t="s">
        <v>271</v>
      </c>
      <c r="C126">
        <v>44.1</v>
      </c>
      <c r="D126">
        <v>162</v>
      </c>
      <c r="E126">
        <v>1.73</v>
      </c>
      <c r="F126">
        <v>1000000</v>
      </c>
      <c r="G126">
        <v>1.4799999999999999E-4</v>
      </c>
      <c r="H126">
        <v>0.104</v>
      </c>
      <c r="I126">
        <v>1.45E-5</v>
      </c>
      <c r="J126">
        <v>0.501</v>
      </c>
      <c r="K126">
        <v>0.51</v>
      </c>
      <c r="L126">
        <v>5.0000000000000001E-3</v>
      </c>
      <c r="M126">
        <v>0.04</v>
      </c>
      <c r="N126">
        <v>0.02</v>
      </c>
      <c r="O126">
        <v>21.3</v>
      </c>
      <c r="P126">
        <v>1</v>
      </c>
      <c r="Q126">
        <v>6.44</v>
      </c>
      <c r="R126">
        <v>1270</v>
      </c>
      <c r="S126">
        <v>8.3800000000000008</v>
      </c>
      <c r="T126">
        <v>8.3800000000000008</v>
      </c>
      <c r="U126">
        <v>1.8100000000000001E-4</v>
      </c>
      <c r="V126">
        <v>1.8100000000000001E-4</v>
      </c>
      <c r="W126">
        <v>5.1499999999999998E-6</v>
      </c>
      <c r="X126">
        <v>2.4499999999999999E-5</v>
      </c>
      <c r="Y126">
        <v>2.9600000000000001E-5</v>
      </c>
      <c r="Z126">
        <v>3.98E-6</v>
      </c>
      <c r="AA126" t="s">
        <v>44</v>
      </c>
      <c r="AB126">
        <v>3.16</v>
      </c>
      <c r="AC126" t="s">
        <v>45</v>
      </c>
      <c r="AD126" t="s">
        <v>46</v>
      </c>
      <c r="AF126">
        <v>1.02</v>
      </c>
      <c r="AG126">
        <v>0.03</v>
      </c>
      <c r="AH126">
        <v>8.7999999999999998E-5</v>
      </c>
      <c r="AI126" t="s">
        <v>49</v>
      </c>
      <c r="AJ126" t="s">
        <v>50</v>
      </c>
      <c r="AK126" t="s">
        <v>51</v>
      </c>
      <c r="AL126">
        <v>8.3800000000000008</v>
      </c>
      <c r="AM126">
        <v>1.03E-5</v>
      </c>
      <c r="AN126">
        <v>1.8E-5</v>
      </c>
      <c r="AO126" t="s">
        <v>52</v>
      </c>
      <c r="AP126" t="s">
        <v>53</v>
      </c>
      <c r="AQ126" t="s">
        <v>54</v>
      </c>
    </row>
    <row r="127" spans="1:43" x14ac:dyDescent="0.25">
      <c r="A127" t="s">
        <v>720</v>
      </c>
      <c r="B127" t="s">
        <v>272</v>
      </c>
      <c r="C127">
        <v>391</v>
      </c>
      <c r="D127">
        <v>218</v>
      </c>
      <c r="E127">
        <v>8.9500000000000001E-11</v>
      </c>
      <c r="F127">
        <v>0.34</v>
      </c>
      <c r="G127">
        <v>9.9999999999999995E-8</v>
      </c>
      <c r="H127">
        <v>3.5099999999999999E-2</v>
      </c>
      <c r="I127">
        <v>3.6600000000000001E-6</v>
      </c>
      <c r="J127">
        <v>126000</v>
      </c>
      <c r="K127">
        <v>111000</v>
      </c>
      <c r="L127">
        <v>2300000</v>
      </c>
      <c r="M127">
        <v>8330</v>
      </c>
      <c r="N127">
        <v>4440</v>
      </c>
      <c r="O127">
        <v>11</v>
      </c>
      <c r="P127">
        <v>0.13100000000000001</v>
      </c>
      <c r="Q127">
        <v>1960</v>
      </c>
      <c r="R127">
        <v>8.5400000000000005E-4</v>
      </c>
      <c r="S127">
        <v>4.3700000000000003E-2</v>
      </c>
      <c r="T127">
        <v>4.3700000000000003E-2</v>
      </c>
      <c r="U127">
        <v>151000</v>
      </c>
      <c r="V127">
        <v>151000</v>
      </c>
      <c r="W127">
        <v>8.3999999999999995E-3</v>
      </c>
      <c r="X127">
        <v>3.9899999999999998E-2</v>
      </c>
      <c r="Y127">
        <v>4.8300000000000003E-2</v>
      </c>
      <c r="Z127">
        <v>1.27</v>
      </c>
      <c r="AA127" t="s">
        <v>44</v>
      </c>
      <c r="AB127">
        <v>53.3</v>
      </c>
      <c r="AC127">
        <v>194</v>
      </c>
      <c r="AD127" t="s">
        <v>46</v>
      </c>
      <c r="AE127">
        <v>0.02</v>
      </c>
      <c r="AF127">
        <v>1.4E-2</v>
      </c>
      <c r="AG127" t="s">
        <v>57</v>
      </c>
      <c r="AH127">
        <v>2.3999999999999999E-6</v>
      </c>
      <c r="AI127" t="s">
        <v>49</v>
      </c>
      <c r="AJ127" t="s">
        <v>50</v>
      </c>
      <c r="AK127" t="s">
        <v>152</v>
      </c>
      <c r="AL127">
        <v>4.3700000000000003E-2</v>
      </c>
      <c r="AM127">
        <v>1.6799999999999999E-2</v>
      </c>
      <c r="AN127">
        <v>2.9399999999999999E-2</v>
      </c>
      <c r="AO127" t="s">
        <v>52</v>
      </c>
      <c r="AP127" t="s">
        <v>53</v>
      </c>
      <c r="AQ127" t="s">
        <v>54</v>
      </c>
    </row>
    <row r="128" spans="1:43" x14ac:dyDescent="0.25">
      <c r="A128" t="s">
        <v>275</v>
      </c>
      <c r="B128" t="s">
        <v>276</v>
      </c>
      <c r="C128">
        <v>202</v>
      </c>
      <c r="D128">
        <v>383</v>
      </c>
      <c r="E128">
        <v>1.03E-8</v>
      </c>
      <c r="F128">
        <v>0.21</v>
      </c>
      <c r="G128">
        <v>1.5999999999999999E-5</v>
      </c>
      <c r="H128">
        <v>1E-3</v>
      </c>
      <c r="I128">
        <v>1.0000000000000001E-5</v>
      </c>
      <c r="J128">
        <v>100000</v>
      </c>
      <c r="K128">
        <v>49100</v>
      </c>
      <c r="L128">
        <v>11000</v>
      </c>
      <c r="M128">
        <v>3680</v>
      </c>
      <c r="N128">
        <v>1960</v>
      </c>
      <c r="O128">
        <v>0.56999999999999995</v>
      </c>
      <c r="P128">
        <v>0.99199999999999999</v>
      </c>
      <c r="Q128">
        <v>1640</v>
      </c>
      <c r="R128">
        <v>0.15</v>
      </c>
      <c r="S128">
        <v>4.99E-2</v>
      </c>
      <c r="T128">
        <v>4.99E-2</v>
      </c>
      <c r="U128">
        <v>738</v>
      </c>
      <c r="V128">
        <v>738</v>
      </c>
      <c r="W128">
        <v>8.26E-3</v>
      </c>
      <c r="X128">
        <v>3.9199999999999999E-2</v>
      </c>
      <c r="Y128">
        <v>4.7500000000000001E-2</v>
      </c>
      <c r="Z128">
        <v>0.96499999999999997</v>
      </c>
      <c r="AA128" t="s">
        <v>44</v>
      </c>
      <c r="AB128">
        <v>1410</v>
      </c>
      <c r="AC128">
        <v>4490</v>
      </c>
      <c r="AD128" t="s">
        <v>46</v>
      </c>
      <c r="AE128">
        <v>0.04</v>
      </c>
      <c r="AF128" t="s">
        <v>47</v>
      </c>
      <c r="AG128" t="s">
        <v>57</v>
      </c>
      <c r="AH128">
        <v>1.3999999999999999E-4</v>
      </c>
      <c r="AI128" t="s">
        <v>49</v>
      </c>
      <c r="AJ128" t="s">
        <v>50</v>
      </c>
      <c r="AK128" t="s">
        <v>72</v>
      </c>
      <c r="AL128">
        <v>4.99E-2</v>
      </c>
      <c r="AM128">
        <v>1.6500000000000001E-2</v>
      </c>
      <c r="AN128">
        <v>2.8899999999999999E-2</v>
      </c>
      <c r="AO128" t="s">
        <v>52</v>
      </c>
      <c r="AP128" t="s">
        <v>53</v>
      </c>
      <c r="AQ128" t="s">
        <v>54</v>
      </c>
    </row>
    <row r="129" spans="1:43" x14ac:dyDescent="0.25">
      <c r="A129" t="s">
        <v>277</v>
      </c>
      <c r="B129" t="s">
        <v>278</v>
      </c>
      <c r="C129">
        <v>166</v>
      </c>
      <c r="D129">
        <v>383</v>
      </c>
      <c r="E129">
        <v>8.2900000000000002E-7</v>
      </c>
      <c r="F129">
        <v>2</v>
      </c>
      <c r="G129">
        <v>6.3999999999999997E-5</v>
      </c>
      <c r="H129">
        <v>1E-3</v>
      </c>
      <c r="I129">
        <v>1.0000000000000001E-5</v>
      </c>
      <c r="J129">
        <v>15800</v>
      </c>
      <c r="K129">
        <v>7710</v>
      </c>
      <c r="L129">
        <v>2100</v>
      </c>
      <c r="M129">
        <v>578</v>
      </c>
      <c r="N129">
        <v>308</v>
      </c>
      <c r="O129">
        <v>4.22</v>
      </c>
      <c r="P129">
        <v>1</v>
      </c>
      <c r="Q129">
        <v>398</v>
      </c>
      <c r="R129">
        <v>0.19</v>
      </c>
      <c r="S129">
        <v>0.14499999999999999</v>
      </c>
      <c r="T129">
        <v>0.14499999999999999</v>
      </c>
      <c r="U129">
        <v>26</v>
      </c>
      <c r="V129">
        <v>26</v>
      </c>
      <c r="W129">
        <v>6.1599999999999997E-3</v>
      </c>
      <c r="X129">
        <v>2.93E-2</v>
      </c>
      <c r="Y129">
        <v>3.5400000000000001E-2</v>
      </c>
      <c r="Z129">
        <v>0.11700000000000001</v>
      </c>
      <c r="AA129" t="s">
        <v>44</v>
      </c>
      <c r="AB129">
        <v>342</v>
      </c>
      <c r="AC129">
        <v>472</v>
      </c>
      <c r="AD129" t="s">
        <v>46</v>
      </c>
      <c r="AE129">
        <v>0.04</v>
      </c>
      <c r="AF129" t="s">
        <v>47</v>
      </c>
      <c r="AG129" t="s">
        <v>57</v>
      </c>
      <c r="AH129" t="s">
        <v>48</v>
      </c>
      <c r="AI129" t="s">
        <v>49</v>
      </c>
      <c r="AJ129" t="s">
        <v>50</v>
      </c>
      <c r="AK129" t="s">
        <v>72</v>
      </c>
      <c r="AL129">
        <v>0.14499999999999999</v>
      </c>
      <c r="AM129">
        <v>1.23E-2</v>
      </c>
      <c r="AN129">
        <v>2.1600000000000001E-2</v>
      </c>
      <c r="AO129" t="s">
        <v>52</v>
      </c>
      <c r="AP129" t="s">
        <v>53</v>
      </c>
      <c r="AQ129" t="s">
        <v>54</v>
      </c>
    </row>
    <row r="130" spans="1:43" x14ac:dyDescent="0.25">
      <c r="A130" t="s">
        <v>279</v>
      </c>
      <c r="B130" t="s">
        <v>280</v>
      </c>
      <c r="C130">
        <v>30</v>
      </c>
      <c r="D130">
        <v>181</v>
      </c>
      <c r="E130">
        <v>6.89</v>
      </c>
      <c r="F130">
        <v>550000</v>
      </c>
      <c r="G130">
        <v>3.3599999999999999E-7</v>
      </c>
      <c r="H130">
        <v>0.17799999999999999</v>
      </c>
      <c r="I130">
        <v>1.98E-5</v>
      </c>
      <c r="J130">
        <v>2.2400000000000002</v>
      </c>
      <c r="K130">
        <v>2.21</v>
      </c>
      <c r="L130">
        <v>0.02</v>
      </c>
      <c r="M130">
        <v>0.17</v>
      </c>
      <c r="N130">
        <v>0.09</v>
      </c>
      <c r="O130">
        <v>36.1</v>
      </c>
      <c r="P130">
        <v>1</v>
      </c>
      <c r="Q130">
        <v>6.74</v>
      </c>
      <c r="R130">
        <v>305</v>
      </c>
      <c r="S130">
        <v>8.3800000000000008</v>
      </c>
      <c r="T130">
        <v>8.3800000000000008</v>
      </c>
      <c r="U130">
        <v>0.39200000000000002</v>
      </c>
      <c r="V130">
        <v>0.39200000000000002</v>
      </c>
      <c r="W130">
        <v>2.5400000000000001E-5</v>
      </c>
      <c r="X130">
        <v>1.21E-4</v>
      </c>
      <c r="Y130">
        <v>1.46E-4</v>
      </c>
      <c r="Z130">
        <v>1.7499999999999998E-5</v>
      </c>
      <c r="AA130" t="s">
        <v>44</v>
      </c>
      <c r="AB130">
        <v>3.16</v>
      </c>
      <c r="AC130" t="s">
        <v>45</v>
      </c>
      <c r="AD130" t="s">
        <v>46</v>
      </c>
      <c r="AE130">
        <v>0.2</v>
      </c>
      <c r="AF130" t="s">
        <v>47</v>
      </c>
      <c r="AG130">
        <v>8.9999999999999993E-3</v>
      </c>
      <c r="AH130">
        <v>5.0000000000000004E-6</v>
      </c>
      <c r="AI130" t="s">
        <v>49</v>
      </c>
      <c r="AJ130" t="s">
        <v>50</v>
      </c>
      <c r="AK130" t="s">
        <v>51</v>
      </c>
      <c r="AL130">
        <v>8.3800000000000008</v>
      </c>
      <c r="AM130">
        <v>5.0800000000000002E-5</v>
      </c>
      <c r="AN130">
        <v>8.8800000000000004E-5</v>
      </c>
      <c r="AO130" t="s">
        <v>52</v>
      </c>
      <c r="AP130" t="s">
        <v>53</v>
      </c>
      <c r="AQ130" t="s">
        <v>54</v>
      </c>
    </row>
    <row r="131" spans="1:43" x14ac:dyDescent="0.25">
      <c r="A131" t="s">
        <v>690</v>
      </c>
      <c r="B131" t="s">
        <v>281</v>
      </c>
      <c r="C131">
        <v>76.099999999999994</v>
      </c>
      <c r="D131">
        <v>188</v>
      </c>
      <c r="E131">
        <v>1.2500000000000001E-2</v>
      </c>
      <c r="F131">
        <v>1000000</v>
      </c>
      <c r="G131">
        <v>9.5099999999999998E-7</v>
      </c>
      <c r="H131">
        <v>0.106</v>
      </c>
      <c r="I131">
        <v>1.2300000000000001E-5</v>
      </c>
      <c r="J131">
        <v>0.17</v>
      </c>
      <c r="K131">
        <v>0.17499999999999999</v>
      </c>
      <c r="L131">
        <v>1.75E-3</v>
      </c>
      <c r="M131">
        <v>1.3100000000000001E-2</v>
      </c>
      <c r="N131">
        <v>7.0099999999999997E-3</v>
      </c>
      <c r="O131">
        <v>8.43</v>
      </c>
      <c r="P131">
        <v>1</v>
      </c>
      <c r="Q131">
        <v>6.39</v>
      </c>
      <c r="R131">
        <v>3650</v>
      </c>
      <c r="S131">
        <v>108</v>
      </c>
      <c r="T131">
        <v>108</v>
      </c>
      <c r="U131">
        <v>8.8900000000000003E-3</v>
      </c>
      <c r="V131">
        <v>8.8900000000000003E-3</v>
      </c>
      <c r="W131">
        <v>1.9099999999999999E-6</v>
      </c>
      <c r="X131">
        <v>9.0699999999999996E-6</v>
      </c>
      <c r="Y131">
        <v>1.1E-5</v>
      </c>
      <c r="Z131" t="s">
        <v>44</v>
      </c>
      <c r="AA131" t="s">
        <v>44</v>
      </c>
      <c r="AB131">
        <v>3.16</v>
      </c>
      <c r="AC131" t="s">
        <v>45</v>
      </c>
      <c r="AD131" t="s">
        <v>46</v>
      </c>
      <c r="AE131" t="s">
        <v>56</v>
      </c>
      <c r="AF131" t="s">
        <v>47</v>
      </c>
      <c r="AG131">
        <v>0.02</v>
      </c>
      <c r="AH131" t="s">
        <v>48</v>
      </c>
      <c r="AI131" t="s">
        <v>49</v>
      </c>
      <c r="AJ131" t="s">
        <v>50</v>
      </c>
      <c r="AK131" t="s">
        <v>51</v>
      </c>
      <c r="AL131">
        <v>108</v>
      </c>
      <c r="AM131">
        <v>3.8199999999999998E-6</v>
      </c>
      <c r="AN131">
        <v>6.6800000000000004E-6</v>
      </c>
      <c r="AO131" t="s">
        <v>52</v>
      </c>
      <c r="AP131" t="s">
        <v>53</v>
      </c>
      <c r="AQ131" t="s">
        <v>54</v>
      </c>
    </row>
    <row r="132" spans="1:43" x14ac:dyDescent="0.25">
      <c r="A132" t="s">
        <v>282</v>
      </c>
      <c r="B132" t="s">
        <v>283</v>
      </c>
      <c r="C132">
        <v>425</v>
      </c>
      <c r="D132">
        <v>538</v>
      </c>
      <c r="E132">
        <v>7.3699999999999995E-15</v>
      </c>
      <c r="F132">
        <v>2.3999999999999999E-6</v>
      </c>
      <c r="G132">
        <v>1.2E-5</v>
      </c>
      <c r="H132">
        <v>9.0499999999999997E-2</v>
      </c>
      <c r="I132">
        <v>7.9999999999999996E-6</v>
      </c>
      <c r="J132">
        <v>100000000</v>
      </c>
      <c r="K132">
        <v>61700000</v>
      </c>
      <c r="L132">
        <v>617000</v>
      </c>
      <c r="M132">
        <v>4620000</v>
      </c>
      <c r="N132">
        <v>2470000</v>
      </c>
      <c r="O132">
        <v>0.03</v>
      </c>
      <c r="P132">
        <v>3.0000000000000001E-3</v>
      </c>
      <c r="Q132">
        <v>336000</v>
      </c>
      <c r="R132">
        <v>0.54500000000000004</v>
      </c>
      <c r="S132">
        <v>9.2000000000000003E-4</v>
      </c>
      <c r="T132">
        <v>9.2000000000000003E-4</v>
      </c>
      <c r="U132">
        <v>910000</v>
      </c>
      <c r="V132">
        <v>910000</v>
      </c>
      <c r="W132">
        <v>1.8500000000000001E-3</v>
      </c>
      <c r="X132">
        <v>8.77E-3</v>
      </c>
      <c r="Y132">
        <v>1.06E-2</v>
      </c>
      <c r="Z132">
        <v>2.5499999999999998E-2</v>
      </c>
      <c r="AA132">
        <v>0.39</v>
      </c>
      <c r="AB132">
        <v>2750</v>
      </c>
      <c r="AC132" t="s">
        <v>45</v>
      </c>
      <c r="AD132">
        <v>5.0000000000000001E-3</v>
      </c>
      <c r="AE132">
        <v>7.0000000000000005E-8</v>
      </c>
      <c r="AF132">
        <v>14000</v>
      </c>
      <c r="AG132">
        <v>3.9999999999999998E-6</v>
      </c>
      <c r="AH132">
        <v>4</v>
      </c>
      <c r="AI132" t="s">
        <v>49</v>
      </c>
      <c r="AJ132" t="s">
        <v>50</v>
      </c>
      <c r="AK132" t="s">
        <v>262</v>
      </c>
      <c r="AL132">
        <v>9.2000000000000003E-4</v>
      </c>
      <c r="AM132">
        <v>3.6900000000000001E-3</v>
      </c>
      <c r="AN132">
        <v>6.4599999999999996E-3</v>
      </c>
      <c r="AO132">
        <v>0.01</v>
      </c>
      <c r="AP132" t="s">
        <v>53</v>
      </c>
      <c r="AQ132" t="s">
        <v>54</v>
      </c>
    </row>
    <row r="133" spans="1:43" x14ac:dyDescent="0.25">
      <c r="A133" t="s">
        <v>284</v>
      </c>
      <c r="B133" t="s">
        <v>285</v>
      </c>
      <c r="C133">
        <v>409</v>
      </c>
      <c r="D133">
        <v>510</v>
      </c>
      <c r="E133">
        <v>4.61E-14</v>
      </c>
      <c r="F133">
        <v>1.35E-6</v>
      </c>
      <c r="G133">
        <v>1.4100000000000001E-5</v>
      </c>
      <c r="H133">
        <v>2.0299999999999999E-2</v>
      </c>
      <c r="I133">
        <v>7.9999999999999996E-6</v>
      </c>
      <c r="J133">
        <v>25100000</v>
      </c>
      <c r="K133">
        <v>15500000</v>
      </c>
      <c r="L133">
        <v>155000</v>
      </c>
      <c r="M133">
        <v>1160000</v>
      </c>
      <c r="N133">
        <v>620000</v>
      </c>
      <c r="O133">
        <v>0.03</v>
      </c>
      <c r="P133">
        <v>0.01</v>
      </c>
      <c r="Q133">
        <v>116000</v>
      </c>
      <c r="R133">
        <v>0.748</v>
      </c>
      <c r="S133">
        <v>2.0500000000000002E-3</v>
      </c>
      <c r="T133">
        <v>2.0500000000000002E-3</v>
      </c>
      <c r="U133">
        <v>830000</v>
      </c>
      <c r="V133">
        <v>830000</v>
      </c>
      <c r="W133">
        <v>3.46E-3</v>
      </c>
      <c r="X133">
        <v>1.6400000000000001E-2</v>
      </c>
      <c r="Y133">
        <v>1.9900000000000001E-2</v>
      </c>
      <c r="Z133">
        <v>2.0899999999999998E-2</v>
      </c>
      <c r="AA133">
        <v>0.32</v>
      </c>
      <c r="AB133">
        <v>18300</v>
      </c>
      <c r="AC133" t="s">
        <v>45</v>
      </c>
      <c r="AD133">
        <v>5.0000000000000001E-3</v>
      </c>
      <c r="AE133">
        <v>7.0000000000000005E-8</v>
      </c>
      <c r="AF133">
        <v>14000</v>
      </c>
      <c r="AG133">
        <v>3.9999999999999998E-6</v>
      </c>
      <c r="AH133">
        <v>4</v>
      </c>
      <c r="AI133" t="s">
        <v>49</v>
      </c>
      <c r="AJ133" t="s">
        <v>50</v>
      </c>
      <c r="AK133" t="s">
        <v>219</v>
      </c>
      <c r="AL133">
        <v>2.0500000000000002E-3</v>
      </c>
      <c r="AM133">
        <v>6.9199999999999999E-3</v>
      </c>
      <c r="AN133">
        <v>1.21E-2</v>
      </c>
      <c r="AO133">
        <v>0.01</v>
      </c>
      <c r="AP133" t="s">
        <v>53</v>
      </c>
      <c r="AQ133" t="s">
        <v>54</v>
      </c>
    </row>
    <row r="134" spans="1:43" x14ac:dyDescent="0.25">
      <c r="A134" t="s">
        <v>286</v>
      </c>
      <c r="B134" t="s">
        <v>287</v>
      </c>
      <c r="C134">
        <v>409</v>
      </c>
      <c r="D134">
        <v>495</v>
      </c>
      <c r="E134">
        <v>4.04E-13</v>
      </c>
      <c r="F134">
        <v>1.3999999999999999E-6</v>
      </c>
      <c r="G134">
        <v>1.4E-5</v>
      </c>
      <c r="H134">
        <v>2.0299999999999999E-2</v>
      </c>
      <c r="I134">
        <v>7.9999999999999996E-6</v>
      </c>
      <c r="J134">
        <v>25100000</v>
      </c>
      <c r="K134">
        <v>15500000</v>
      </c>
      <c r="L134">
        <v>155000</v>
      </c>
      <c r="M134">
        <v>1160000</v>
      </c>
      <c r="N134">
        <v>620000</v>
      </c>
      <c r="O134">
        <v>0.03</v>
      </c>
      <c r="P134">
        <v>5.7000000000000002E-2</v>
      </c>
      <c r="Q134">
        <v>116000</v>
      </c>
      <c r="R134">
        <v>0.748</v>
      </c>
      <c r="S134">
        <v>2.0500000000000002E-3</v>
      </c>
      <c r="T134">
        <v>2.0500000000000002E-3</v>
      </c>
      <c r="U134">
        <v>830000</v>
      </c>
      <c r="V134">
        <v>830000</v>
      </c>
      <c r="W134">
        <v>3.46E-3</v>
      </c>
      <c r="X134">
        <v>1.6400000000000001E-2</v>
      </c>
      <c r="Y134">
        <v>1.9900000000000001E-2</v>
      </c>
      <c r="Z134">
        <v>2.4199999999999999E-2</v>
      </c>
      <c r="AA134">
        <v>0.48</v>
      </c>
      <c r="AB134">
        <v>18300</v>
      </c>
      <c r="AC134" t="s">
        <v>45</v>
      </c>
      <c r="AD134">
        <v>5.0000000000000001E-3</v>
      </c>
      <c r="AE134">
        <v>7.0000000000000005E-8</v>
      </c>
      <c r="AF134">
        <v>14000</v>
      </c>
      <c r="AG134">
        <v>3.9999999999999998E-6</v>
      </c>
      <c r="AH134">
        <v>4</v>
      </c>
      <c r="AI134" t="s">
        <v>49</v>
      </c>
      <c r="AJ134" t="s">
        <v>50</v>
      </c>
      <c r="AK134" t="s">
        <v>219</v>
      </c>
      <c r="AL134">
        <v>2.0500000000000002E-3</v>
      </c>
      <c r="AM134">
        <v>6.9199999999999999E-3</v>
      </c>
      <c r="AN134">
        <v>1.21E-2</v>
      </c>
      <c r="AO134">
        <v>0.01</v>
      </c>
      <c r="AP134" t="s">
        <v>53</v>
      </c>
      <c r="AQ134" t="s">
        <v>54</v>
      </c>
    </row>
    <row r="135" spans="1:43" x14ac:dyDescent="0.25">
      <c r="A135" t="s">
        <v>691</v>
      </c>
      <c r="B135" t="s">
        <v>288</v>
      </c>
      <c r="C135">
        <v>326</v>
      </c>
      <c r="D135">
        <v>283</v>
      </c>
      <c r="E135">
        <v>1.01E-7</v>
      </c>
      <c r="F135">
        <v>4.2999999999999997E-2</v>
      </c>
      <c r="G135">
        <v>2.8299999999999999E-4</v>
      </c>
      <c r="H135">
        <v>1E-3</v>
      </c>
      <c r="I135">
        <v>1.0000000000000001E-5</v>
      </c>
      <c r="J135">
        <v>3160000</v>
      </c>
      <c r="K135">
        <v>2450000</v>
      </c>
      <c r="L135">
        <v>24500</v>
      </c>
      <c r="M135">
        <v>184000</v>
      </c>
      <c r="N135">
        <v>98100</v>
      </c>
      <c r="O135">
        <v>0.03</v>
      </c>
      <c r="P135">
        <v>0.99199999999999999</v>
      </c>
      <c r="Q135">
        <v>23500</v>
      </c>
      <c r="R135">
        <v>0.95799999999999996</v>
      </c>
      <c r="S135">
        <v>6.7799999999999996E-3</v>
      </c>
      <c r="T135">
        <v>6.7799999999999996E-3</v>
      </c>
      <c r="U135">
        <v>1650</v>
      </c>
      <c r="V135">
        <v>1650</v>
      </c>
      <c r="W135">
        <v>6.5199999999999998E-3</v>
      </c>
      <c r="X135">
        <v>3.1E-2</v>
      </c>
      <c r="Y135">
        <v>3.7499999999999999E-2</v>
      </c>
      <c r="Z135">
        <v>12.8</v>
      </c>
      <c r="AA135" t="s">
        <v>44</v>
      </c>
      <c r="AB135">
        <v>84100</v>
      </c>
      <c r="AC135" t="s">
        <v>45</v>
      </c>
      <c r="AD135">
        <v>2</v>
      </c>
      <c r="AE135">
        <v>4.5000000000000003E-5</v>
      </c>
      <c r="AF135">
        <v>42</v>
      </c>
      <c r="AG135">
        <v>1.2999999999999999E-3</v>
      </c>
      <c r="AH135">
        <v>8.5714290000000002E-3</v>
      </c>
      <c r="AI135" t="s">
        <v>49</v>
      </c>
      <c r="AJ135" t="s">
        <v>50</v>
      </c>
      <c r="AK135" t="s">
        <v>65</v>
      </c>
      <c r="AL135">
        <v>0.01</v>
      </c>
      <c r="AM135">
        <v>1.2999999999999999E-2</v>
      </c>
      <c r="AN135">
        <v>3.2000000000000001E-2</v>
      </c>
      <c r="AO135" t="s">
        <v>52</v>
      </c>
      <c r="AP135" t="s">
        <v>53</v>
      </c>
      <c r="AQ135" t="s">
        <v>54</v>
      </c>
    </row>
    <row r="136" spans="1:43" x14ac:dyDescent="0.25">
      <c r="A136" t="s">
        <v>289</v>
      </c>
      <c r="B136" t="s">
        <v>290</v>
      </c>
      <c r="C136">
        <v>391</v>
      </c>
      <c r="D136">
        <v>547</v>
      </c>
      <c r="E136">
        <v>5.0000000000000002E-14</v>
      </c>
      <c r="F136">
        <v>4.42E-6</v>
      </c>
      <c r="G136">
        <v>1.0699999999999999E-5</v>
      </c>
      <c r="H136">
        <v>9.4399999999999998E-2</v>
      </c>
      <c r="I136">
        <v>7.9999999999999996E-6</v>
      </c>
      <c r="J136">
        <v>63100000</v>
      </c>
      <c r="K136">
        <v>38900000</v>
      </c>
      <c r="L136">
        <v>389000</v>
      </c>
      <c r="M136">
        <v>2920000</v>
      </c>
      <c r="N136">
        <v>1560000</v>
      </c>
      <c r="O136">
        <v>0.03</v>
      </c>
      <c r="P136">
        <v>2.4E-2</v>
      </c>
      <c r="Q136">
        <v>236000</v>
      </c>
      <c r="R136">
        <v>0.60499999999999998</v>
      </c>
      <c r="S136">
        <v>1.1999999999999999E-3</v>
      </c>
      <c r="T136">
        <v>1.1999999999999999E-3</v>
      </c>
      <c r="U136">
        <v>520000</v>
      </c>
      <c r="V136">
        <v>520000</v>
      </c>
      <c r="W136">
        <v>2.32E-3</v>
      </c>
      <c r="X136">
        <v>1.0999999999999999E-2</v>
      </c>
      <c r="Y136">
        <v>1.3299999999999999E-2</v>
      </c>
      <c r="Z136">
        <v>4.53E-2</v>
      </c>
      <c r="AA136">
        <v>1.83</v>
      </c>
      <c r="AB136">
        <v>5180</v>
      </c>
      <c r="AC136" t="s">
        <v>45</v>
      </c>
      <c r="AD136">
        <v>0.04</v>
      </c>
      <c r="AE136">
        <v>6.9999999999999998E-9</v>
      </c>
      <c r="AF136">
        <v>140000</v>
      </c>
      <c r="AG136">
        <v>3.9999999999999998E-7</v>
      </c>
      <c r="AH136">
        <v>40</v>
      </c>
      <c r="AI136" t="s">
        <v>49</v>
      </c>
      <c r="AJ136" t="s">
        <v>50</v>
      </c>
      <c r="AK136" t="s">
        <v>262</v>
      </c>
      <c r="AL136">
        <v>1.1999999999999999E-3</v>
      </c>
      <c r="AM136">
        <v>4.6299999999999996E-3</v>
      </c>
      <c r="AN136">
        <v>8.1099999999999992E-3</v>
      </c>
      <c r="AO136">
        <v>0.1</v>
      </c>
      <c r="AP136" t="s">
        <v>53</v>
      </c>
      <c r="AQ136" t="s">
        <v>54</v>
      </c>
    </row>
    <row r="137" spans="1:43" x14ac:dyDescent="0.25">
      <c r="A137" t="s">
        <v>291</v>
      </c>
      <c r="B137" t="s">
        <v>292</v>
      </c>
      <c r="C137">
        <v>391</v>
      </c>
      <c r="D137">
        <v>559</v>
      </c>
      <c r="E137">
        <v>4.7299999999999998E-14</v>
      </c>
      <c r="F137">
        <v>4.4000000000000002E-6</v>
      </c>
      <c r="G137">
        <v>1.1E-5</v>
      </c>
      <c r="H137">
        <v>9.4399999999999998E-2</v>
      </c>
      <c r="I137">
        <v>7.9999999999999996E-6</v>
      </c>
      <c r="J137">
        <v>20000000</v>
      </c>
      <c r="K137">
        <v>12300000</v>
      </c>
      <c r="L137">
        <v>123000</v>
      </c>
      <c r="M137">
        <v>923000</v>
      </c>
      <c r="N137">
        <v>492000</v>
      </c>
      <c r="O137">
        <v>0.03</v>
      </c>
      <c r="P137">
        <v>2.9000000000000001E-2</v>
      </c>
      <c r="Q137">
        <v>97100</v>
      </c>
      <c r="R137">
        <v>0.78900000000000003</v>
      </c>
      <c r="S137">
        <v>2.3400000000000001E-3</v>
      </c>
      <c r="T137">
        <v>2.33E-3</v>
      </c>
      <c r="U137">
        <v>520000</v>
      </c>
      <c r="V137">
        <v>520000</v>
      </c>
      <c r="W137">
        <v>3.7799999999999999E-3</v>
      </c>
      <c r="X137">
        <v>1.7999999999999999E-2</v>
      </c>
      <c r="Y137">
        <v>2.1700000000000001E-2</v>
      </c>
      <c r="Z137">
        <v>3.6999999999999998E-2</v>
      </c>
      <c r="AA137">
        <v>1.17</v>
      </c>
      <c r="AB137">
        <v>25100</v>
      </c>
      <c r="AC137" t="s">
        <v>45</v>
      </c>
      <c r="AD137">
        <v>0.04</v>
      </c>
      <c r="AE137">
        <v>6.9999999999999998E-9</v>
      </c>
      <c r="AF137">
        <v>6200</v>
      </c>
      <c r="AG137">
        <v>3.9999999999999998E-7</v>
      </c>
      <c r="AH137">
        <v>40</v>
      </c>
      <c r="AI137" t="s">
        <v>49</v>
      </c>
      <c r="AJ137" t="s">
        <v>50</v>
      </c>
      <c r="AK137" t="s">
        <v>262</v>
      </c>
      <c r="AL137">
        <v>2.3400000000000001E-3</v>
      </c>
      <c r="AM137">
        <v>7.5599999999999999E-3</v>
      </c>
      <c r="AN137">
        <v>1.32E-2</v>
      </c>
      <c r="AO137">
        <v>0.1</v>
      </c>
      <c r="AP137" t="s">
        <v>53</v>
      </c>
      <c r="AQ137" t="s">
        <v>54</v>
      </c>
    </row>
    <row r="138" spans="1:43" x14ac:dyDescent="0.25">
      <c r="A138" t="s">
        <v>293</v>
      </c>
      <c r="B138" t="s">
        <v>294</v>
      </c>
      <c r="C138">
        <v>391</v>
      </c>
      <c r="D138">
        <v>517</v>
      </c>
      <c r="E138">
        <v>6.4500000000000003E-14</v>
      </c>
      <c r="F138">
        <v>4.4000000000000002E-6</v>
      </c>
      <c r="G138">
        <v>1.1E-5</v>
      </c>
      <c r="H138">
        <v>9.4399999999999998E-2</v>
      </c>
      <c r="I138">
        <v>7.9999999999999996E-6</v>
      </c>
      <c r="J138">
        <v>20000000</v>
      </c>
      <c r="K138">
        <v>12300000</v>
      </c>
      <c r="L138">
        <v>123000</v>
      </c>
      <c r="M138">
        <v>923000</v>
      </c>
      <c r="N138">
        <v>492000</v>
      </c>
      <c r="O138">
        <v>0.03</v>
      </c>
      <c r="P138">
        <v>1.6E-2</v>
      </c>
      <c r="Q138">
        <v>97100</v>
      </c>
      <c r="R138">
        <v>0.78900000000000003</v>
      </c>
      <c r="S138">
        <v>2.3400000000000001E-3</v>
      </c>
      <c r="T138">
        <v>2.3400000000000001E-3</v>
      </c>
      <c r="U138">
        <v>520000</v>
      </c>
      <c r="V138">
        <v>520000</v>
      </c>
      <c r="W138">
        <v>3.7799999999999999E-3</v>
      </c>
      <c r="X138">
        <v>1.7999999999999999E-2</v>
      </c>
      <c r="Y138">
        <v>2.1700000000000001E-2</v>
      </c>
      <c r="Z138">
        <v>2.3300000000000001E-2</v>
      </c>
      <c r="AA138">
        <v>0.63</v>
      </c>
      <c r="AB138">
        <v>25100</v>
      </c>
      <c r="AC138" t="s">
        <v>45</v>
      </c>
      <c r="AD138">
        <v>0.04</v>
      </c>
      <c r="AE138">
        <v>6.9999999999999998E-9</v>
      </c>
      <c r="AF138">
        <v>140000</v>
      </c>
      <c r="AG138">
        <v>3.9999999999999998E-7</v>
      </c>
      <c r="AH138">
        <v>40</v>
      </c>
      <c r="AI138" t="s">
        <v>49</v>
      </c>
      <c r="AJ138" t="s">
        <v>50</v>
      </c>
      <c r="AK138" t="s">
        <v>262</v>
      </c>
      <c r="AL138">
        <v>2.3400000000000001E-3</v>
      </c>
      <c r="AM138">
        <v>7.5599999999999999E-3</v>
      </c>
      <c r="AN138">
        <v>1.32E-2</v>
      </c>
      <c r="AO138">
        <v>0.1</v>
      </c>
      <c r="AP138" t="s">
        <v>53</v>
      </c>
      <c r="AQ138" t="s">
        <v>54</v>
      </c>
    </row>
    <row r="139" spans="1:43" x14ac:dyDescent="0.25">
      <c r="A139" t="s">
        <v>295</v>
      </c>
      <c r="B139" t="s">
        <v>296</v>
      </c>
      <c r="C139">
        <v>375</v>
      </c>
      <c r="D139">
        <v>499</v>
      </c>
      <c r="E139">
        <v>3.1600000000000002E-13</v>
      </c>
      <c r="F139">
        <v>8.2500000000000006E-6</v>
      </c>
      <c r="G139">
        <v>1.43E-5</v>
      </c>
      <c r="H139">
        <v>2.12E-2</v>
      </c>
      <c r="I139">
        <v>7.9999999999999996E-6</v>
      </c>
      <c r="J139">
        <v>10000000</v>
      </c>
      <c r="K139">
        <v>6170000</v>
      </c>
      <c r="L139">
        <v>61700</v>
      </c>
      <c r="M139">
        <v>462000</v>
      </c>
      <c r="N139">
        <v>247000</v>
      </c>
      <c r="O139">
        <v>0.03</v>
      </c>
      <c r="P139">
        <v>4.9000000000000002E-2</v>
      </c>
      <c r="Q139">
        <v>57000</v>
      </c>
      <c r="R139">
        <v>0.92500000000000004</v>
      </c>
      <c r="S139">
        <v>3.48E-3</v>
      </c>
      <c r="T139">
        <v>3.48E-3</v>
      </c>
      <c r="U139">
        <v>162000</v>
      </c>
      <c r="V139">
        <v>162000</v>
      </c>
      <c r="W139">
        <v>4.7999999999999996E-3</v>
      </c>
      <c r="X139">
        <v>2.2800000000000001E-2</v>
      </c>
      <c r="Y139">
        <v>2.76E-2</v>
      </c>
      <c r="Z139">
        <v>4.5100000000000001E-2</v>
      </c>
      <c r="AA139">
        <v>1.58</v>
      </c>
      <c r="AB139">
        <v>49000</v>
      </c>
      <c r="AC139" t="s">
        <v>45</v>
      </c>
      <c r="AD139">
        <v>0.04</v>
      </c>
      <c r="AE139">
        <v>6.9999999999999998E-9</v>
      </c>
      <c r="AF139">
        <v>140000</v>
      </c>
      <c r="AG139">
        <v>3.9999999999999998E-7</v>
      </c>
      <c r="AH139">
        <v>40</v>
      </c>
      <c r="AI139" t="s">
        <v>49</v>
      </c>
      <c r="AJ139" t="s">
        <v>50</v>
      </c>
      <c r="AK139" t="s">
        <v>219</v>
      </c>
      <c r="AL139">
        <v>3.48E-3</v>
      </c>
      <c r="AM139">
        <v>9.5999999999999992E-3</v>
      </c>
      <c r="AN139">
        <v>1.6799999999999999E-2</v>
      </c>
      <c r="AO139">
        <v>0.1</v>
      </c>
      <c r="AP139" t="s">
        <v>53</v>
      </c>
      <c r="AQ139" t="s">
        <v>54</v>
      </c>
    </row>
    <row r="140" spans="1:43" x14ac:dyDescent="0.25">
      <c r="A140" t="s">
        <v>297</v>
      </c>
      <c r="B140" t="s">
        <v>298</v>
      </c>
      <c r="C140">
        <v>375</v>
      </c>
      <c r="D140">
        <v>506</v>
      </c>
      <c r="E140">
        <v>2.8899999999999998E-13</v>
      </c>
      <c r="F140">
        <v>1.77E-5</v>
      </c>
      <c r="G140">
        <v>7.3100000000000003E-6</v>
      </c>
      <c r="H140">
        <v>2.12E-2</v>
      </c>
      <c r="I140">
        <v>7.9999999999999996E-6</v>
      </c>
      <c r="J140">
        <v>10000000</v>
      </c>
      <c r="K140">
        <v>6170000</v>
      </c>
      <c r="L140">
        <v>61700</v>
      </c>
      <c r="M140">
        <v>462000</v>
      </c>
      <c r="N140">
        <v>247000</v>
      </c>
      <c r="O140">
        <v>0.03</v>
      </c>
      <c r="P140">
        <v>5.1999999999999998E-2</v>
      </c>
      <c r="Q140">
        <v>57000</v>
      </c>
      <c r="R140">
        <v>0.92500000000000004</v>
      </c>
      <c r="S140">
        <v>3.48E-3</v>
      </c>
      <c r="T140">
        <v>3.48E-3</v>
      </c>
      <c r="U140">
        <v>162000</v>
      </c>
      <c r="V140">
        <v>162000</v>
      </c>
      <c r="W140">
        <v>4.7999999999999996E-3</v>
      </c>
      <c r="X140">
        <v>2.2800000000000001E-2</v>
      </c>
      <c r="Y140">
        <v>2.76E-2</v>
      </c>
      <c r="Z140">
        <v>4.53E-2</v>
      </c>
      <c r="AA140">
        <v>1.62</v>
      </c>
      <c r="AB140">
        <v>49000</v>
      </c>
      <c r="AC140" t="s">
        <v>45</v>
      </c>
      <c r="AD140">
        <v>0.04</v>
      </c>
      <c r="AE140">
        <v>6.9999999999999998E-9</v>
      </c>
      <c r="AF140">
        <v>140000</v>
      </c>
      <c r="AG140">
        <v>3.9999999999999998E-7</v>
      </c>
      <c r="AH140">
        <v>40</v>
      </c>
      <c r="AI140" t="s">
        <v>49</v>
      </c>
      <c r="AJ140" t="s">
        <v>50</v>
      </c>
      <c r="AK140" t="s">
        <v>219</v>
      </c>
      <c r="AL140">
        <v>3.48E-3</v>
      </c>
      <c r="AM140">
        <v>9.5999999999999992E-3</v>
      </c>
      <c r="AN140">
        <v>1.6799999999999999E-2</v>
      </c>
      <c r="AO140">
        <v>0.1</v>
      </c>
      <c r="AP140" t="s">
        <v>53</v>
      </c>
      <c r="AQ140" t="s">
        <v>54</v>
      </c>
    </row>
    <row r="141" spans="1:43" x14ac:dyDescent="0.25">
      <c r="A141" t="s">
        <v>299</v>
      </c>
      <c r="B141" t="s">
        <v>300</v>
      </c>
      <c r="C141">
        <v>375</v>
      </c>
      <c r="D141">
        <v>521</v>
      </c>
      <c r="E141">
        <v>3.68E-13</v>
      </c>
      <c r="F141">
        <v>1.2999999999999999E-5</v>
      </c>
      <c r="G141">
        <v>1.1E-5</v>
      </c>
      <c r="H141">
        <v>2.12E-2</v>
      </c>
      <c r="I141">
        <v>7.9999999999999996E-6</v>
      </c>
      <c r="J141">
        <v>10000000</v>
      </c>
      <c r="K141">
        <v>6170000</v>
      </c>
      <c r="L141">
        <v>61700</v>
      </c>
      <c r="M141">
        <v>462000</v>
      </c>
      <c r="N141">
        <v>247000</v>
      </c>
      <c r="O141">
        <v>0.03</v>
      </c>
      <c r="P141">
        <v>0.09</v>
      </c>
      <c r="Q141">
        <v>57000</v>
      </c>
      <c r="R141">
        <v>0.92500000000000004</v>
      </c>
      <c r="S141">
        <v>3.48E-3</v>
      </c>
      <c r="T141">
        <v>3.48E-3</v>
      </c>
      <c r="U141">
        <v>162000</v>
      </c>
      <c r="V141">
        <v>162000</v>
      </c>
      <c r="W141">
        <v>4.7999999999999996E-3</v>
      </c>
      <c r="X141">
        <v>2.2800000000000001E-2</v>
      </c>
      <c r="Y141">
        <v>2.76E-2</v>
      </c>
      <c r="Z141" t="s">
        <v>44</v>
      </c>
      <c r="AA141" t="s">
        <v>44</v>
      </c>
      <c r="AB141">
        <v>49000</v>
      </c>
      <c r="AC141" t="s">
        <v>45</v>
      </c>
      <c r="AD141">
        <v>0.04</v>
      </c>
      <c r="AE141">
        <v>6.9999999999999998E-9</v>
      </c>
      <c r="AF141">
        <v>140000</v>
      </c>
      <c r="AG141">
        <v>3.9999999999999998E-7</v>
      </c>
      <c r="AH141">
        <v>40</v>
      </c>
      <c r="AI141" t="s">
        <v>49</v>
      </c>
      <c r="AJ141" t="s">
        <v>50</v>
      </c>
      <c r="AK141" t="s">
        <v>219</v>
      </c>
      <c r="AL141">
        <v>3.48E-3</v>
      </c>
      <c r="AM141">
        <v>9.5999999999999992E-3</v>
      </c>
      <c r="AN141">
        <v>1.6799999999999999E-2</v>
      </c>
      <c r="AO141">
        <v>0.1</v>
      </c>
      <c r="AP141" t="s">
        <v>53</v>
      </c>
      <c r="AQ141" t="s">
        <v>54</v>
      </c>
    </row>
    <row r="142" spans="1:43" x14ac:dyDescent="0.25">
      <c r="A142" t="s">
        <v>301</v>
      </c>
      <c r="B142" t="s">
        <v>302</v>
      </c>
      <c r="C142">
        <v>375</v>
      </c>
      <c r="D142">
        <v>513</v>
      </c>
      <c r="E142">
        <v>2.6299999999999999E-13</v>
      </c>
      <c r="F142">
        <v>1.2999999999999999E-5</v>
      </c>
      <c r="G142">
        <v>1.1E-5</v>
      </c>
      <c r="H142">
        <v>2.12E-2</v>
      </c>
      <c r="I142">
        <v>7.9999999999999996E-6</v>
      </c>
      <c r="J142">
        <v>10000000</v>
      </c>
      <c r="K142">
        <v>6170000</v>
      </c>
      <c r="L142">
        <v>61700</v>
      </c>
      <c r="M142">
        <v>462000</v>
      </c>
      <c r="N142">
        <v>247000</v>
      </c>
      <c r="O142">
        <v>0.03</v>
      </c>
      <c r="P142">
        <v>5.5E-2</v>
      </c>
      <c r="Q142">
        <v>57000</v>
      </c>
      <c r="R142">
        <v>0.92500000000000004</v>
      </c>
      <c r="S142">
        <v>3.48E-3</v>
      </c>
      <c r="T142">
        <v>3.48E-3</v>
      </c>
      <c r="U142">
        <v>162000</v>
      </c>
      <c r="V142">
        <v>162000</v>
      </c>
      <c r="W142">
        <v>4.7999999999999996E-3</v>
      </c>
      <c r="X142">
        <v>2.2800000000000001E-2</v>
      </c>
      <c r="Y142">
        <v>2.76E-2</v>
      </c>
      <c r="Z142">
        <v>2.7099999999999999E-2</v>
      </c>
      <c r="AA142">
        <v>0.79</v>
      </c>
      <c r="AB142">
        <v>49000</v>
      </c>
      <c r="AC142" t="s">
        <v>45</v>
      </c>
      <c r="AD142">
        <v>0.04</v>
      </c>
      <c r="AE142">
        <v>6.9999999999999998E-9</v>
      </c>
      <c r="AF142">
        <v>140000</v>
      </c>
      <c r="AG142">
        <v>3.9999999999999998E-7</v>
      </c>
      <c r="AH142">
        <v>40</v>
      </c>
      <c r="AI142" t="s">
        <v>49</v>
      </c>
      <c r="AJ142" t="s">
        <v>50</v>
      </c>
      <c r="AK142" t="s">
        <v>219</v>
      </c>
      <c r="AL142">
        <v>3.48E-3</v>
      </c>
      <c r="AM142">
        <v>9.5999999999999992E-3</v>
      </c>
      <c r="AN142">
        <v>1.6799999999999999E-2</v>
      </c>
      <c r="AO142">
        <v>0.1</v>
      </c>
      <c r="AP142" t="s">
        <v>53</v>
      </c>
      <c r="AQ142" t="s">
        <v>54</v>
      </c>
    </row>
    <row r="143" spans="1:43" x14ac:dyDescent="0.25">
      <c r="A143" t="s">
        <v>303</v>
      </c>
      <c r="B143" t="s">
        <v>304</v>
      </c>
      <c r="C143">
        <v>261</v>
      </c>
      <c r="D143">
        <v>252</v>
      </c>
      <c r="E143">
        <v>2.8899999999999998E-4</v>
      </c>
      <c r="F143">
        <v>3.2</v>
      </c>
      <c r="G143">
        <v>8.0999999999999996E-3</v>
      </c>
      <c r="H143">
        <v>5.6099999999999997E-2</v>
      </c>
      <c r="I143">
        <v>6.1600000000000003E-6</v>
      </c>
      <c r="J143">
        <v>63100</v>
      </c>
      <c r="K143">
        <v>7580</v>
      </c>
      <c r="L143">
        <v>7600</v>
      </c>
      <c r="M143">
        <v>568</v>
      </c>
      <c r="N143">
        <v>303</v>
      </c>
      <c r="O143">
        <v>1.41</v>
      </c>
      <c r="P143">
        <v>1</v>
      </c>
      <c r="Q143">
        <v>1150</v>
      </c>
      <c r="R143">
        <v>0.152</v>
      </c>
      <c r="S143">
        <v>6.5000000000000002E-2</v>
      </c>
      <c r="T143">
        <v>6.5100000000000005E-2</v>
      </c>
      <c r="U143">
        <v>0.89300000000000002</v>
      </c>
      <c r="V143">
        <v>0.89300000000000002</v>
      </c>
      <c r="W143">
        <v>7.8899999999999994E-3</v>
      </c>
      <c r="X143">
        <v>3.7499999999999999E-2</v>
      </c>
      <c r="Y143">
        <v>4.5400000000000003E-2</v>
      </c>
      <c r="Z143">
        <v>0.42799999999999999</v>
      </c>
      <c r="AA143" t="s">
        <v>44</v>
      </c>
      <c r="AB143">
        <v>991</v>
      </c>
      <c r="AC143">
        <v>2430</v>
      </c>
      <c r="AD143" t="s">
        <v>46</v>
      </c>
      <c r="AE143">
        <v>1E-3</v>
      </c>
      <c r="AF143">
        <v>7.8E-2</v>
      </c>
      <c r="AG143" t="s">
        <v>57</v>
      </c>
      <c r="AH143">
        <v>2.1999999999999999E-5</v>
      </c>
      <c r="AI143" t="s">
        <v>49</v>
      </c>
      <c r="AJ143" t="s">
        <v>50</v>
      </c>
      <c r="AK143" t="s">
        <v>51</v>
      </c>
      <c r="AL143">
        <v>6.5000000000000002E-2</v>
      </c>
      <c r="AM143">
        <v>1.5800000000000002E-2</v>
      </c>
      <c r="AN143">
        <v>2.76E-2</v>
      </c>
      <c r="AO143" t="s">
        <v>52</v>
      </c>
      <c r="AP143" t="s">
        <v>53</v>
      </c>
      <c r="AQ143" t="s">
        <v>54</v>
      </c>
    </row>
    <row r="144" spans="1:43" x14ac:dyDescent="0.25">
      <c r="A144" t="s">
        <v>305</v>
      </c>
      <c r="B144" t="s">
        <v>306</v>
      </c>
      <c r="C144">
        <v>285</v>
      </c>
      <c r="D144">
        <v>503</v>
      </c>
      <c r="E144">
        <v>2.37E-8</v>
      </c>
      <c r="F144">
        <v>6.1999999999999999E-6</v>
      </c>
      <c r="G144">
        <v>1.2999999999999999E-3</v>
      </c>
      <c r="H144">
        <v>5.4199999999999998E-2</v>
      </c>
      <c r="I144">
        <v>5.9100000000000002E-6</v>
      </c>
      <c r="J144">
        <v>200000</v>
      </c>
      <c r="K144">
        <v>80000</v>
      </c>
      <c r="L144">
        <v>110</v>
      </c>
      <c r="M144">
        <v>6000</v>
      </c>
      <c r="N144">
        <v>3200</v>
      </c>
      <c r="O144">
        <v>0.12</v>
      </c>
      <c r="P144">
        <v>1</v>
      </c>
      <c r="Q144">
        <v>2800</v>
      </c>
      <c r="R144">
        <v>25</v>
      </c>
      <c r="S144">
        <v>3.3500000000000002E-2</v>
      </c>
      <c r="T144">
        <v>3.3000000000000002E-2</v>
      </c>
      <c r="U144">
        <v>19</v>
      </c>
      <c r="V144">
        <v>19</v>
      </c>
      <c r="W144">
        <v>8.5500000000000003E-3</v>
      </c>
      <c r="X144">
        <v>4.0599999999999997E-2</v>
      </c>
      <c r="Y144">
        <v>4.9200000000000001E-2</v>
      </c>
      <c r="Z144">
        <v>2.5299999999999998</v>
      </c>
      <c r="AA144" t="s">
        <v>44</v>
      </c>
      <c r="AB144">
        <v>2400</v>
      </c>
      <c r="AC144">
        <v>11500</v>
      </c>
      <c r="AD144" t="s">
        <v>46</v>
      </c>
      <c r="AE144">
        <v>8.0000000000000004E-4</v>
      </c>
      <c r="AF144">
        <v>1.6</v>
      </c>
      <c r="AG144" t="s">
        <v>57</v>
      </c>
      <c r="AH144">
        <v>4.6000000000000001E-4</v>
      </c>
      <c r="AI144" t="s">
        <v>49</v>
      </c>
      <c r="AJ144" t="s">
        <v>50</v>
      </c>
      <c r="AK144" t="s">
        <v>51</v>
      </c>
      <c r="AL144">
        <v>3.3500000000000002E-2</v>
      </c>
      <c r="AM144">
        <v>1.7100000000000001E-2</v>
      </c>
      <c r="AN144">
        <v>2.9899999999999999E-2</v>
      </c>
      <c r="AO144" t="s">
        <v>52</v>
      </c>
      <c r="AP144" t="s">
        <v>53</v>
      </c>
      <c r="AQ144" t="s">
        <v>54</v>
      </c>
    </row>
    <row r="145" spans="1:43" x14ac:dyDescent="0.25">
      <c r="A145" t="s">
        <v>692</v>
      </c>
      <c r="B145" t="s">
        <v>308</v>
      </c>
      <c r="C145">
        <v>326</v>
      </c>
      <c r="D145">
        <v>283</v>
      </c>
      <c r="E145">
        <v>1.01E-7</v>
      </c>
      <c r="F145">
        <v>4.2999999999999997E-2</v>
      </c>
      <c r="G145">
        <v>2.8299999999999999E-4</v>
      </c>
      <c r="H145">
        <v>1E-3</v>
      </c>
      <c r="I145">
        <v>1.0000000000000001E-5</v>
      </c>
      <c r="J145">
        <v>3160000</v>
      </c>
      <c r="K145">
        <v>2450000</v>
      </c>
      <c r="L145">
        <v>24500</v>
      </c>
      <c r="M145">
        <v>184000</v>
      </c>
      <c r="N145">
        <v>98100</v>
      </c>
      <c r="O145">
        <v>0.03</v>
      </c>
      <c r="P145">
        <v>0.99199999999999999</v>
      </c>
      <c r="Q145">
        <v>23500</v>
      </c>
      <c r="R145">
        <v>0.95799999999999996</v>
      </c>
      <c r="S145">
        <v>6.7799999999999996E-3</v>
      </c>
      <c r="T145">
        <v>6.7799999999999996E-3</v>
      </c>
      <c r="U145">
        <v>1650</v>
      </c>
      <c r="V145">
        <v>1650</v>
      </c>
      <c r="W145">
        <v>6.5199999999999998E-3</v>
      </c>
      <c r="X145">
        <v>3.1E-2</v>
      </c>
      <c r="Y145">
        <v>3.7499999999999999E-2</v>
      </c>
      <c r="Z145">
        <v>12.8</v>
      </c>
      <c r="AA145" t="s">
        <v>44</v>
      </c>
      <c r="AB145">
        <v>84100</v>
      </c>
      <c r="AC145" t="s">
        <v>45</v>
      </c>
      <c r="AD145">
        <v>2</v>
      </c>
      <c r="AE145">
        <v>4.5000000000000003E-5</v>
      </c>
      <c r="AF145">
        <v>42000</v>
      </c>
      <c r="AG145">
        <v>1.3E-6</v>
      </c>
      <c r="AH145">
        <v>8.5714285710000002</v>
      </c>
      <c r="AI145" t="s">
        <v>49</v>
      </c>
      <c r="AJ145" t="s">
        <v>50</v>
      </c>
      <c r="AK145" t="s">
        <v>65</v>
      </c>
      <c r="AL145">
        <v>0.01</v>
      </c>
      <c r="AM145">
        <v>1.2999999999999999E-2</v>
      </c>
      <c r="AN145">
        <v>3.2000000000000001E-2</v>
      </c>
      <c r="AO145" t="s">
        <v>52</v>
      </c>
      <c r="AP145" t="s">
        <v>53</v>
      </c>
      <c r="AQ145" t="s">
        <v>54</v>
      </c>
    </row>
    <row r="146" spans="1:43" x14ac:dyDescent="0.25">
      <c r="A146" t="s">
        <v>309</v>
      </c>
      <c r="B146" t="s">
        <v>310</v>
      </c>
      <c r="C146">
        <v>273</v>
      </c>
      <c r="D146">
        <v>284</v>
      </c>
      <c r="E146">
        <v>7.8899999999999993E-5</v>
      </c>
      <c r="F146">
        <v>1.8</v>
      </c>
      <c r="G146">
        <v>2.7E-2</v>
      </c>
      <c r="H146">
        <v>1E-3</v>
      </c>
      <c r="I146">
        <v>1.0000000000000001E-5</v>
      </c>
      <c r="J146">
        <v>110000</v>
      </c>
      <c r="K146">
        <v>11700</v>
      </c>
      <c r="L146">
        <v>117</v>
      </c>
      <c r="M146">
        <v>880</v>
      </c>
      <c r="N146">
        <v>470</v>
      </c>
      <c r="O146">
        <v>9.0299999999999994</v>
      </c>
      <c r="P146">
        <v>1</v>
      </c>
      <c r="Q146">
        <v>1770</v>
      </c>
      <c r="R146">
        <v>15</v>
      </c>
      <c r="S146">
        <v>4.7300000000000002E-2</v>
      </c>
      <c r="T146">
        <v>4.7300000000000002E-2</v>
      </c>
      <c r="U146">
        <v>0.48299999999999998</v>
      </c>
      <c r="V146">
        <v>0.48299999999999998</v>
      </c>
      <c r="W146">
        <v>8.3199999999999993E-3</v>
      </c>
      <c r="X146">
        <v>3.95E-2</v>
      </c>
      <c r="Y146">
        <v>4.7800000000000002E-2</v>
      </c>
      <c r="Z146">
        <v>0.64100000000000001</v>
      </c>
      <c r="AA146" t="s">
        <v>44</v>
      </c>
      <c r="AB146">
        <v>1520</v>
      </c>
      <c r="AC146">
        <v>5520</v>
      </c>
      <c r="AD146" t="s">
        <v>46</v>
      </c>
      <c r="AE146">
        <v>6.0000000000000001E-3</v>
      </c>
      <c r="AF146" t="s">
        <v>47</v>
      </c>
      <c r="AG146">
        <v>2.0000000000000001E-4</v>
      </c>
      <c r="AH146" t="s">
        <v>48</v>
      </c>
      <c r="AI146" t="s">
        <v>49</v>
      </c>
      <c r="AJ146" t="s">
        <v>50</v>
      </c>
      <c r="AK146" t="s">
        <v>51</v>
      </c>
      <c r="AL146">
        <v>4.7300000000000002E-2</v>
      </c>
      <c r="AM146">
        <v>1.66E-2</v>
      </c>
      <c r="AN146">
        <v>2.9100000000000001E-2</v>
      </c>
      <c r="AO146" t="s">
        <v>52</v>
      </c>
      <c r="AP146" t="s">
        <v>53</v>
      </c>
      <c r="AQ146" t="s">
        <v>54</v>
      </c>
    </row>
    <row r="147" spans="1:43" x14ac:dyDescent="0.25">
      <c r="A147" t="s">
        <v>311</v>
      </c>
      <c r="B147" t="s">
        <v>312</v>
      </c>
      <c r="C147">
        <v>236.74</v>
      </c>
      <c r="D147">
        <v>459.95</v>
      </c>
      <c r="E147">
        <v>2.7599999999999999E-4</v>
      </c>
      <c r="F147">
        <v>50</v>
      </c>
      <c r="G147">
        <v>3.8899999999999998E-3</v>
      </c>
      <c r="H147">
        <v>2.5000000000000001E-3</v>
      </c>
      <c r="I147">
        <v>6.8000000000000001E-6</v>
      </c>
      <c r="J147">
        <v>8511.3803819999994</v>
      </c>
      <c r="K147">
        <v>1550.84</v>
      </c>
      <c r="L147">
        <v>15.51</v>
      </c>
      <c r="M147">
        <v>116.31</v>
      </c>
      <c r="N147">
        <v>62.03</v>
      </c>
      <c r="O147">
        <v>1.41</v>
      </c>
      <c r="P147">
        <v>1</v>
      </c>
      <c r="Q147">
        <v>247</v>
      </c>
      <c r="R147">
        <v>15.9</v>
      </c>
      <c r="S147">
        <v>0.20699999999999999</v>
      </c>
      <c r="T147">
        <v>0.20699999999999999</v>
      </c>
      <c r="U147">
        <v>0.22</v>
      </c>
      <c r="V147">
        <v>0.22</v>
      </c>
      <c r="W147">
        <v>5.2253439999999998E-3</v>
      </c>
      <c r="X147">
        <v>2.4820384000000001E-2</v>
      </c>
      <c r="Y147">
        <v>3.0045728000000001E-2</v>
      </c>
      <c r="Z147">
        <v>7.6740051000000004E-2</v>
      </c>
      <c r="AA147" t="s">
        <v>44</v>
      </c>
      <c r="AB147">
        <v>212</v>
      </c>
      <c r="AC147" t="s">
        <v>45</v>
      </c>
      <c r="AD147" t="s">
        <v>46</v>
      </c>
      <c r="AE147">
        <v>6.9999999999999999E-4</v>
      </c>
      <c r="AF147">
        <v>0.04</v>
      </c>
      <c r="AG147" t="s">
        <v>57</v>
      </c>
      <c r="AH147">
        <v>3.9999999999999998E-6</v>
      </c>
      <c r="AI147" t="s">
        <v>49</v>
      </c>
      <c r="AJ147" t="s">
        <v>50</v>
      </c>
      <c r="AK147" t="s">
        <v>51</v>
      </c>
      <c r="AL147">
        <v>0.20699999999999999</v>
      </c>
      <c r="AM147">
        <v>1.0450688E-2</v>
      </c>
      <c r="AN147">
        <v>1.8288703999999999E-2</v>
      </c>
      <c r="AO147" t="s">
        <v>52</v>
      </c>
      <c r="AP147" t="s">
        <v>53</v>
      </c>
      <c r="AQ147" t="s">
        <v>54</v>
      </c>
    </row>
    <row r="148" spans="1:43" x14ac:dyDescent="0.25">
      <c r="A148" t="s">
        <v>742</v>
      </c>
      <c r="B148" t="s">
        <v>525</v>
      </c>
      <c r="C148">
        <v>138.01</v>
      </c>
      <c r="D148">
        <v>118.34</v>
      </c>
      <c r="E148">
        <v>19.8</v>
      </c>
      <c r="F148">
        <v>302.8</v>
      </c>
      <c r="G148">
        <v>24.1</v>
      </c>
      <c r="J148">
        <v>141</v>
      </c>
      <c r="K148">
        <v>196.8</v>
      </c>
      <c r="M148">
        <v>14.76</v>
      </c>
      <c r="N148">
        <v>7.8720000000000008</v>
      </c>
      <c r="P148">
        <v>0.67600000000000005</v>
      </c>
      <c r="AB148">
        <v>11.08</v>
      </c>
      <c r="AC148">
        <v>11.08</v>
      </c>
    </row>
    <row r="149" spans="1:43" x14ac:dyDescent="0.25">
      <c r="A149" t="s">
        <v>610</v>
      </c>
      <c r="B149" t="s">
        <v>313</v>
      </c>
      <c r="C149">
        <v>168</v>
      </c>
      <c r="D149">
        <v>206</v>
      </c>
      <c r="E149">
        <v>3.9499999999999998E-5</v>
      </c>
      <c r="F149">
        <v>117</v>
      </c>
      <c r="G149">
        <v>5.6799999999999998E-5</v>
      </c>
      <c r="H149">
        <v>6.2399999999999997E-2</v>
      </c>
      <c r="I149">
        <v>7.2200000000000003E-6</v>
      </c>
      <c r="J149">
        <v>1580</v>
      </c>
      <c r="K149">
        <v>1400</v>
      </c>
      <c r="L149">
        <v>14</v>
      </c>
      <c r="M149">
        <v>105</v>
      </c>
      <c r="N149">
        <v>56</v>
      </c>
      <c r="O149">
        <v>8.43</v>
      </c>
      <c r="P149">
        <v>1</v>
      </c>
      <c r="Q149">
        <v>67.599999999999994</v>
      </c>
      <c r="R149">
        <v>4.83</v>
      </c>
      <c r="S149">
        <v>0.54800000000000004</v>
      </c>
      <c r="T149">
        <v>0.54800000000000004</v>
      </c>
      <c r="U149">
        <v>2.52</v>
      </c>
      <c r="V149">
        <v>2.52</v>
      </c>
      <c r="W149">
        <v>2.8300000000000001E-3</v>
      </c>
      <c r="X149">
        <v>1.35E-2</v>
      </c>
      <c r="Y149">
        <v>1.6299999999999999E-2</v>
      </c>
      <c r="Z149" t="s">
        <v>44</v>
      </c>
      <c r="AA149" t="s">
        <v>44</v>
      </c>
      <c r="AB149">
        <v>58.1</v>
      </c>
      <c r="AC149" t="s">
        <v>45</v>
      </c>
      <c r="AD149" t="s">
        <v>46</v>
      </c>
      <c r="AE149" t="s">
        <v>56</v>
      </c>
      <c r="AF149" t="s">
        <v>47</v>
      </c>
      <c r="AG149">
        <v>1.0000000000000001E-5</v>
      </c>
      <c r="AH149" t="s">
        <v>48</v>
      </c>
      <c r="AI149" t="s">
        <v>49</v>
      </c>
      <c r="AJ149" t="s">
        <v>50</v>
      </c>
      <c r="AK149" t="s">
        <v>51</v>
      </c>
      <c r="AL149">
        <v>0.54800000000000004</v>
      </c>
      <c r="AM149">
        <v>5.6699999999999997E-3</v>
      </c>
      <c r="AN149">
        <v>9.92E-3</v>
      </c>
      <c r="AO149" t="s">
        <v>52</v>
      </c>
      <c r="AP149" t="s">
        <v>53</v>
      </c>
      <c r="AQ149" t="s">
        <v>54</v>
      </c>
    </row>
    <row r="150" spans="1:43" x14ac:dyDescent="0.25">
      <c r="A150" t="s">
        <v>611</v>
      </c>
      <c r="B150" t="s">
        <v>314</v>
      </c>
      <c r="C150">
        <v>146.22999999999999</v>
      </c>
      <c r="D150">
        <v>276.55</v>
      </c>
      <c r="E150">
        <v>5.9500000000000003E-5</v>
      </c>
      <c r="F150">
        <v>6577</v>
      </c>
      <c r="G150">
        <v>1.73E-7</v>
      </c>
      <c r="H150" t="s">
        <v>44</v>
      </c>
      <c r="I150" t="s">
        <v>44</v>
      </c>
      <c r="J150">
        <v>35.5</v>
      </c>
      <c r="K150">
        <v>10</v>
      </c>
      <c r="L150" t="s">
        <v>57</v>
      </c>
      <c r="M150">
        <v>0.75</v>
      </c>
      <c r="N150">
        <v>0.4</v>
      </c>
      <c r="O150" t="s">
        <v>57</v>
      </c>
      <c r="P150">
        <v>1</v>
      </c>
      <c r="Q150" t="s">
        <v>57</v>
      </c>
      <c r="R150" t="s">
        <v>57</v>
      </c>
      <c r="S150" t="s">
        <v>56</v>
      </c>
      <c r="T150" t="s">
        <v>56</v>
      </c>
      <c r="U150" t="s">
        <v>57</v>
      </c>
      <c r="V150" t="s">
        <v>57</v>
      </c>
      <c r="W150" t="s">
        <v>62</v>
      </c>
      <c r="X150" t="s">
        <v>62</v>
      </c>
      <c r="Y150" t="s">
        <v>62</v>
      </c>
      <c r="Z150" t="s">
        <v>44</v>
      </c>
      <c r="AA150" t="s">
        <v>44</v>
      </c>
      <c r="AB150" t="s">
        <v>63</v>
      </c>
      <c r="AC150" t="s">
        <v>45</v>
      </c>
      <c r="AD150" t="s">
        <v>46</v>
      </c>
      <c r="AE150" t="s">
        <v>56</v>
      </c>
      <c r="AF150" t="s">
        <v>47</v>
      </c>
      <c r="AG150" t="s">
        <v>57</v>
      </c>
      <c r="AH150" t="s">
        <v>48</v>
      </c>
      <c r="AI150" t="s">
        <v>49</v>
      </c>
      <c r="AJ150" t="s">
        <v>50</v>
      </c>
      <c r="AK150" t="s">
        <v>51</v>
      </c>
      <c r="AL150" t="s">
        <v>44</v>
      </c>
      <c r="AM150" t="s">
        <v>44</v>
      </c>
      <c r="AN150" t="s">
        <v>44</v>
      </c>
      <c r="AO150" t="s">
        <v>52</v>
      </c>
      <c r="AP150" t="s">
        <v>53</v>
      </c>
      <c r="AQ150" t="s">
        <v>54</v>
      </c>
    </row>
    <row r="151" spans="1:43" x14ac:dyDescent="0.25">
      <c r="A151" t="s">
        <v>693</v>
      </c>
      <c r="B151" t="s">
        <v>317</v>
      </c>
      <c r="C151">
        <v>35.450000000000003</v>
      </c>
      <c r="D151">
        <v>159</v>
      </c>
      <c r="E151">
        <v>46.6</v>
      </c>
      <c r="F151">
        <v>720000</v>
      </c>
      <c r="G151">
        <v>2.3600000000000001E-3</v>
      </c>
      <c r="H151">
        <v>1E-3</v>
      </c>
      <c r="I151">
        <v>1.0000000000000001E-5</v>
      </c>
      <c r="J151">
        <v>3.47</v>
      </c>
      <c r="K151">
        <v>13.22</v>
      </c>
      <c r="L151" t="s">
        <v>57</v>
      </c>
      <c r="M151">
        <v>0.99150000000000005</v>
      </c>
      <c r="N151">
        <v>0.52880000000000005</v>
      </c>
      <c r="O151" t="s">
        <v>57</v>
      </c>
      <c r="P151">
        <v>0.53899999999999992</v>
      </c>
      <c r="Q151" t="s">
        <v>57</v>
      </c>
      <c r="R151" t="s">
        <v>57</v>
      </c>
      <c r="S151" t="s">
        <v>56</v>
      </c>
      <c r="T151" t="s">
        <v>56</v>
      </c>
      <c r="U151" t="s">
        <v>57</v>
      </c>
      <c r="V151" t="s">
        <v>57</v>
      </c>
      <c r="W151">
        <v>1.1E-5</v>
      </c>
      <c r="X151">
        <v>5.2299999999999997E-5</v>
      </c>
      <c r="Y151">
        <v>6.3299999999999994E-5</v>
      </c>
      <c r="Z151" t="s">
        <v>44</v>
      </c>
      <c r="AA151" t="s">
        <v>44</v>
      </c>
      <c r="AB151">
        <v>3.16</v>
      </c>
      <c r="AC151" t="s">
        <v>45</v>
      </c>
      <c r="AD151" t="s">
        <v>46</v>
      </c>
      <c r="AE151" t="s">
        <v>56</v>
      </c>
      <c r="AF151" t="s">
        <v>47</v>
      </c>
      <c r="AG151">
        <v>0.02</v>
      </c>
      <c r="AH151" t="s">
        <v>48</v>
      </c>
      <c r="AI151" t="s">
        <v>49</v>
      </c>
      <c r="AJ151" t="s">
        <v>110</v>
      </c>
      <c r="AK151" t="s">
        <v>51</v>
      </c>
      <c r="AL151" t="s">
        <v>44</v>
      </c>
      <c r="AM151">
        <v>2.1999999999999999E-5</v>
      </c>
      <c r="AN151">
        <v>3.8600000000000003E-5</v>
      </c>
      <c r="AO151" t="s">
        <v>52</v>
      </c>
      <c r="AP151" t="s">
        <v>53</v>
      </c>
      <c r="AQ151" t="s">
        <v>54</v>
      </c>
    </row>
    <row r="152" spans="1:43" x14ac:dyDescent="0.25">
      <c r="A152" t="s">
        <v>612</v>
      </c>
      <c r="B152" t="s">
        <v>318</v>
      </c>
      <c r="C152">
        <v>20</v>
      </c>
      <c r="D152">
        <v>190</v>
      </c>
      <c r="E152">
        <v>1.21</v>
      </c>
      <c r="F152">
        <v>1000000</v>
      </c>
      <c r="G152">
        <v>7.6200000000000006E-14</v>
      </c>
      <c r="H152" t="s">
        <v>44</v>
      </c>
      <c r="I152" t="s">
        <v>44</v>
      </c>
      <c r="J152">
        <v>1.71</v>
      </c>
      <c r="K152">
        <v>13.2</v>
      </c>
      <c r="L152" t="s">
        <v>57</v>
      </c>
      <c r="M152">
        <v>0.98999999999999988</v>
      </c>
      <c r="N152">
        <v>0.52800000000000002</v>
      </c>
      <c r="O152">
        <v>1.27</v>
      </c>
      <c r="P152">
        <v>0.74</v>
      </c>
      <c r="Q152" t="s">
        <v>57</v>
      </c>
      <c r="R152" t="s">
        <v>57</v>
      </c>
      <c r="S152" t="s">
        <v>56</v>
      </c>
      <c r="T152" t="s">
        <v>56</v>
      </c>
      <c r="U152" t="s">
        <v>57</v>
      </c>
      <c r="V152" t="s">
        <v>57</v>
      </c>
      <c r="W152" t="s">
        <v>62</v>
      </c>
      <c r="X152" t="s">
        <v>62</v>
      </c>
      <c r="Y152" t="s">
        <v>62</v>
      </c>
      <c r="Z152" t="s">
        <v>44</v>
      </c>
      <c r="AA152" t="s">
        <v>44</v>
      </c>
      <c r="AB152" t="s">
        <v>63</v>
      </c>
      <c r="AC152" t="s">
        <v>45</v>
      </c>
      <c r="AD152" t="s">
        <v>46</v>
      </c>
      <c r="AE152">
        <v>0.04</v>
      </c>
      <c r="AF152" t="s">
        <v>47</v>
      </c>
      <c r="AG152">
        <v>1.4E-2</v>
      </c>
      <c r="AH152" t="s">
        <v>48</v>
      </c>
      <c r="AI152" t="s">
        <v>49</v>
      </c>
      <c r="AJ152" t="s">
        <v>110</v>
      </c>
      <c r="AK152" t="s">
        <v>51</v>
      </c>
      <c r="AL152" t="s">
        <v>44</v>
      </c>
      <c r="AM152" t="s">
        <v>44</v>
      </c>
      <c r="AN152" t="s">
        <v>44</v>
      </c>
      <c r="AO152" t="s">
        <v>52</v>
      </c>
      <c r="AP152" t="s">
        <v>53</v>
      </c>
      <c r="AQ152" t="s">
        <v>54</v>
      </c>
    </row>
    <row r="153" spans="1:43" x14ac:dyDescent="0.25">
      <c r="A153" t="s">
        <v>613</v>
      </c>
      <c r="B153" t="s">
        <v>319</v>
      </c>
      <c r="C153">
        <v>110</v>
      </c>
      <c r="D153">
        <v>445</v>
      </c>
      <c r="E153">
        <v>1.3200000000000001E-8</v>
      </c>
      <c r="F153">
        <v>72000</v>
      </c>
      <c r="G153">
        <v>2.0199999999999999E-11</v>
      </c>
      <c r="H153">
        <v>8.2699999999999996E-2</v>
      </c>
      <c r="I153">
        <v>9.5799999999999998E-6</v>
      </c>
      <c r="J153">
        <v>3.89</v>
      </c>
      <c r="K153">
        <v>3.8</v>
      </c>
      <c r="L153">
        <v>3.7999999999999999E-2</v>
      </c>
      <c r="M153">
        <v>0.28499999999999998</v>
      </c>
      <c r="N153">
        <v>0.152</v>
      </c>
      <c r="O153">
        <v>36.1</v>
      </c>
      <c r="P153">
        <v>0.95699999999999996</v>
      </c>
      <c r="Q153">
        <v>6.97</v>
      </c>
      <c r="R153">
        <v>183</v>
      </c>
      <c r="S153">
        <v>17.7</v>
      </c>
      <c r="T153">
        <v>17.7</v>
      </c>
      <c r="U153">
        <v>11800</v>
      </c>
      <c r="V153">
        <v>11800</v>
      </c>
      <c r="W153">
        <v>4.35E-5</v>
      </c>
      <c r="X153">
        <v>2.0699999999999999E-4</v>
      </c>
      <c r="Y153">
        <v>2.5000000000000001E-4</v>
      </c>
      <c r="Z153" t="s">
        <v>44</v>
      </c>
      <c r="AA153" t="s">
        <v>44</v>
      </c>
      <c r="AB153">
        <v>3.16</v>
      </c>
      <c r="AC153" t="s">
        <v>45</v>
      </c>
      <c r="AD153" t="s">
        <v>46</v>
      </c>
      <c r="AE153">
        <v>0.04</v>
      </c>
      <c r="AF153">
        <v>5.6000000000000001E-2</v>
      </c>
      <c r="AG153" t="s">
        <v>57</v>
      </c>
      <c r="AH153" t="s">
        <v>48</v>
      </c>
      <c r="AI153" t="s">
        <v>49</v>
      </c>
      <c r="AJ153" t="s">
        <v>50</v>
      </c>
      <c r="AK153" t="s">
        <v>51</v>
      </c>
      <c r="AL153">
        <v>17.7</v>
      </c>
      <c r="AM153">
        <v>8.7100000000000003E-5</v>
      </c>
      <c r="AN153">
        <v>1.5200000000000001E-4</v>
      </c>
      <c r="AO153" t="s">
        <v>52</v>
      </c>
      <c r="AP153" t="s">
        <v>53</v>
      </c>
      <c r="AQ153" t="s">
        <v>54</v>
      </c>
    </row>
    <row r="154" spans="1:43" x14ac:dyDescent="0.25">
      <c r="A154" t="s">
        <v>721</v>
      </c>
      <c r="B154" t="s">
        <v>321</v>
      </c>
      <c r="C154">
        <v>276</v>
      </c>
      <c r="D154">
        <v>433</v>
      </c>
      <c r="E154">
        <v>1.3199999999999999E-13</v>
      </c>
      <c r="F154">
        <v>2.1999999999999999E-5</v>
      </c>
      <c r="G154">
        <v>1.5999999999999999E-6</v>
      </c>
      <c r="H154">
        <v>1E-3</v>
      </c>
      <c r="I154">
        <v>1.0000000000000001E-5</v>
      </c>
      <c r="J154">
        <v>3980000</v>
      </c>
      <c r="K154">
        <v>3080000</v>
      </c>
      <c r="L154">
        <v>530000</v>
      </c>
      <c r="M154">
        <v>231000</v>
      </c>
      <c r="N154">
        <v>123000</v>
      </c>
      <c r="O154">
        <v>0.48</v>
      </c>
      <c r="P154">
        <v>5.0000000000000001E-3</v>
      </c>
      <c r="Q154">
        <v>28100</v>
      </c>
      <c r="R154">
        <v>5.2900000000000003E-2</v>
      </c>
      <c r="S154">
        <v>5.9300000000000004E-3</v>
      </c>
      <c r="T154">
        <v>5.9300000000000004E-3</v>
      </c>
      <c r="U154">
        <v>373000</v>
      </c>
      <c r="V154">
        <v>373000</v>
      </c>
      <c r="W154">
        <v>6.1900000000000002E-3</v>
      </c>
      <c r="X154">
        <v>2.9399999999999999E-2</v>
      </c>
      <c r="Y154">
        <v>3.56E-2</v>
      </c>
      <c r="Z154">
        <v>65.3</v>
      </c>
      <c r="AA154" t="s">
        <v>44</v>
      </c>
      <c r="AB154">
        <v>24100</v>
      </c>
      <c r="AC154">
        <v>618000</v>
      </c>
      <c r="AD154" t="s">
        <v>46</v>
      </c>
      <c r="AE154" t="s">
        <v>56</v>
      </c>
      <c r="AF154">
        <v>0.12</v>
      </c>
      <c r="AG154" t="s">
        <v>57</v>
      </c>
      <c r="AH154">
        <v>1.2999999999999999E-4</v>
      </c>
      <c r="AI154" t="s">
        <v>49</v>
      </c>
      <c r="AJ154" t="s">
        <v>50</v>
      </c>
      <c r="AK154" t="s">
        <v>72</v>
      </c>
      <c r="AL154">
        <v>5.9300000000000004E-3</v>
      </c>
      <c r="AM154">
        <v>1.24E-2</v>
      </c>
      <c r="AN154">
        <v>2.1700000000000001E-2</v>
      </c>
      <c r="AO154" t="s">
        <v>52</v>
      </c>
      <c r="AP154" t="s">
        <v>53</v>
      </c>
      <c r="AQ154" t="s">
        <v>54</v>
      </c>
    </row>
    <row r="155" spans="1:43" x14ac:dyDescent="0.25">
      <c r="A155" t="s">
        <v>322</v>
      </c>
      <c r="B155" t="s">
        <v>323</v>
      </c>
      <c r="C155">
        <v>138</v>
      </c>
      <c r="D155">
        <v>265</v>
      </c>
      <c r="E155">
        <v>5.7600000000000001E-4</v>
      </c>
      <c r="F155">
        <v>12000</v>
      </c>
      <c r="G155">
        <v>6.64E-6</v>
      </c>
      <c r="H155">
        <v>6.2300000000000001E-2</v>
      </c>
      <c r="I155">
        <v>6.7599999999999997E-6</v>
      </c>
      <c r="J155">
        <v>46.8</v>
      </c>
      <c r="K155">
        <v>43.8</v>
      </c>
      <c r="L155">
        <v>0.44</v>
      </c>
      <c r="M155">
        <v>3.29</v>
      </c>
      <c r="N155">
        <v>1.75</v>
      </c>
      <c r="O155">
        <v>9.0299999999999994</v>
      </c>
      <c r="P155">
        <v>1</v>
      </c>
      <c r="Q155">
        <v>10.8</v>
      </c>
      <c r="R155">
        <v>24.6</v>
      </c>
      <c r="S155">
        <v>4.2</v>
      </c>
      <c r="T155">
        <v>4.2</v>
      </c>
      <c r="U155">
        <v>0.50600000000000001</v>
      </c>
      <c r="V155">
        <v>0.50600000000000001</v>
      </c>
      <c r="W155">
        <v>3.57E-4</v>
      </c>
      <c r="X155">
        <v>1.6999999999999999E-3</v>
      </c>
      <c r="Y155">
        <v>2.0500000000000002E-3</v>
      </c>
      <c r="Z155">
        <v>3.97E-4</v>
      </c>
      <c r="AA155" t="s">
        <v>44</v>
      </c>
      <c r="AB155">
        <v>3.85</v>
      </c>
      <c r="AC155">
        <v>3.85</v>
      </c>
      <c r="AD155" t="s">
        <v>46</v>
      </c>
      <c r="AE155">
        <v>0.2</v>
      </c>
      <c r="AF155">
        <v>9.5E-4</v>
      </c>
      <c r="AG155">
        <v>2</v>
      </c>
      <c r="AH155" t="s">
        <v>48</v>
      </c>
      <c r="AI155" t="s">
        <v>49</v>
      </c>
      <c r="AJ155" t="s">
        <v>50</v>
      </c>
      <c r="AK155" t="s">
        <v>51</v>
      </c>
      <c r="AL155">
        <v>4.2</v>
      </c>
      <c r="AM155">
        <v>7.1400000000000001E-4</v>
      </c>
      <c r="AN155">
        <v>1.25E-3</v>
      </c>
      <c r="AO155" t="s">
        <v>52</v>
      </c>
      <c r="AP155" t="s">
        <v>53</v>
      </c>
      <c r="AQ155" t="s">
        <v>54</v>
      </c>
    </row>
    <row r="156" spans="1:43" x14ac:dyDescent="0.25">
      <c r="A156" t="s">
        <v>324</v>
      </c>
      <c r="B156" t="s">
        <v>325</v>
      </c>
      <c r="C156">
        <v>209</v>
      </c>
      <c r="D156">
        <v>603</v>
      </c>
      <c r="E156">
        <v>0</v>
      </c>
      <c r="F156">
        <v>9580</v>
      </c>
      <c r="G156">
        <v>2.5000000000000001E-2</v>
      </c>
      <c r="H156">
        <v>7.7200000000000005E-2</v>
      </c>
      <c r="I156">
        <v>9.5699999999999999E-6</v>
      </c>
      <c r="J156">
        <v>5.37</v>
      </c>
      <c r="K156" t="s">
        <v>44</v>
      </c>
      <c r="L156">
        <v>900</v>
      </c>
      <c r="M156">
        <v>900</v>
      </c>
      <c r="N156">
        <v>900</v>
      </c>
      <c r="O156" t="s">
        <v>57</v>
      </c>
      <c r="P156">
        <v>0</v>
      </c>
      <c r="Q156" t="s">
        <v>57</v>
      </c>
      <c r="R156">
        <v>8.9999999999999993E-3</v>
      </c>
      <c r="S156">
        <v>1.3599999999999999E-2</v>
      </c>
      <c r="T156">
        <v>4.4999999999999998E-2</v>
      </c>
      <c r="U156" t="s">
        <v>57</v>
      </c>
      <c r="V156" t="s">
        <v>57</v>
      </c>
      <c r="W156">
        <v>2.5000000000000001E-4</v>
      </c>
      <c r="X156">
        <v>2.9999999999999997E-4</v>
      </c>
      <c r="Y156" t="s">
        <v>62</v>
      </c>
      <c r="Z156" t="s">
        <v>44</v>
      </c>
      <c r="AA156" t="s">
        <v>44</v>
      </c>
      <c r="AB156">
        <v>0.09</v>
      </c>
      <c r="AC156" t="s">
        <v>45</v>
      </c>
      <c r="AD156" t="s">
        <v>46</v>
      </c>
      <c r="AE156" t="s">
        <v>56</v>
      </c>
      <c r="AF156">
        <v>8.5000000000000006E-3</v>
      </c>
      <c r="AG156">
        <v>1.4999999999999999E-4</v>
      </c>
      <c r="AH156">
        <v>1.2E-5</v>
      </c>
      <c r="AI156" t="s">
        <v>49</v>
      </c>
      <c r="AJ156" t="s">
        <v>110</v>
      </c>
      <c r="AK156" t="s">
        <v>111</v>
      </c>
      <c r="AL156">
        <v>8.9999999999999993E-3</v>
      </c>
      <c r="AM156" t="s">
        <v>44</v>
      </c>
      <c r="AN156" t="s">
        <v>44</v>
      </c>
      <c r="AO156" t="s">
        <v>52</v>
      </c>
      <c r="AP156" t="s">
        <v>53</v>
      </c>
      <c r="AQ156" t="s">
        <v>54</v>
      </c>
    </row>
    <row r="157" spans="1:43" x14ac:dyDescent="0.25">
      <c r="A157" t="s">
        <v>682</v>
      </c>
      <c r="B157" t="s">
        <v>681</v>
      </c>
      <c r="C157">
        <v>209</v>
      </c>
      <c r="D157">
        <v>603</v>
      </c>
      <c r="E157">
        <v>0</v>
      </c>
      <c r="F157">
        <v>9580</v>
      </c>
      <c r="G157">
        <v>2.5000000000000001E-2</v>
      </c>
      <c r="H157">
        <v>7.7200000000000005E-2</v>
      </c>
      <c r="I157">
        <v>9.5699999999999999E-6</v>
      </c>
      <c r="J157">
        <v>5.37</v>
      </c>
      <c r="K157" t="s">
        <v>44</v>
      </c>
      <c r="L157">
        <v>900</v>
      </c>
      <c r="M157">
        <v>900</v>
      </c>
      <c r="N157">
        <v>900</v>
      </c>
      <c r="O157" t="s">
        <v>57</v>
      </c>
      <c r="P157">
        <v>0</v>
      </c>
      <c r="Q157" t="s">
        <v>57</v>
      </c>
      <c r="R157">
        <v>8.9999999999999993E-3</v>
      </c>
      <c r="S157">
        <v>1.3599999999999999E-2</v>
      </c>
      <c r="T157">
        <v>4.4999999999999998E-2</v>
      </c>
      <c r="U157" t="s">
        <v>57</v>
      </c>
      <c r="V157" t="s">
        <v>57</v>
      </c>
      <c r="W157">
        <v>2.5000000000000001E-4</v>
      </c>
      <c r="X157">
        <v>2.9999999999999997E-4</v>
      </c>
      <c r="Y157" t="s">
        <v>62</v>
      </c>
      <c r="Z157" t="s">
        <v>44</v>
      </c>
      <c r="AA157" t="s">
        <v>44</v>
      </c>
      <c r="AB157">
        <v>0.09</v>
      </c>
      <c r="AC157" t="s">
        <v>45</v>
      </c>
      <c r="AD157" t="s">
        <v>46</v>
      </c>
      <c r="AE157" t="s">
        <v>56</v>
      </c>
      <c r="AF157">
        <v>8.5000000000000006E-3</v>
      </c>
      <c r="AG157">
        <v>1.4999999999999999E-4</v>
      </c>
      <c r="AH157">
        <v>1.2E-5</v>
      </c>
      <c r="AI157" t="s">
        <v>49</v>
      </c>
      <c r="AJ157" t="s">
        <v>110</v>
      </c>
      <c r="AK157" t="s">
        <v>111</v>
      </c>
      <c r="AL157">
        <v>8.9999999999999993E-3</v>
      </c>
      <c r="AM157" t="s">
        <v>44</v>
      </c>
      <c r="AN157" t="s">
        <v>44</v>
      </c>
      <c r="AO157" t="s">
        <v>52</v>
      </c>
      <c r="AP157" t="s">
        <v>53</v>
      </c>
      <c r="AQ157" t="s">
        <v>54</v>
      </c>
    </row>
    <row r="158" spans="1:43" x14ac:dyDescent="0.25">
      <c r="A158" t="s">
        <v>614</v>
      </c>
      <c r="B158" t="s">
        <v>326</v>
      </c>
      <c r="C158">
        <v>98.1</v>
      </c>
      <c r="D158">
        <v>326</v>
      </c>
      <c r="E158">
        <v>2.1100000000000001E-4</v>
      </c>
      <c r="F158">
        <v>4910</v>
      </c>
      <c r="G158">
        <v>4.2100000000000003E-6</v>
      </c>
      <c r="H158">
        <v>8.9399999999999993E-2</v>
      </c>
      <c r="I158">
        <v>1.03E-5</v>
      </c>
      <c r="J158">
        <v>41.7</v>
      </c>
      <c r="K158">
        <v>39.200000000000003</v>
      </c>
      <c r="L158">
        <v>0.39200000000000002</v>
      </c>
      <c r="M158">
        <v>2.94</v>
      </c>
      <c r="N158">
        <v>1.57</v>
      </c>
      <c r="O158">
        <v>8.43</v>
      </c>
      <c r="P158">
        <v>1</v>
      </c>
      <c r="Q158">
        <v>10.4</v>
      </c>
      <c r="R158">
        <v>26.6</v>
      </c>
      <c r="S158">
        <v>4.4800000000000004</v>
      </c>
      <c r="T158">
        <v>4.4800000000000004</v>
      </c>
      <c r="U158">
        <v>0.70599999999999996</v>
      </c>
      <c r="V158">
        <v>0.70599999999999996</v>
      </c>
      <c r="W158">
        <v>3.28E-4</v>
      </c>
      <c r="X158">
        <v>1.56E-3</v>
      </c>
      <c r="Y158">
        <v>1.89E-3</v>
      </c>
      <c r="Z158" t="s">
        <v>44</v>
      </c>
      <c r="AA158" t="s">
        <v>44</v>
      </c>
      <c r="AB158">
        <v>3.53</v>
      </c>
      <c r="AC158" t="s">
        <v>45</v>
      </c>
      <c r="AD158" t="s">
        <v>46</v>
      </c>
      <c r="AE158">
        <v>0.1</v>
      </c>
      <c r="AF158" t="s">
        <v>47</v>
      </c>
      <c r="AG158">
        <v>6.9999999999999999E-4</v>
      </c>
      <c r="AH158" t="s">
        <v>48</v>
      </c>
      <c r="AI158" t="s">
        <v>49</v>
      </c>
      <c r="AJ158" t="s">
        <v>50</v>
      </c>
      <c r="AK158" t="s">
        <v>51</v>
      </c>
      <c r="AL158">
        <v>4.4800000000000004</v>
      </c>
      <c r="AM158">
        <v>6.5600000000000001E-4</v>
      </c>
      <c r="AN158">
        <v>1.15E-3</v>
      </c>
      <c r="AO158" t="s">
        <v>52</v>
      </c>
      <c r="AP158" t="s">
        <v>53</v>
      </c>
      <c r="AQ158" t="s">
        <v>54</v>
      </c>
    </row>
    <row r="159" spans="1:43" x14ac:dyDescent="0.25">
      <c r="A159" t="s">
        <v>615</v>
      </c>
      <c r="B159" t="s">
        <v>327</v>
      </c>
      <c r="C159">
        <v>55</v>
      </c>
      <c r="D159">
        <v>1470</v>
      </c>
      <c r="E159">
        <v>0</v>
      </c>
      <c r="F159">
        <v>55</v>
      </c>
      <c r="G159">
        <v>0</v>
      </c>
      <c r="H159">
        <v>0.13100000000000001</v>
      </c>
      <c r="I159">
        <v>0</v>
      </c>
      <c r="J159">
        <v>1.7</v>
      </c>
      <c r="K159">
        <v>13.22</v>
      </c>
      <c r="L159" t="s">
        <v>57</v>
      </c>
      <c r="M159">
        <v>0.99150000000000005</v>
      </c>
      <c r="N159">
        <v>0.52880000000000005</v>
      </c>
      <c r="O159">
        <v>2.5299999999999999E-6</v>
      </c>
      <c r="P159">
        <v>0</v>
      </c>
      <c r="Q159" t="s">
        <v>57</v>
      </c>
      <c r="R159" t="s">
        <v>57</v>
      </c>
      <c r="S159" t="s">
        <v>56</v>
      </c>
      <c r="T159" t="s">
        <v>56</v>
      </c>
      <c r="U159" t="s">
        <v>57</v>
      </c>
      <c r="V159" t="s">
        <v>57</v>
      </c>
      <c r="W159" t="s">
        <v>62</v>
      </c>
      <c r="X159" t="s">
        <v>62</v>
      </c>
      <c r="Y159" t="s">
        <v>62</v>
      </c>
      <c r="Z159" t="s">
        <v>44</v>
      </c>
      <c r="AA159" t="s">
        <v>44</v>
      </c>
      <c r="AB159" t="s">
        <v>63</v>
      </c>
      <c r="AC159" t="s">
        <v>45</v>
      </c>
      <c r="AD159" t="s">
        <v>46</v>
      </c>
      <c r="AE159">
        <v>0.14000000000000001</v>
      </c>
      <c r="AF159" t="s">
        <v>47</v>
      </c>
      <c r="AG159">
        <v>2.0000000000000001E-4</v>
      </c>
      <c r="AH159" t="s">
        <v>48</v>
      </c>
      <c r="AI159" t="s">
        <v>49</v>
      </c>
      <c r="AJ159" t="s">
        <v>110</v>
      </c>
      <c r="AK159" t="s">
        <v>111</v>
      </c>
      <c r="AL159" t="s">
        <v>44</v>
      </c>
      <c r="AM159" t="s">
        <v>44</v>
      </c>
      <c r="AN159" t="s">
        <v>44</v>
      </c>
      <c r="AO159" t="s">
        <v>52</v>
      </c>
      <c r="AP159" t="s">
        <v>53</v>
      </c>
      <c r="AQ159" t="s">
        <v>54</v>
      </c>
    </row>
    <row r="160" spans="1:43" x14ac:dyDescent="0.25">
      <c r="A160" t="s">
        <v>697</v>
      </c>
      <c r="B160" t="s">
        <v>328</v>
      </c>
      <c r="C160">
        <v>271.52</v>
      </c>
      <c r="D160">
        <v>550.1</v>
      </c>
      <c r="E160">
        <v>1.2E-4</v>
      </c>
      <c r="F160">
        <v>69000</v>
      </c>
      <c r="G160">
        <v>7.1000000000000003E-10</v>
      </c>
      <c r="H160">
        <v>4.5312606999999998E-2</v>
      </c>
      <c r="I160">
        <v>5.2499999999999997E-6</v>
      </c>
      <c r="J160">
        <v>0.60953689700000002</v>
      </c>
      <c r="K160" t="s">
        <v>44</v>
      </c>
      <c r="L160">
        <v>58000</v>
      </c>
      <c r="M160">
        <v>100000</v>
      </c>
      <c r="N160">
        <v>50000</v>
      </c>
      <c r="O160" t="s">
        <v>57</v>
      </c>
      <c r="P160">
        <v>0.85</v>
      </c>
      <c r="Q160" t="s">
        <v>57</v>
      </c>
      <c r="R160">
        <v>3.5999999999999997E-2</v>
      </c>
      <c r="S160">
        <v>1.4500000000000001E-2</v>
      </c>
      <c r="T160" t="s">
        <v>56</v>
      </c>
      <c r="U160">
        <v>1800</v>
      </c>
      <c r="V160">
        <v>1800</v>
      </c>
      <c r="W160">
        <v>2.2620000000000001E-3</v>
      </c>
      <c r="X160">
        <v>5.2199999999999998E-3</v>
      </c>
      <c r="Y160">
        <v>3.3899999999999997E-5</v>
      </c>
      <c r="Z160">
        <v>2.3924999999999998E-2</v>
      </c>
      <c r="AA160" t="s">
        <v>44</v>
      </c>
      <c r="AB160" t="s">
        <v>63</v>
      </c>
      <c r="AC160" t="s">
        <v>45</v>
      </c>
      <c r="AD160" t="s">
        <v>46</v>
      </c>
      <c r="AE160" t="s">
        <v>56</v>
      </c>
      <c r="AF160" t="s">
        <v>47</v>
      </c>
      <c r="AG160" t="s">
        <v>57</v>
      </c>
      <c r="AH160" t="s">
        <v>48</v>
      </c>
      <c r="AI160" t="s">
        <v>49</v>
      </c>
      <c r="AJ160" t="s">
        <v>110</v>
      </c>
      <c r="AK160" t="s">
        <v>329</v>
      </c>
      <c r="AL160">
        <v>9.2999999999999992E-3</v>
      </c>
      <c r="AM160">
        <v>2.3924999999999998E-2</v>
      </c>
      <c r="AN160">
        <v>2.3924999999999998E-2</v>
      </c>
      <c r="AO160" t="s">
        <v>52</v>
      </c>
      <c r="AP160" t="s">
        <v>53</v>
      </c>
      <c r="AQ160" t="s">
        <v>54</v>
      </c>
    </row>
    <row r="161" spans="1:43" x14ac:dyDescent="0.25">
      <c r="A161" t="s">
        <v>330</v>
      </c>
      <c r="B161" t="s">
        <v>331</v>
      </c>
      <c r="C161">
        <v>201</v>
      </c>
      <c r="D161">
        <v>234</v>
      </c>
      <c r="E161">
        <v>2.6299999999999998E-6</v>
      </c>
      <c r="F161">
        <v>0.06</v>
      </c>
      <c r="G161">
        <v>7.1000000000000004E-3</v>
      </c>
      <c r="H161">
        <v>1.09E-2</v>
      </c>
      <c r="I161">
        <v>3.01E-5</v>
      </c>
      <c r="J161">
        <v>4.17</v>
      </c>
      <c r="K161" t="s">
        <v>44</v>
      </c>
      <c r="L161">
        <v>1000</v>
      </c>
      <c r="M161">
        <v>1000</v>
      </c>
      <c r="N161">
        <v>3000</v>
      </c>
      <c r="O161" t="s">
        <v>57</v>
      </c>
      <c r="P161">
        <v>1</v>
      </c>
      <c r="Q161" t="s">
        <v>57</v>
      </c>
      <c r="R161" t="s">
        <v>57</v>
      </c>
      <c r="S161" t="s">
        <v>56</v>
      </c>
      <c r="T161" t="s">
        <v>56</v>
      </c>
      <c r="U161" t="s">
        <v>57</v>
      </c>
      <c r="V161" t="s">
        <v>57</v>
      </c>
      <c r="W161" t="s">
        <v>62</v>
      </c>
      <c r="X161" t="s">
        <v>62</v>
      </c>
      <c r="Y161" t="s">
        <v>62</v>
      </c>
      <c r="Z161" t="s">
        <v>44</v>
      </c>
      <c r="AA161" t="s">
        <v>44</v>
      </c>
      <c r="AB161" t="s">
        <v>63</v>
      </c>
      <c r="AC161" t="s">
        <v>45</v>
      </c>
      <c r="AD161" t="s">
        <v>46</v>
      </c>
      <c r="AE161">
        <v>1.6000000000000001E-4</v>
      </c>
      <c r="AF161" t="s">
        <v>47</v>
      </c>
      <c r="AG161">
        <v>2.9999999999999997E-4</v>
      </c>
      <c r="AH161" t="s">
        <v>48</v>
      </c>
      <c r="AI161" t="s">
        <v>49</v>
      </c>
      <c r="AJ161" t="s">
        <v>110</v>
      </c>
      <c r="AK161" t="s">
        <v>111</v>
      </c>
      <c r="AL161" t="s">
        <v>44</v>
      </c>
      <c r="AM161" t="s">
        <v>44</v>
      </c>
      <c r="AN161" t="s">
        <v>44</v>
      </c>
      <c r="AO161" t="s">
        <v>52</v>
      </c>
      <c r="AP161" t="s">
        <v>53</v>
      </c>
      <c r="AQ161" t="s">
        <v>54</v>
      </c>
    </row>
    <row r="162" spans="1:43" x14ac:dyDescent="0.25">
      <c r="A162" t="s">
        <v>616</v>
      </c>
      <c r="B162" t="s">
        <v>332</v>
      </c>
      <c r="C162">
        <v>16.04</v>
      </c>
      <c r="D162">
        <v>121.07</v>
      </c>
      <c r="E162">
        <v>696</v>
      </c>
      <c r="F162">
        <v>2610</v>
      </c>
      <c r="G162">
        <v>0.41399999999999998</v>
      </c>
      <c r="H162" t="s">
        <v>44</v>
      </c>
      <c r="I162" t="s">
        <v>44</v>
      </c>
      <c r="J162">
        <v>6.03</v>
      </c>
      <c r="K162">
        <v>3.9790000000000001</v>
      </c>
      <c r="L162" t="s">
        <v>57</v>
      </c>
      <c r="M162">
        <v>0.298425</v>
      </c>
      <c r="N162">
        <v>0.15916</v>
      </c>
      <c r="O162" t="s">
        <v>57</v>
      </c>
      <c r="P162">
        <v>1</v>
      </c>
      <c r="Q162" t="s">
        <v>57</v>
      </c>
      <c r="R162" t="s">
        <v>57</v>
      </c>
      <c r="S162" t="s">
        <v>56</v>
      </c>
      <c r="T162" t="s">
        <v>56</v>
      </c>
      <c r="U162" t="s">
        <v>57</v>
      </c>
      <c r="V162" t="s">
        <v>57</v>
      </c>
      <c r="W162" t="s">
        <v>62</v>
      </c>
      <c r="X162" t="s">
        <v>62</v>
      </c>
      <c r="Y162" t="s">
        <v>62</v>
      </c>
      <c r="Z162" t="s">
        <v>44</v>
      </c>
      <c r="AA162" t="s">
        <v>44</v>
      </c>
      <c r="AB162">
        <v>1.9219999999999999</v>
      </c>
      <c r="AC162">
        <v>1.9219999999999999</v>
      </c>
      <c r="AD162" t="s">
        <v>46</v>
      </c>
      <c r="AE162" t="s">
        <v>56</v>
      </c>
      <c r="AF162" t="s">
        <v>47</v>
      </c>
      <c r="AG162" t="s">
        <v>57</v>
      </c>
      <c r="AH162" t="s">
        <v>48</v>
      </c>
      <c r="AI162" t="s">
        <v>49</v>
      </c>
      <c r="AJ162" t="s">
        <v>50</v>
      </c>
      <c r="AK162" t="s">
        <v>51</v>
      </c>
      <c r="AL162" t="s">
        <v>44</v>
      </c>
      <c r="AM162" t="s">
        <v>44</v>
      </c>
      <c r="AN162" t="s">
        <v>44</v>
      </c>
      <c r="AO162" t="s">
        <v>52</v>
      </c>
      <c r="AP162" t="s">
        <v>53</v>
      </c>
      <c r="AQ162" t="s">
        <v>54</v>
      </c>
    </row>
    <row r="163" spans="1:43" x14ac:dyDescent="0.25">
      <c r="A163" t="s">
        <v>333</v>
      </c>
      <c r="B163" t="s">
        <v>334</v>
      </c>
      <c r="C163">
        <v>32</v>
      </c>
      <c r="D163">
        <v>175</v>
      </c>
      <c r="E163">
        <v>0.16600000000000001</v>
      </c>
      <c r="F163">
        <v>1000000</v>
      </c>
      <c r="G163">
        <v>4.5499999999999996E-6</v>
      </c>
      <c r="H163">
        <v>0.15</v>
      </c>
      <c r="I163">
        <v>1.6399999999999999E-5</v>
      </c>
      <c r="J163">
        <v>0.17</v>
      </c>
      <c r="K163">
        <v>0.18</v>
      </c>
      <c r="L163">
        <v>2E-3</v>
      </c>
      <c r="M163">
        <v>0.01</v>
      </c>
      <c r="N163">
        <v>7.0000000000000001E-3</v>
      </c>
      <c r="O163">
        <v>36.1</v>
      </c>
      <c r="P163">
        <v>1</v>
      </c>
      <c r="Q163">
        <v>6.39</v>
      </c>
      <c r="R163">
        <v>3650</v>
      </c>
      <c r="S163">
        <v>8.3800000000000008</v>
      </c>
      <c r="T163">
        <v>8.3800000000000008</v>
      </c>
      <c r="U163">
        <v>1.8600000000000001E-3</v>
      </c>
      <c r="V163">
        <v>1.8600000000000001E-3</v>
      </c>
      <c r="W163">
        <v>1.9099999999999999E-6</v>
      </c>
      <c r="X163">
        <v>9.0699999999999996E-6</v>
      </c>
      <c r="Y163">
        <v>1.1E-5</v>
      </c>
      <c r="Z163">
        <v>1.55E-6</v>
      </c>
      <c r="AA163" t="s">
        <v>44</v>
      </c>
      <c r="AB163">
        <v>3.16</v>
      </c>
      <c r="AC163" t="s">
        <v>45</v>
      </c>
      <c r="AD163" t="s">
        <v>46</v>
      </c>
      <c r="AE163">
        <v>2</v>
      </c>
      <c r="AF163" t="s">
        <v>47</v>
      </c>
      <c r="AG163">
        <v>20</v>
      </c>
      <c r="AH163" t="s">
        <v>48</v>
      </c>
      <c r="AI163" t="s">
        <v>49</v>
      </c>
      <c r="AJ163" t="s">
        <v>50</v>
      </c>
      <c r="AK163" t="s">
        <v>51</v>
      </c>
      <c r="AL163">
        <v>8.3800000000000008</v>
      </c>
      <c r="AM163">
        <v>3.8199999999999998E-6</v>
      </c>
      <c r="AN163">
        <v>6.6800000000000004E-6</v>
      </c>
      <c r="AO163" t="s">
        <v>52</v>
      </c>
      <c r="AP163" t="s">
        <v>53</v>
      </c>
      <c r="AQ163" t="s">
        <v>54</v>
      </c>
    </row>
    <row r="164" spans="1:43" x14ac:dyDescent="0.25">
      <c r="A164" t="s">
        <v>669</v>
      </c>
      <c r="B164" t="s">
        <v>514</v>
      </c>
      <c r="C164">
        <v>164.2</v>
      </c>
      <c r="D164">
        <v>298.95</v>
      </c>
      <c r="E164">
        <v>4.5499999999999996E-6</v>
      </c>
      <c r="F164">
        <v>1000000</v>
      </c>
      <c r="G164">
        <v>9.9999999999999994E-12</v>
      </c>
      <c r="J164">
        <v>3.4700000000000002E-2</v>
      </c>
      <c r="K164">
        <v>10</v>
      </c>
      <c r="M164">
        <v>0.75</v>
      </c>
      <c r="N164">
        <v>0.4</v>
      </c>
      <c r="P164">
        <v>0.99978</v>
      </c>
      <c r="AB164">
        <v>0.89390000000000003</v>
      </c>
      <c r="AC164">
        <v>0.89390000000000003</v>
      </c>
      <c r="AQ164" t="s">
        <v>54</v>
      </c>
    </row>
    <row r="165" spans="1:43" x14ac:dyDescent="0.25">
      <c r="A165" t="s">
        <v>695</v>
      </c>
      <c r="B165" t="s">
        <v>335</v>
      </c>
      <c r="C165">
        <v>94.9</v>
      </c>
      <c r="D165">
        <v>179</v>
      </c>
      <c r="E165">
        <v>2.13</v>
      </c>
      <c r="F165">
        <v>15200</v>
      </c>
      <c r="G165">
        <v>6.2399999999999999E-3</v>
      </c>
      <c r="H165">
        <v>7.2800000000000004E-2</v>
      </c>
      <c r="I165">
        <v>1.2099999999999999E-5</v>
      </c>
      <c r="J165">
        <v>15.5</v>
      </c>
      <c r="K165">
        <v>9</v>
      </c>
      <c r="L165">
        <v>0.09</v>
      </c>
      <c r="M165">
        <v>0.67500000000000004</v>
      </c>
      <c r="N165">
        <v>0.36</v>
      </c>
      <c r="O165">
        <v>9.0299999999999994</v>
      </c>
      <c r="P165">
        <v>1</v>
      </c>
      <c r="Q165">
        <v>8.2200000000000006</v>
      </c>
      <c r="R165">
        <v>91.4</v>
      </c>
      <c r="S165">
        <v>7.95</v>
      </c>
      <c r="T165">
        <v>7.95</v>
      </c>
      <c r="U165">
        <v>1.66E-4</v>
      </c>
      <c r="V165">
        <v>1.66E-4</v>
      </c>
      <c r="W165">
        <v>1.4999999999999999E-4</v>
      </c>
      <c r="X165">
        <v>7.1100000000000004E-4</v>
      </c>
      <c r="Y165">
        <v>8.61E-4</v>
      </c>
      <c r="Z165">
        <v>1.03E-4</v>
      </c>
      <c r="AA165" t="s">
        <v>44</v>
      </c>
      <c r="AB165">
        <v>1.65</v>
      </c>
      <c r="AC165" t="s">
        <v>45</v>
      </c>
      <c r="AD165" t="s">
        <v>46</v>
      </c>
      <c r="AE165">
        <v>1.4E-3</v>
      </c>
      <c r="AF165" t="s">
        <v>47</v>
      </c>
      <c r="AG165">
        <v>5.0000000000000001E-3</v>
      </c>
      <c r="AH165" t="s">
        <v>48</v>
      </c>
      <c r="AI165" t="s">
        <v>49</v>
      </c>
      <c r="AJ165" t="s">
        <v>50</v>
      </c>
      <c r="AK165" t="s">
        <v>51</v>
      </c>
      <c r="AL165">
        <v>7.95</v>
      </c>
      <c r="AM165">
        <v>2.99E-4</v>
      </c>
      <c r="AN165">
        <v>5.2400000000000005E-4</v>
      </c>
      <c r="AO165" t="s">
        <v>52</v>
      </c>
      <c r="AP165" t="s">
        <v>53</v>
      </c>
      <c r="AQ165" t="s">
        <v>54</v>
      </c>
    </row>
    <row r="166" spans="1:43" x14ac:dyDescent="0.25">
      <c r="A166" t="s">
        <v>738</v>
      </c>
      <c r="B166" t="s">
        <v>739</v>
      </c>
      <c r="C166">
        <v>118</v>
      </c>
      <c r="D166">
        <v>203</v>
      </c>
      <c r="E166">
        <v>2.63E-3</v>
      </c>
      <c r="F166">
        <v>1000000</v>
      </c>
      <c r="G166">
        <v>3.1100000000000002E-7</v>
      </c>
      <c r="H166">
        <v>6.5799999999999997E-2</v>
      </c>
      <c r="I166">
        <v>8.7099999999999996E-6</v>
      </c>
      <c r="J166">
        <v>1.1599999999999999</v>
      </c>
      <c r="K166">
        <v>2.4900000000000002</v>
      </c>
      <c r="L166">
        <v>2.4899999999999999E-2</v>
      </c>
      <c r="M166">
        <v>0.187</v>
      </c>
      <c r="N166">
        <v>9.9599999999999994E-2</v>
      </c>
      <c r="O166">
        <v>6.96</v>
      </c>
      <c r="P166">
        <v>1</v>
      </c>
      <c r="Q166">
        <v>6.59</v>
      </c>
      <c r="R166">
        <v>264</v>
      </c>
      <c r="S166">
        <v>33.9</v>
      </c>
      <c r="T166">
        <v>33.9</v>
      </c>
      <c r="U166">
        <v>0.23</v>
      </c>
      <c r="V166">
        <v>0.23</v>
      </c>
      <c r="W166">
        <v>1.4100000000000001E-5</v>
      </c>
      <c r="X166">
        <v>6.6799999999999997E-5</v>
      </c>
      <c r="Y166">
        <v>8.0900000000000001E-5</v>
      </c>
      <c r="Z166" t="s">
        <v>44</v>
      </c>
      <c r="AA166" t="s">
        <v>44</v>
      </c>
      <c r="AB166">
        <v>3.16</v>
      </c>
      <c r="AC166">
        <v>0.92800000000000005</v>
      </c>
      <c r="AD166" t="s">
        <v>46</v>
      </c>
      <c r="AE166">
        <v>8.0000000000000002E-3</v>
      </c>
      <c r="AF166" t="s">
        <v>47</v>
      </c>
      <c r="AG166">
        <v>0.09</v>
      </c>
      <c r="AH166" t="s">
        <v>48</v>
      </c>
      <c r="AI166" t="s">
        <v>49</v>
      </c>
      <c r="AJ166" t="s">
        <v>50</v>
      </c>
      <c r="AK166" t="s">
        <v>51</v>
      </c>
      <c r="AL166">
        <v>38.700000000000003</v>
      </c>
      <c r="AM166">
        <v>2.8099999999999999E-5</v>
      </c>
      <c r="AN166">
        <v>4.9200000000000003E-5</v>
      </c>
      <c r="AO166" t="s">
        <v>52</v>
      </c>
      <c r="AP166" t="s">
        <v>53</v>
      </c>
      <c r="AQ166" t="s">
        <v>54</v>
      </c>
    </row>
    <row r="167" spans="1:43" x14ac:dyDescent="0.25">
      <c r="A167" t="s">
        <v>338</v>
      </c>
      <c r="B167" t="s">
        <v>339</v>
      </c>
      <c r="C167">
        <v>118</v>
      </c>
      <c r="D167">
        <v>203</v>
      </c>
      <c r="E167">
        <v>2.63E-3</v>
      </c>
      <c r="F167">
        <v>1000000</v>
      </c>
      <c r="G167">
        <v>3.1100000000000002E-7</v>
      </c>
      <c r="H167">
        <v>6.5799999999999997E-2</v>
      </c>
      <c r="I167">
        <v>8.7099999999999996E-6</v>
      </c>
      <c r="J167">
        <v>1.1599999999999999</v>
      </c>
      <c r="K167">
        <v>2.4900000000000002</v>
      </c>
      <c r="L167">
        <v>2.4899999999999999E-2</v>
      </c>
      <c r="M167">
        <v>0.187</v>
      </c>
      <c r="N167">
        <v>9.9599999999999994E-2</v>
      </c>
      <c r="O167">
        <v>6.96</v>
      </c>
      <c r="P167">
        <v>1</v>
      </c>
      <c r="Q167">
        <v>6.59</v>
      </c>
      <c r="R167">
        <v>264</v>
      </c>
      <c r="S167">
        <v>33.9</v>
      </c>
      <c r="T167">
        <v>33.9</v>
      </c>
      <c r="U167">
        <v>0.23</v>
      </c>
      <c r="V167">
        <v>0.23</v>
      </c>
      <c r="W167">
        <v>1.4100000000000001E-5</v>
      </c>
      <c r="X167">
        <v>6.6799999999999997E-5</v>
      </c>
      <c r="Y167">
        <v>8.0900000000000001E-5</v>
      </c>
      <c r="Z167" t="s">
        <v>44</v>
      </c>
      <c r="AA167" t="s">
        <v>44</v>
      </c>
      <c r="AB167">
        <v>3.16</v>
      </c>
      <c r="AC167">
        <v>0.92800000000000005</v>
      </c>
      <c r="AD167" t="s">
        <v>46</v>
      </c>
      <c r="AE167">
        <v>8.0000000000000002E-3</v>
      </c>
      <c r="AF167" t="s">
        <v>47</v>
      </c>
      <c r="AG167">
        <v>0.09</v>
      </c>
      <c r="AH167" t="s">
        <v>48</v>
      </c>
      <c r="AI167" t="s">
        <v>49</v>
      </c>
      <c r="AJ167" t="s">
        <v>50</v>
      </c>
      <c r="AK167" t="s">
        <v>51</v>
      </c>
      <c r="AL167">
        <v>38.700000000000003</v>
      </c>
      <c r="AM167">
        <v>2.8099999999999999E-5</v>
      </c>
      <c r="AN167">
        <v>4.9200000000000003E-5</v>
      </c>
      <c r="AO167" t="s">
        <v>52</v>
      </c>
      <c r="AP167" t="s">
        <v>53</v>
      </c>
      <c r="AQ167" t="s">
        <v>54</v>
      </c>
    </row>
    <row r="168" spans="1:43" x14ac:dyDescent="0.25">
      <c r="A168" t="s">
        <v>694</v>
      </c>
      <c r="B168" t="s">
        <v>340</v>
      </c>
      <c r="C168">
        <v>50.5</v>
      </c>
      <c r="D168">
        <v>175</v>
      </c>
      <c r="E168">
        <v>5.66</v>
      </c>
      <c r="F168">
        <v>5330</v>
      </c>
      <c r="G168">
        <v>8.8199999999999997E-3</v>
      </c>
      <c r="H168">
        <v>0.126</v>
      </c>
      <c r="I168">
        <v>6.4999999999999996E-6</v>
      </c>
      <c r="J168">
        <v>8.1300000000000008</v>
      </c>
      <c r="K168">
        <v>6.3</v>
      </c>
      <c r="L168">
        <v>0.06</v>
      </c>
      <c r="M168">
        <v>0.47</v>
      </c>
      <c r="N168">
        <v>0.25</v>
      </c>
      <c r="O168">
        <v>9.0299999999999994</v>
      </c>
      <c r="P168">
        <v>1</v>
      </c>
      <c r="Q168">
        <v>7.47</v>
      </c>
      <c r="R168">
        <v>119</v>
      </c>
      <c r="S168">
        <v>8.3800000000000008</v>
      </c>
      <c r="T168">
        <v>8.3800000000000008</v>
      </c>
      <c r="U168">
        <v>5.8999999999999998E-5</v>
      </c>
      <c r="V168">
        <v>5.8999999999999998E-5</v>
      </c>
      <c r="W168">
        <v>8.5900000000000001E-5</v>
      </c>
      <c r="X168">
        <v>4.08E-4</v>
      </c>
      <c r="Y168">
        <v>4.9399999999999997E-4</v>
      </c>
      <c r="Z168">
        <v>6.3499999999999999E-5</v>
      </c>
      <c r="AA168" t="s">
        <v>44</v>
      </c>
      <c r="AB168">
        <v>3.16</v>
      </c>
      <c r="AC168" t="s">
        <v>45</v>
      </c>
      <c r="AD168" t="s">
        <v>46</v>
      </c>
      <c r="AE168" t="s">
        <v>56</v>
      </c>
      <c r="AF168" t="s">
        <v>47</v>
      </c>
      <c r="AG168">
        <v>0.09</v>
      </c>
      <c r="AH168" t="s">
        <v>48</v>
      </c>
      <c r="AI168" t="s">
        <v>49</v>
      </c>
      <c r="AJ168" t="s">
        <v>50</v>
      </c>
      <c r="AK168" t="s">
        <v>51</v>
      </c>
      <c r="AL168">
        <v>8.3800000000000008</v>
      </c>
      <c r="AM168">
        <v>1.7200000000000001E-4</v>
      </c>
      <c r="AN168">
        <v>3.01E-4</v>
      </c>
      <c r="AO168" t="s">
        <v>52</v>
      </c>
      <c r="AP168" t="s">
        <v>53</v>
      </c>
      <c r="AQ168" t="s">
        <v>54</v>
      </c>
    </row>
    <row r="169" spans="1:43" x14ac:dyDescent="0.25">
      <c r="A169" t="s">
        <v>566</v>
      </c>
      <c r="B169" t="s">
        <v>80</v>
      </c>
      <c r="C169">
        <v>242</v>
      </c>
      <c r="D169">
        <v>423</v>
      </c>
      <c r="E169">
        <v>3.3299999999999999E-10</v>
      </c>
      <c r="F169">
        <v>6.2E-2</v>
      </c>
      <c r="G169">
        <v>1.3E-6</v>
      </c>
      <c r="H169">
        <v>4.8899999999999999E-2</v>
      </c>
      <c r="I169">
        <v>5.66E-6</v>
      </c>
      <c r="J169">
        <v>1170000</v>
      </c>
      <c r="K169">
        <v>927000</v>
      </c>
      <c r="L169">
        <v>9270</v>
      </c>
      <c r="M169">
        <v>69500</v>
      </c>
      <c r="N169">
        <v>37100</v>
      </c>
      <c r="O169">
        <v>2.11</v>
      </c>
      <c r="P169">
        <v>0.35899999999999999</v>
      </c>
      <c r="Q169">
        <v>11000</v>
      </c>
      <c r="R169">
        <v>1.18</v>
      </c>
      <c r="S169">
        <v>1.2E-2</v>
      </c>
      <c r="T169">
        <v>1.2E-2</v>
      </c>
      <c r="U169">
        <v>125000</v>
      </c>
      <c r="V169">
        <v>125000</v>
      </c>
      <c r="W169">
        <v>7.7499999999999999E-3</v>
      </c>
      <c r="X169">
        <v>3.6799999999999999E-2</v>
      </c>
      <c r="Y169">
        <v>4.4600000000000001E-2</v>
      </c>
      <c r="Z169">
        <v>4.3600000000000003</v>
      </c>
      <c r="AA169" t="s">
        <v>44</v>
      </c>
      <c r="AB169">
        <v>9420</v>
      </c>
      <c r="AC169">
        <v>177000</v>
      </c>
      <c r="AD169" t="s">
        <v>46</v>
      </c>
      <c r="AE169" t="s">
        <v>56</v>
      </c>
      <c r="AF169">
        <v>1.7</v>
      </c>
      <c r="AG169" t="s">
        <v>57</v>
      </c>
      <c r="AH169">
        <v>1.8E-3</v>
      </c>
      <c r="AI169" t="s">
        <v>49</v>
      </c>
      <c r="AJ169" t="s">
        <v>50</v>
      </c>
      <c r="AK169" t="s">
        <v>72</v>
      </c>
      <c r="AL169">
        <v>1.2E-2</v>
      </c>
      <c r="AM169">
        <v>1.55E-2</v>
      </c>
      <c r="AN169">
        <v>2.7099999999999999E-2</v>
      </c>
      <c r="AO169" t="s">
        <v>52</v>
      </c>
      <c r="AP169" t="s">
        <v>53</v>
      </c>
      <c r="AQ169" t="s">
        <v>54</v>
      </c>
    </row>
    <row r="170" spans="1:43" x14ac:dyDescent="0.25">
      <c r="A170" t="s">
        <v>696</v>
      </c>
      <c r="B170" t="s">
        <v>341</v>
      </c>
      <c r="C170">
        <v>72.099999999999994</v>
      </c>
      <c r="D170">
        <v>186</v>
      </c>
      <c r="E170">
        <v>0.125</v>
      </c>
      <c r="F170">
        <v>220000</v>
      </c>
      <c r="G170">
        <v>5.5999999999999999E-5</v>
      </c>
      <c r="H170">
        <v>8.0799999999999997E-2</v>
      </c>
      <c r="I170">
        <v>9.7999999999999993E-6</v>
      </c>
      <c r="J170">
        <v>1.95</v>
      </c>
      <c r="K170">
        <v>1.93</v>
      </c>
      <c r="L170">
        <v>0.28999999999999998</v>
      </c>
      <c r="M170">
        <v>0.14000000000000001</v>
      </c>
      <c r="N170">
        <v>0.08</v>
      </c>
      <c r="O170">
        <v>36.1</v>
      </c>
      <c r="P170">
        <v>1</v>
      </c>
      <c r="Q170">
        <v>6.7</v>
      </c>
      <c r="R170">
        <v>23.1</v>
      </c>
      <c r="S170">
        <v>8.3800000000000008</v>
      </c>
      <c r="T170">
        <v>8.3800000000000008</v>
      </c>
      <c r="U170">
        <v>2.0300000000000001E-3</v>
      </c>
      <c r="V170">
        <v>2.0300000000000001E-3</v>
      </c>
      <c r="W170">
        <v>2.2099999999999998E-5</v>
      </c>
      <c r="X170">
        <v>1.05E-4</v>
      </c>
      <c r="Y170">
        <v>1.27E-4</v>
      </c>
      <c r="Z170">
        <v>1.5099999999999999E-5</v>
      </c>
      <c r="AA170" t="s">
        <v>44</v>
      </c>
      <c r="AB170">
        <v>3.16</v>
      </c>
      <c r="AC170" t="s">
        <v>45</v>
      </c>
      <c r="AD170" t="s">
        <v>46</v>
      </c>
      <c r="AE170">
        <v>0.6</v>
      </c>
      <c r="AF170" t="s">
        <v>47</v>
      </c>
      <c r="AG170">
        <v>5</v>
      </c>
      <c r="AH170" t="s">
        <v>48</v>
      </c>
      <c r="AI170" t="s">
        <v>49</v>
      </c>
      <c r="AJ170" t="s">
        <v>50</v>
      </c>
      <c r="AK170" t="s">
        <v>51</v>
      </c>
      <c r="AL170">
        <v>8.3800000000000008</v>
      </c>
      <c r="AM170">
        <v>4.4199999999999997E-5</v>
      </c>
      <c r="AN170">
        <v>7.7299999999999995E-5</v>
      </c>
      <c r="AO170" t="s">
        <v>52</v>
      </c>
      <c r="AP170" t="s">
        <v>53</v>
      </c>
      <c r="AQ170" t="s">
        <v>54</v>
      </c>
    </row>
    <row r="171" spans="1:43" x14ac:dyDescent="0.25">
      <c r="A171" t="s">
        <v>617</v>
      </c>
      <c r="B171" t="s">
        <v>343</v>
      </c>
      <c r="C171">
        <v>46.1</v>
      </c>
      <c r="D171">
        <v>221</v>
      </c>
      <c r="E171">
        <v>6.5799999999999997E-2</v>
      </c>
      <c r="F171">
        <v>1000000</v>
      </c>
      <c r="G171">
        <v>3.0299999999999998E-6</v>
      </c>
      <c r="H171">
        <v>0.14799999999999999</v>
      </c>
      <c r="I171">
        <v>1.7099999999999999E-5</v>
      </c>
      <c r="J171">
        <v>8.9099999999999999E-2</v>
      </c>
      <c r="K171">
        <v>9.2899999999999996E-2</v>
      </c>
      <c r="L171">
        <v>9.2900000000000003E-4</v>
      </c>
      <c r="M171">
        <v>6.9699999999999996E-3</v>
      </c>
      <c r="N171">
        <v>3.7200000000000002E-3</v>
      </c>
      <c r="O171">
        <v>10.5</v>
      </c>
      <c r="P171">
        <v>1</v>
      </c>
      <c r="Q171">
        <v>6.39</v>
      </c>
      <c r="R171">
        <v>6880</v>
      </c>
      <c r="S171">
        <v>157</v>
      </c>
      <c r="T171">
        <v>157</v>
      </c>
      <c r="U171">
        <v>1.4E-3</v>
      </c>
      <c r="V171">
        <v>1.4E-3</v>
      </c>
      <c r="W171">
        <v>1.9099999999999999E-6</v>
      </c>
      <c r="X171">
        <v>9.0699999999999996E-6</v>
      </c>
      <c r="Y171">
        <v>1.1E-5</v>
      </c>
      <c r="Z171" t="s">
        <v>44</v>
      </c>
      <c r="AA171" t="s">
        <v>44</v>
      </c>
      <c r="AB171">
        <v>3.16</v>
      </c>
      <c r="AC171" t="s">
        <v>45</v>
      </c>
      <c r="AD171" t="s">
        <v>46</v>
      </c>
      <c r="AE171">
        <v>1E-3</v>
      </c>
      <c r="AF171">
        <v>3</v>
      </c>
      <c r="AG171" t="s">
        <v>57</v>
      </c>
      <c r="AH171">
        <v>1E-3</v>
      </c>
      <c r="AI171" t="s">
        <v>49</v>
      </c>
      <c r="AJ171" t="s">
        <v>50</v>
      </c>
      <c r="AK171" t="s">
        <v>51</v>
      </c>
      <c r="AL171">
        <v>157</v>
      </c>
      <c r="AM171">
        <v>3.8199999999999998E-6</v>
      </c>
      <c r="AN171">
        <v>6.6800000000000004E-6</v>
      </c>
      <c r="AO171" t="s">
        <v>52</v>
      </c>
      <c r="AP171" t="s">
        <v>53</v>
      </c>
      <c r="AQ171" t="s">
        <v>54</v>
      </c>
    </row>
    <row r="172" spans="1:43" x14ac:dyDescent="0.25">
      <c r="A172" t="s">
        <v>663</v>
      </c>
      <c r="B172" t="s">
        <v>345</v>
      </c>
      <c r="C172">
        <v>142</v>
      </c>
      <c r="D172">
        <v>207</v>
      </c>
      <c r="E172">
        <v>0.53300000000000003</v>
      </c>
      <c r="F172">
        <v>13800</v>
      </c>
      <c r="G172">
        <v>5.4799999999999996E-3</v>
      </c>
      <c r="H172">
        <v>6.9800000000000001E-2</v>
      </c>
      <c r="I172">
        <v>8.0900000000000005E-6</v>
      </c>
      <c r="J172">
        <v>32.4</v>
      </c>
      <c r="K172">
        <v>18.8</v>
      </c>
      <c r="L172">
        <v>0.188</v>
      </c>
      <c r="M172">
        <v>1.41</v>
      </c>
      <c r="N172">
        <v>0.752</v>
      </c>
      <c r="O172">
        <v>9.0299999999999994</v>
      </c>
      <c r="P172">
        <v>1</v>
      </c>
      <c r="Q172">
        <v>9.69</v>
      </c>
      <c r="R172">
        <v>51.5</v>
      </c>
      <c r="S172">
        <v>5.19</v>
      </c>
      <c r="T172">
        <v>5.19</v>
      </c>
      <c r="U172">
        <v>4.1399999999999998E-4</v>
      </c>
      <c r="V172">
        <v>4.1399999999999998E-4</v>
      </c>
      <c r="W172">
        <v>2.7E-4</v>
      </c>
      <c r="X172">
        <v>1.2800000000000001E-3</v>
      </c>
      <c r="Y172">
        <v>1.5499999999999999E-3</v>
      </c>
      <c r="Z172" t="s">
        <v>44</v>
      </c>
      <c r="AA172" t="s">
        <v>44</v>
      </c>
      <c r="AB172">
        <v>2.9</v>
      </c>
      <c r="AC172" t="s">
        <v>45</v>
      </c>
      <c r="AD172" t="s">
        <v>46</v>
      </c>
      <c r="AE172" t="s">
        <v>56</v>
      </c>
      <c r="AF172">
        <v>2.9</v>
      </c>
      <c r="AG172" t="s">
        <v>57</v>
      </c>
      <c r="AH172" t="s">
        <v>48</v>
      </c>
      <c r="AI172" t="s">
        <v>49</v>
      </c>
      <c r="AJ172" t="s">
        <v>50</v>
      </c>
      <c r="AK172" t="s">
        <v>51</v>
      </c>
      <c r="AL172">
        <v>5.19</v>
      </c>
      <c r="AM172">
        <v>5.4100000000000003E-4</v>
      </c>
      <c r="AN172">
        <v>9.4600000000000001E-4</v>
      </c>
      <c r="AO172" t="s">
        <v>52</v>
      </c>
      <c r="AP172" t="s">
        <v>53</v>
      </c>
      <c r="AQ172" t="s">
        <v>54</v>
      </c>
    </row>
    <row r="173" spans="1:43" x14ac:dyDescent="0.25">
      <c r="A173" t="s">
        <v>698</v>
      </c>
      <c r="B173" t="s">
        <v>346</v>
      </c>
      <c r="C173">
        <v>100</v>
      </c>
      <c r="D173">
        <v>189</v>
      </c>
      <c r="E173">
        <v>2.63E-2</v>
      </c>
      <c r="F173">
        <v>19000</v>
      </c>
      <c r="G173">
        <v>1.3999999999999999E-4</v>
      </c>
      <c r="H173">
        <v>7.4999999999999997E-2</v>
      </c>
      <c r="I173">
        <v>7.7999999999999999E-6</v>
      </c>
      <c r="J173">
        <v>15.9</v>
      </c>
      <c r="K173">
        <v>15.1</v>
      </c>
      <c r="L173">
        <v>2.2000000000000002</v>
      </c>
      <c r="M173">
        <v>1.1299999999999999</v>
      </c>
      <c r="N173">
        <v>0.61</v>
      </c>
      <c r="O173">
        <v>36.1</v>
      </c>
      <c r="P173">
        <v>1</v>
      </c>
      <c r="Q173">
        <v>8.26</v>
      </c>
      <c r="R173">
        <v>3.75</v>
      </c>
      <c r="S173">
        <v>7.84</v>
      </c>
      <c r="T173">
        <v>7.84</v>
      </c>
      <c r="U173">
        <v>7.5700000000000003E-3</v>
      </c>
      <c r="V173">
        <v>7.5700000000000003E-3</v>
      </c>
      <c r="W173">
        <v>1.5300000000000001E-4</v>
      </c>
      <c r="X173">
        <v>7.2499999999999995E-4</v>
      </c>
      <c r="Y173">
        <v>8.7699999999999996E-4</v>
      </c>
      <c r="Z173">
        <v>1.2300000000000001E-4</v>
      </c>
      <c r="AA173" t="s">
        <v>44</v>
      </c>
      <c r="AB173">
        <v>1.67</v>
      </c>
      <c r="AC173" t="s">
        <v>45</v>
      </c>
      <c r="AD173" t="s">
        <v>46</v>
      </c>
      <c r="AF173" t="s">
        <v>47</v>
      </c>
      <c r="AG173">
        <v>3</v>
      </c>
      <c r="AH173" t="s">
        <v>48</v>
      </c>
      <c r="AI173" t="s">
        <v>49</v>
      </c>
      <c r="AJ173" t="s">
        <v>50</v>
      </c>
      <c r="AK173" t="s">
        <v>51</v>
      </c>
      <c r="AL173">
        <v>7.84</v>
      </c>
      <c r="AM173">
        <v>3.0499999999999999E-4</v>
      </c>
      <c r="AN173">
        <v>5.3399999999999997E-4</v>
      </c>
      <c r="AO173" t="s">
        <v>52</v>
      </c>
      <c r="AP173" t="s">
        <v>53</v>
      </c>
      <c r="AQ173" t="s">
        <v>54</v>
      </c>
    </row>
    <row r="174" spans="1:43" x14ac:dyDescent="0.25">
      <c r="A174" t="s">
        <v>699</v>
      </c>
      <c r="B174" t="s">
        <v>478</v>
      </c>
      <c r="C174">
        <v>57.05</v>
      </c>
      <c r="D174">
        <v>77.8</v>
      </c>
      <c r="E174">
        <v>0.57640000000000002</v>
      </c>
      <c r="F174">
        <v>29000</v>
      </c>
      <c r="G174">
        <v>9.2599999999999996E-4</v>
      </c>
      <c r="H174">
        <v>0.11700000000000001</v>
      </c>
      <c r="I174">
        <v>1.31E-5</v>
      </c>
      <c r="J174">
        <v>6.17</v>
      </c>
      <c r="K174">
        <v>39.6</v>
      </c>
      <c r="M174">
        <v>2.97</v>
      </c>
      <c r="N174">
        <v>1.5840000000000001</v>
      </c>
      <c r="P174">
        <v>1</v>
      </c>
      <c r="U174">
        <v>13.4</v>
      </c>
      <c r="V174">
        <v>13.4</v>
      </c>
      <c r="W174">
        <v>4.8699999999999999E-8</v>
      </c>
      <c r="X174">
        <v>1.54E-7</v>
      </c>
      <c r="AB174">
        <v>1.3540000000000001</v>
      </c>
      <c r="AC174">
        <v>1.3540000000000001</v>
      </c>
      <c r="AG174">
        <v>1</v>
      </c>
      <c r="AQ174" t="s">
        <v>54</v>
      </c>
    </row>
    <row r="175" spans="1:43" x14ac:dyDescent="0.25">
      <c r="A175" t="s">
        <v>700</v>
      </c>
      <c r="B175" t="s">
        <v>347</v>
      </c>
      <c r="C175">
        <v>216</v>
      </c>
      <c r="D175" t="s">
        <v>60</v>
      </c>
      <c r="E175" t="s">
        <v>57</v>
      </c>
      <c r="F175" t="s">
        <v>46</v>
      </c>
      <c r="G175">
        <v>4.7E-7</v>
      </c>
      <c r="H175">
        <v>5.2777777999999997E-2</v>
      </c>
      <c r="I175">
        <v>6.1099999999999999E-6</v>
      </c>
      <c r="J175" t="s">
        <v>57</v>
      </c>
      <c r="K175" t="s">
        <v>44</v>
      </c>
      <c r="L175">
        <v>7000</v>
      </c>
      <c r="M175">
        <v>100000</v>
      </c>
      <c r="N175">
        <v>3000</v>
      </c>
      <c r="O175" t="s">
        <v>57</v>
      </c>
      <c r="P175" t="s">
        <v>44</v>
      </c>
      <c r="Q175" t="s">
        <v>57</v>
      </c>
      <c r="R175">
        <v>9.9000000000000005E-2</v>
      </c>
      <c r="S175">
        <v>2.9399999999999999E-2</v>
      </c>
      <c r="T175" t="s">
        <v>56</v>
      </c>
      <c r="U175" t="s">
        <v>57</v>
      </c>
      <c r="V175" t="s">
        <v>57</v>
      </c>
      <c r="W175">
        <v>3.3799999999999998E-4</v>
      </c>
      <c r="X175">
        <v>7.7999999999999999E-4</v>
      </c>
      <c r="Y175">
        <v>5.0699999999999997E-6</v>
      </c>
      <c r="Z175">
        <v>3.5750000000000001E-3</v>
      </c>
      <c r="AA175" t="s">
        <v>44</v>
      </c>
      <c r="AB175" t="s">
        <v>63</v>
      </c>
      <c r="AC175">
        <v>6800000</v>
      </c>
      <c r="AD175" t="s">
        <v>46</v>
      </c>
      <c r="AE175">
        <v>1E-4</v>
      </c>
      <c r="AF175" t="s">
        <v>47</v>
      </c>
      <c r="AG175">
        <v>3.5E-4</v>
      </c>
      <c r="AH175" t="s">
        <v>48</v>
      </c>
      <c r="AI175" t="s">
        <v>49</v>
      </c>
      <c r="AJ175" t="s">
        <v>50</v>
      </c>
      <c r="AK175" t="s">
        <v>51</v>
      </c>
      <c r="AL175">
        <v>1.9E-2</v>
      </c>
      <c r="AM175">
        <v>3.5750000000000001E-3</v>
      </c>
      <c r="AN175">
        <v>3.5750000000000001E-3</v>
      </c>
      <c r="AO175" t="s">
        <v>52</v>
      </c>
      <c r="AP175" t="s">
        <v>53</v>
      </c>
      <c r="AQ175" t="s">
        <v>54</v>
      </c>
    </row>
    <row r="176" spans="1:43" x14ac:dyDescent="0.25">
      <c r="A176" t="s">
        <v>618</v>
      </c>
      <c r="B176" t="s">
        <v>348</v>
      </c>
      <c r="C176">
        <v>100</v>
      </c>
      <c r="D176">
        <v>225</v>
      </c>
      <c r="E176">
        <v>5.0700000000000002E-2</v>
      </c>
      <c r="F176">
        <v>15000</v>
      </c>
      <c r="G176">
        <v>3.3799999999999998E-4</v>
      </c>
      <c r="H176">
        <v>8.8099999999999998E-2</v>
      </c>
      <c r="I176">
        <v>1.0200000000000001E-5</v>
      </c>
      <c r="J176">
        <v>24</v>
      </c>
      <c r="K176">
        <v>22.7</v>
      </c>
      <c r="L176">
        <v>0.22700000000000001</v>
      </c>
      <c r="M176">
        <v>1.71</v>
      </c>
      <c r="N176">
        <v>0.91</v>
      </c>
      <c r="O176">
        <v>8.43</v>
      </c>
      <c r="P176">
        <v>1</v>
      </c>
      <c r="Q176">
        <v>8.99</v>
      </c>
      <c r="R176">
        <v>39.5</v>
      </c>
      <c r="S176">
        <v>6.17</v>
      </c>
      <c r="T176">
        <v>6.17</v>
      </c>
      <c r="U176">
        <v>4.8799999999999998E-3</v>
      </c>
      <c r="V176">
        <v>4.8799999999999998E-3</v>
      </c>
      <c r="W176">
        <v>2.14E-4</v>
      </c>
      <c r="X176">
        <v>1.0200000000000001E-3</v>
      </c>
      <c r="Y176">
        <v>1.23E-3</v>
      </c>
      <c r="Z176" t="s">
        <v>44</v>
      </c>
      <c r="AA176" t="s">
        <v>44</v>
      </c>
      <c r="AB176">
        <v>2.31</v>
      </c>
      <c r="AC176" t="s">
        <v>45</v>
      </c>
      <c r="AD176" t="s">
        <v>46</v>
      </c>
      <c r="AE176">
        <v>1.4</v>
      </c>
      <c r="AF176" t="s">
        <v>47</v>
      </c>
      <c r="AG176">
        <v>0.7</v>
      </c>
      <c r="AH176" t="s">
        <v>48</v>
      </c>
      <c r="AI176" t="s">
        <v>49</v>
      </c>
      <c r="AJ176" t="s">
        <v>50</v>
      </c>
      <c r="AK176" t="s">
        <v>51</v>
      </c>
      <c r="AL176">
        <v>6.17</v>
      </c>
      <c r="AM176">
        <v>4.28E-4</v>
      </c>
      <c r="AN176">
        <v>7.4899999999999999E-4</v>
      </c>
      <c r="AO176" t="s">
        <v>52</v>
      </c>
      <c r="AP176" t="s">
        <v>53</v>
      </c>
      <c r="AQ176" t="s">
        <v>54</v>
      </c>
    </row>
    <row r="177" spans="1:43" x14ac:dyDescent="0.25">
      <c r="A177" t="s">
        <v>619</v>
      </c>
      <c r="B177" t="s">
        <v>349</v>
      </c>
      <c r="C177">
        <v>88.2</v>
      </c>
      <c r="D177">
        <v>164</v>
      </c>
      <c r="E177">
        <v>0.32900000000000001</v>
      </c>
      <c r="F177">
        <v>51000</v>
      </c>
      <c r="G177">
        <v>5.6899999999999995E-4</v>
      </c>
      <c r="H177">
        <v>9.5899999999999999E-2</v>
      </c>
      <c r="I177">
        <v>1.11E-5</v>
      </c>
      <c r="J177">
        <v>8.7100000000000009</v>
      </c>
      <c r="K177">
        <v>8.4</v>
      </c>
      <c r="L177">
        <v>8.4000000000000005E-2</v>
      </c>
      <c r="M177">
        <v>0.63</v>
      </c>
      <c r="N177">
        <v>0.33600000000000002</v>
      </c>
      <c r="O177">
        <v>8.43</v>
      </c>
      <c r="P177">
        <v>1</v>
      </c>
      <c r="Q177">
        <v>7.54</v>
      </c>
      <c r="R177">
        <v>89.7</v>
      </c>
      <c r="S177">
        <v>11.1</v>
      </c>
      <c r="T177">
        <v>11.1</v>
      </c>
      <c r="U177">
        <v>9.859999999999999E-4</v>
      </c>
      <c r="V177">
        <v>9.859999999999999E-4</v>
      </c>
      <c r="W177">
        <v>9.1299999999999997E-5</v>
      </c>
      <c r="X177">
        <v>4.3399999999999998E-4</v>
      </c>
      <c r="Y177">
        <v>5.2499999999999997E-4</v>
      </c>
      <c r="Z177" t="s">
        <v>44</v>
      </c>
      <c r="AA177" t="s">
        <v>44</v>
      </c>
      <c r="AB177">
        <v>3.16</v>
      </c>
      <c r="AC177" t="s">
        <v>45</v>
      </c>
      <c r="AD177" t="s">
        <v>46</v>
      </c>
      <c r="AE177">
        <v>0.14000000000000001</v>
      </c>
      <c r="AF177">
        <v>1.8E-3</v>
      </c>
      <c r="AG177">
        <v>3</v>
      </c>
      <c r="AH177">
        <v>2.6E-7</v>
      </c>
      <c r="AI177" t="s">
        <v>49</v>
      </c>
      <c r="AJ177" t="s">
        <v>50</v>
      </c>
      <c r="AK177" t="s">
        <v>51</v>
      </c>
      <c r="AL177">
        <v>11.1</v>
      </c>
      <c r="AM177">
        <v>1.83E-4</v>
      </c>
      <c r="AN177">
        <v>3.19E-4</v>
      </c>
      <c r="AO177" t="s">
        <v>52</v>
      </c>
      <c r="AP177" t="s">
        <v>53</v>
      </c>
      <c r="AQ177" t="s">
        <v>54</v>
      </c>
    </row>
    <row r="178" spans="1:43" x14ac:dyDescent="0.25">
      <c r="A178" t="s">
        <v>701</v>
      </c>
      <c r="B178" t="s">
        <v>351</v>
      </c>
      <c r="C178">
        <v>256</v>
      </c>
      <c r="D178">
        <v>423</v>
      </c>
      <c r="E178">
        <v>2.6300000000000002E-10</v>
      </c>
      <c r="F178">
        <v>6.0999999999999999E-2</v>
      </c>
      <c r="G178">
        <v>1.11E-6</v>
      </c>
      <c r="H178">
        <v>4.7100000000000003E-2</v>
      </c>
      <c r="I178">
        <v>5.4500000000000003E-6</v>
      </c>
      <c r="J178">
        <v>631000</v>
      </c>
      <c r="K178">
        <v>503000</v>
      </c>
      <c r="L178">
        <v>5030</v>
      </c>
      <c r="M178">
        <v>37700</v>
      </c>
      <c r="N178">
        <v>20100</v>
      </c>
      <c r="O178">
        <v>0.7</v>
      </c>
      <c r="P178">
        <v>0.307</v>
      </c>
      <c r="Q178">
        <v>6790</v>
      </c>
      <c r="R178">
        <v>1.35</v>
      </c>
      <c r="S178">
        <v>1.72E-2</v>
      </c>
      <c r="T178">
        <v>1.72E-2</v>
      </c>
      <c r="U178">
        <v>76000</v>
      </c>
      <c r="V178">
        <v>76000</v>
      </c>
      <c r="W178">
        <v>8.2699999999999996E-3</v>
      </c>
      <c r="X178">
        <v>3.9300000000000002E-2</v>
      </c>
      <c r="Y178">
        <v>4.7600000000000003E-2</v>
      </c>
      <c r="Z178">
        <v>3.79</v>
      </c>
      <c r="AA178" t="s">
        <v>44</v>
      </c>
      <c r="AB178">
        <v>5830</v>
      </c>
      <c r="AC178">
        <v>133000</v>
      </c>
      <c r="AD178" t="s">
        <v>46</v>
      </c>
      <c r="AE178" t="s">
        <v>56</v>
      </c>
      <c r="AF178">
        <v>255</v>
      </c>
      <c r="AG178" t="s">
        <v>57</v>
      </c>
      <c r="AI178" t="s">
        <v>49</v>
      </c>
      <c r="AJ178" t="s">
        <v>50</v>
      </c>
      <c r="AK178" t="s">
        <v>72</v>
      </c>
      <c r="AL178">
        <v>1.72E-2</v>
      </c>
      <c r="AM178">
        <v>1.6500000000000001E-2</v>
      </c>
      <c r="AN178">
        <v>2.9000000000000001E-2</v>
      </c>
      <c r="AO178" t="s">
        <v>52</v>
      </c>
      <c r="AP178" t="s">
        <v>53</v>
      </c>
      <c r="AQ178" t="s">
        <v>54</v>
      </c>
    </row>
    <row r="179" spans="1:43" x14ac:dyDescent="0.25">
      <c r="A179" t="s">
        <v>747</v>
      </c>
      <c r="B179" t="s">
        <v>748</v>
      </c>
      <c r="C179">
        <v>266</v>
      </c>
      <c r="D179">
        <v>453</v>
      </c>
      <c r="E179">
        <v>7.2399999999999998E-12</v>
      </c>
      <c r="F179">
        <v>1.6000000000000001E-3</v>
      </c>
      <c r="G179">
        <v>1.1000000000000001E-6</v>
      </c>
      <c r="H179">
        <v>4.2999999999999997E-2</v>
      </c>
      <c r="I179">
        <v>9.0000000000000002E-6</v>
      </c>
      <c r="J179">
        <v>1000000</v>
      </c>
      <c r="K179">
        <v>969000</v>
      </c>
      <c r="L179">
        <v>160000</v>
      </c>
      <c r="M179">
        <v>72700</v>
      </c>
      <c r="N179">
        <v>38800</v>
      </c>
      <c r="O179">
        <v>0.48</v>
      </c>
      <c r="P179">
        <v>0.29399999999999998</v>
      </c>
      <c r="Q179">
        <v>9680</v>
      </c>
      <c r="R179">
        <v>6.0499999999999998E-2</v>
      </c>
      <c r="S179">
        <v>1.32E-2</v>
      </c>
      <c r="T179">
        <v>1.32E-2</v>
      </c>
      <c r="U179">
        <v>125000</v>
      </c>
      <c r="V179">
        <v>125000</v>
      </c>
      <c r="W179">
        <v>7.9100000000000004E-3</v>
      </c>
      <c r="X179">
        <v>3.7600000000000001E-2</v>
      </c>
      <c r="Y179">
        <v>4.5499999999999999E-2</v>
      </c>
      <c r="Z179">
        <v>10.7</v>
      </c>
      <c r="AA179" t="s">
        <v>44</v>
      </c>
      <c r="AB179">
        <v>961.6</v>
      </c>
      <c r="AC179">
        <v>1165</v>
      </c>
      <c r="AD179" t="s">
        <v>46</v>
      </c>
      <c r="AE179" t="s">
        <v>56</v>
      </c>
      <c r="AF179">
        <v>1.7</v>
      </c>
      <c r="AG179" t="s">
        <v>57</v>
      </c>
      <c r="AH179">
        <v>1.8E-3</v>
      </c>
      <c r="AI179" t="s">
        <v>49</v>
      </c>
      <c r="AJ179" t="s">
        <v>50</v>
      </c>
      <c r="AK179" t="s">
        <v>72</v>
      </c>
      <c r="AL179">
        <v>1.32E-2</v>
      </c>
      <c r="AM179">
        <v>1.5800000000000002E-2</v>
      </c>
      <c r="AN179">
        <v>2.7699999999999999E-2</v>
      </c>
      <c r="AO179" t="s">
        <v>52</v>
      </c>
      <c r="AP179" t="s">
        <v>53</v>
      </c>
      <c r="AQ179" t="s">
        <v>54</v>
      </c>
    </row>
    <row r="180" spans="1:43" x14ac:dyDescent="0.25">
      <c r="A180" t="s">
        <v>562</v>
      </c>
      <c r="B180" t="s">
        <v>76</v>
      </c>
      <c r="C180">
        <v>268</v>
      </c>
      <c r="D180">
        <v>443</v>
      </c>
      <c r="E180">
        <v>1.9199999999999999E-11</v>
      </c>
      <c r="F180">
        <v>2.8999999999999998E-3</v>
      </c>
      <c r="G180">
        <v>1.7799999999999999E-6</v>
      </c>
      <c r="H180">
        <v>4.5699999999999998E-2</v>
      </c>
      <c r="I180">
        <v>5.2900000000000002E-6</v>
      </c>
      <c r="J180">
        <v>2630000</v>
      </c>
      <c r="K180">
        <v>2050000</v>
      </c>
      <c r="L180">
        <v>20500</v>
      </c>
      <c r="M180">
        <v>154000</v>
      </c>
      <c r="N180">
        <v>81900</v>
      </c>
      <c r="O180">
        <v>0.25</v>
      </c>
      <c r="P180">
        <v>3.1300000000000001E-2</v>
      </c>
      <c r="Q180">
        <v>20400</v>
      </c>
      <c r="R180">
        <v>0.996</v>
      </c>
      <c r="S180">
        <v>7.5399999999999998E-3</v>
      </c>
      <c r="T180">
        <v>7.5399999999999998E-3</v>
      </c>
      <c r="U180">
        <v>216000</v>
      </c>
      <c r="V180">
        <v>216000</v>
      </c>
      <c r="W180">
        <v>6.7799999999999996E-3</v>
      </c>
      <c r="X180">
        <v>3.2199999999999999E-2</v>
      </c>
      <c r="Y180">
        <v>3.9E-2</v>
      </c>
      <c r="Z180">
        <v>4.3600000000000003</v>
      </c>
      <c r="AA180" t="s">
        <v>44</v>
      </c>
      <c r="AB180">
        <v>17500</v>
      </c>
      <c r="AC180">
        <v>497000</v>
      </c>
      <c r="AD180" t="s">
        <v>46</v>
      </c>
      <c r="AE180" t="s">
        <v>56</v>
      </c>
      <c r="AF180">
        <v>22</v>
      </c>
      <c r="AG180" t="s">
        <v>57</v>
      </c>
      <c r="AH180">
        <v>0.01</v>
      </c>
      <c r="AI180" t="s">
        <v>49</v>
      </c>
      <c r="AJ180" t="s">
        <v>50</v>
      </c>
      <c r="AK180" t="s">
        <v>72</v>
      </c>
      <c r="AL180">
        <v>7.5399999999999998E-3</v>
      </c>
      <c r="AM180">
        <v>1.3599999999999999E-2</v>
      </c>
      <c r="AN180">
        <v>2.3699999999999999E-2</v>
      </c>
      <c r="AO180" t="s">
        <v>52</v>
      </c>
      <c r="AP180" t="s">
        <v>53</v>
      </c>
      <c r="AQ180" t="s">
        <v>54</v>
      </c>
    </row>
    <row r="181" spans="1:43" x14ac:dyDescent="0.25">
      <c r="A181" t="s">
        <v>702</v>
      </c>
      <c r="B181" t="s">
        <v>352</v>
      </c>
      <c r="C181">
        <v>84.9</v>
      </c>
      <c r="D181">
        <v>178</v>
      </c>
      <c r="E181">
        <v>0.56599999999999995</v>
      </c>
      <c r="F181">
        <v>13000</v>
      </c>
      <c r="G181">
        <v>2.2000000000000001E-3</v>
      </c>
      <c r="H181">
        <v>0.10100000000000001</v>
      </c>
      <c r="I181">
        <v>1.17E-5</v>
      </c>
      <c r="J181">
        <v>20</v>
      </c>
      <c r="K181">
        <v>10</v>
      </c>
      <c r="L181">
        <v>2.4E-2</v>
      </c>
      <c r="M181">
        <v>0.75</v>
      </c>
      <c r="N181">
        <v>0.4</v>
      </c>
      <c r="O181">
        <v>9.0299999999999994</v>
      </c>
      <c r="P181">
        <v>1</v>
      </c>
      <c r="Q181">
        <v>8.64</v>
      </c>
      <c r="R181">
        <v>359</v>
      </c>
      <c r="S181">
        <v>6.86</v>
      </c>
      <c r="T181">
        <v>6.86</v>
      </c>
      <c r="U181">
        <v>6.1600000000000001E-4</v>
      </c>
      <c r="V181">
        <v>6.1600000000000001E-4</v>
      </c>
      <c r="W181">
        <v>1.84E-4</v>
      </c>
      <c r="X181">
        <v>8.7600000000000004E-4</v>
      </c>
      <c r="Y181">
        <v>1.06E-3</v>
      </c>
      <c r="Z181">
        <v>1.4300000000000001E-4</v>
      </c>
      <c r="AA181" t="s">
        <v>44</v>
      </c>
      <c r="AB181">
        <v>2</v>
      </c>
      <c r="AC181" t="s">
        <v>45</v>
      </c>
      <c r="AD181" t="s">
        <v>46</v>
      </c>
      <c r="AE181">
        <v>6.0000000000000001E-3</v>
      </c>
      <c r="AF181">
        <v>2E-3</v>
      </c>
      <c r="AG181">
        <v>0.6</v>
      </c>
      <c r="AH181">
        <v>4.7E-7</v>
      </c>
      <c r="AI181" t="s">
        <v>49</v>
      </c>
      <c r="AJ181" t="s">
        <v>50</v>
      </c>
      <c r="AK181" t="s">
        <v>51</v>
      </c>
      <c r="AL181">
        <v>6.86</v>
      </c>
      <c r="AM181">
        <v>3.6900000000000002E-4</v>
      </c>
      <c r="AN181">
        <v>6.4499999999999996E-4</v>
      </c>
      <c r="AO181" t="s">
        <v>52</v>
      </c>
      <c r="AP181" t="s">
        <v>53</v>
      </c>
      <c r="AQ181" t="s">
        <v>54</v>
      </c>
    </row>
    <row r="182" spans="1:43" x14ac:dyDescent="0.25">
      <c r="A182" t="s">
        <v>564</v>
      </c>
      <c r="B182" t="s">
        <v>77</v>
      </c>
      <c r="C182">
        <v>198.268</v>
      </c>
      <c r="D182">
        <v>365.65</v>
      </c>
      <c r="E182">
        <v>3.9085200000000004E-3</v>
      </c>
      <c r="F182">
        <v>1000</v>
      </c>
      <c r="G182">
        <v>7.7499999999999997E-4</v>
      </c>
      <c r="H182">
        <v>5.5899999999999998E-2</v>
      </c>
      <c r="I182">
        <v>6.4699999999999999E-6</v>
      </c>
      <c r="J182">
        <v>38.904514499999998</v>
      </c>
      <c r="K182">
        <v>36.580530549999999</v>
      </c>
      <c r="L182">
        <v>0.36580530500000003</v>
      </c>
      <c r="M182">
        <v>2.7435397909999999</v>
      </c>
      <c r="N182">
        <v>1.463221222</v>
      </c>
      <c r="O182">
        <v>3.3725999999999998</v>
      </c>
      <c r="P182">
        <v>0.99999984799999997</v>
      </c>
      <c r="Q182">
        <v>10.201339949999999</v>
      </c>
      <c r="R182">
        <v>27.88734827</v>
      </c>
      <c r="S182">
        <v>4.666378903</v>
      </c>
      <c r="T182">
        <v>4.666378903</v>
      </c>
      <c r="U182">
        <v>3.5603330000000002E-3</v>
      </c>
      <c r="V182">
        <v>3.5603330000000002E-3</v>
      </c>
      <c r="W182">
        <v>3.1100000000000002E-4</v>
      </c>
      <c r="X182">
        <v>1.48E-3</v>
      </c>
      <c r="Y182">
        <v>1.7899999999999999E-3</v>
      </c>
      <c r="Z182" t="s">
        <v>44</v>
      </c>
      <c r="AA182" t="s">
        <v>44</v>
      </c>
      <c r="AB182">
        <v>3.3442597350000001</v>
      </c>
      <c r="AC182" t="s">
        <v>45</v>
      </c>
      <c r="AD182" t="s">
        <v>46</v>
      </c>
      <c r="AE182">
        <v>0.08</v>
      </c>
      <c r="AF182">
        <v>1.6</v>
      </c>
      <c r="AG182">
        <v>0.02</v>
      </c>
      <c r="AH182">
        <v>4.6000000000000001E-4</v>
      </c>
      <c r="AI182" t="s">
        <v>49</v>
      </c>
      <c r="AJ182" t="s">
        <v>50</v>
      </c>
      <c r="AK182" t="s">
        <v>51</v>
      </c>
      <c r="AL182">
        <v>4.666378903</v>
      </c>
      <c r="AM182">
        <v>6.2200000000000005E-4</v>
      </c>
      <c r="AN182">
        <v>1.09E-3</v>
      </c>
      <c r="AO182" t="s">
        <v>52</v>
      </c>
      <c r="AP182" t="s">
        <v>53</v>
      </c>
      <c r="AQ182" t="s">
        <v>54</v>
      </c>
    </row>
    <row r="183" spans="1:43" x14ac:dyDescent="0.25">
      <c r="A183" t="s">
        <v>565</v>
      </c>
      <c r="B183" t="s">
        <v>78</v>
      </c>
      <c r="C183">
        <v>250</v>
      </c>
      <c r="D183">
        <v>311</v>
      </c>
      <c r="E183">
        <v>6.58E-9</v>
      </c>
      <c r="F183">
        <v>0.82899999999999996</v>
      </c>
      <c r="G183">
        <v>1.99E-6</v>
      </c>
      <c r="H183">
        <v>4.7800000000000002E-2</v>
      </c>
      <c r="I183">
        <v>5.5400000000000003E-6</v>
      </c>
      <c r="J183">
        <v>166000</v>
      </c>
      <c r="K183">
        <v>135000</v>
      </c>
      <c r="L183">
        <v>1350</v>
      </c>
      <c r="M183">
        <v>10200</v>
      </c>
      <c r="N183">
        <v>5420</v>
      </c>
      <c r="O183">
        <v>3.37</v>
      </c>
      <c r="P183">
        <v>0.91700000000000004</v>
      </c>
      <c r="Q183">
        <v>2430</v>
      </c>
      <c r="R183">
        <v>1.79</v>
      </c>
      <c r="S183">
        <v>3.7199999999999997E-2</v>
      </c>
      <c r="T183">
        <v>3.7199999999999997E-2</v>
      </c>
      <c r="U183">
        <v>10200</v>
      </c>
      <c r="V183">
        <v>10200</v>
      </c>
      <c r="W183">
        <v>8.5100000000000002E-3</v>
      </c>
      <c r="X183">
        <v>4.0399999999999998E-2</v>
      </c>
      <c r="Y183">
        <v>4.8899999999999999E-2</v>
      </c>
      <c r="Z183" t="s">
        <v>44</v>
      </c>
      <c r="AA183" t="s">
        <v>44</v>
      </c>
      <c r="AB183">
        <v>2090</v>
      </c>
      <c r="AC183">
        <v>10400</v>
      </c>
      <c r="AD183" t="s">
        <v>46</v>
      </c>
      <c r="AE183" t="s">
        <v>56</v>
      </c>
      <c r="AF183" t="s">
        <v>47</v>
      </c>
      <c r="AG183">
        <v>5.9999999999999995E-4</v>
      </c>
      <c r="AH183" t="s">
        <v>48</v>
      </c>
      <c r="AI183" t="s">
        <v>49</v>
      </c>
      <c r="AJ183" t="s">
        <v>50</v>
      </c>
      <c r="AK183" t="s">
        <v>51</v>
      </c>
      <c r="AL183">
        <v>82.7</v>
      </c>
      <c r="AM183">
        <v>1.7000000000000001E-2</v>
      </c>
      <c r="AN183">
        <v>2.98E-2</v>
      </c>
      <c r="AO183" t="s">
        <v>52</v>
      </c>
      <c r="AP183" t="s">
        <v>53</v>
      </c>
      <c r="AQ183" t="s">
        <v>54</v>
      </c>
    </row>
    <row r="184" spans="1:43" x14ac:dyDescent="0.25">
      <c r="A184" t="s">
        <v>620</v>
      </c>
      <c r="B184" t="s">
        <v>354</v>
      </c>
      <c r="C184">
        <v>142.19999999999999</v>
      </c>
      <c r="D184">
        <v>296.14999999999998</v>
      </c>
      <c r="E184">
        <v>4.8199999999999999E-5</v>
      </c>
      <c r="F184">
        <v>40.619999999999997</v>
      </c>
      <c r="G184">
        <v>5.8E-4</v>
      </c>
      <c r="H184">
        <v>5.28E-2</v>
      </c>
      <c r="I184">
        <v>7.8499999999999994E-6</v>
      </c>
      <c r="J184">
        <v>5250</v>
      </c>
      <c r="K184">
        <v>2528</v>
      </c>
      <c r="L184">
        <v>62.3</v>
      </c>
      <c r="M184">
        <v>189.6</v>
      </c>
      <c r="N184">
        <v>101.12</v>
      </c>
      <c r="O184">
        <v>8.4</v>
      </c>
      <c r="P184">
        <v>1</v>
      </c>
      <c r="Q184">
        <v>218</v>
      </c>
      <c r="R184">
        <v>3.5</v>
      </c>
      <c r="S184">
        <v>0.22800000000000001</v>
      </c>
      <c r="T184">
        <v>0.22800000000000001</v>
      </c>
      <c r="U184">
        <v>0.219</v>
      </c>
      <c r="V184">
        <v>0.219</v>
      </c>
      <c r="W184">
        <v>5.8600000000000001E-5</v>
      </c>
      <c r="X184">
        <v>1.85E-4</v>
      </c>
      <c r="Y184">
        <v>2.86E-2</v>
      </c>
      <c r="Z184">
        <v>1.8700000000000001E-2</v>
      </c>
      <c r="AA184" t="s">
        <v>44</v>
      </c>
      <c r="AB184">
        <v>498.2</v>
      </c>
      <c r="AC184">
        <v>500.2</v>
      </c>
      <c r="AD184" t="s">
        <v>46</v>
      </c>
      <c r="AE184" t="s">
        <v>56</v>
      </c>
      <c r="AF184" t="s">
        <v>47</v>
      </c>
      <c r="AG184" t="s">
        <v>57</v>
      </c>
      <c r="AH184" t="s">
        <v>48</v>
      </c>
      <c r="AI184" t="s">
        <v>49</v>
      </c>
      <c r="AJ184" t="s">
        <v>50</v>
      </c>
      <c r="AK184" t="s">
        <v>72</v>
      </c>
      <c r="AL184">
        <v>0.22800000000000001</v>
      </c>
      <c r="AM184">
        <v>9.9600000000000001E-3</v>
      </c>
      <c r="AN184">
        <v>1.7399999999999999E-2</v>
      </c>
      <c r="AO184" t="s">
        <v>52</v>
      </c>
      <c r="AP184" t="s">
        <v>53</v>
      </c>
      <c r="AQ184" t="s">
        <v>54</v>
      </c>
    </row>
    <row r="185" spans="1:43" x14ac:dyDescent="0.25">
      <c r="A185" t="s">
        <v>559</v>
      </c>
      <c r="B185" t="s">
        <v>71</v>
      </c>
      <c r="C185">
        <v>142</v>
      </c>
      <c r="D185">
        <v>307</v>
      </c>
      <c r="E185">
        <v>7.2399999999999998E-5</v>
      </c>
      <c r="F185">
        <v>24.6</v>
      </c>
      <c r="G185">
        <v>4.1899999999999999E-4</v>
      </c>
      <c r="H185">
        <v>6.9699999999999998E-2</v>
      </c>
      <c r="I185">
        <v>8.0800000000000006E-6</v>
      </c>
      <c r="J185">
        <v>7240</v>
      </c>
      <c r="K185">
        <v>6230</v>
      </c>
      <c r="L185">
        <v>62.3</v>
      </c>
      <c r="M185">
        <v>467</v>
      </c>
      <c r="N185">
        <v>249</v>
      </c>
      <c r="O185">
        <v>8.4</v>
      </c>
      <c r="P185">
        <v>1</v>
      </c>
      <c r="Q185">
        <v>218</v>
      </c>
      <c r="R185">
        <v>3.5</v>
      </c>
      <c r="S185">
        <v>0.22800000000000001</v>
      </c>
      <c r="T185">
        <v>0.22800000000000001</v>
      </c>
      <c r="U185">
        <v>1.72</v>
      </c>
      <c r="V185">
        <v>1.72</v>
      </c>
      <c r="W185">
        <v>4.9800000000000001E-3</v>
      </c>
      <c r="X185">
        <v>2.3699999999999999E-2</v>
      </c>
      <c r="Y185">
        <v>2.86E-2</v>
      </c>
      <c r="Z185">
        <v>1.8700000000000001E-2</v>
      </c>
      <c r="AA185" t="s">
        <v>44</v>
      </c>
      <c r="AB185">
        <v>187</v>
      </c>
      <c r="AC185">
        <v>500.2</v>
      </c>
      <c r="AD185" t="s">
        <v>46</v>
      </c>
      <c r="AE185">
        <v>4.0000000000000001E-3</v>
      </c>
      <c r="AF185" t="s">
        <v>47</v>
      </c>
      <c r="AG185" t="s">
        <v>57</v>
      </c>
      <c r="AH185" t="s">
        <v>48</v>
      </c>
      <c r="AI185" t="s">
        <v>49</v>
      </c>
      <c r="AJ185" t="s">
        <v>50</v>
      </c>
      <c r="AK185" t="s">
        <v>72</v>
      </c>
      <c r="AL185">
        <v>0.22800000000000001</v>
      </c>
      <c r="AM185">
        <v>9.9600000000000001E-3</v>
      </c>
      <c r="AN185">
        <v>1.7399999999999999E-2</v>
      </c>
      <c r="AO185" t="s">
        <v>52</v>
      </c>
      <c r="AP185" t="s">
        <v>53</v>
      </c>
      <c r="AQ185" t="s">
        <v>54</v>
      </c>
    </row>
    <row r="186" spans="1:43" x14ac:dyDescent="0.25">
      <c r="A186" t="s">
        <v>745</v>
      </c>
      <c r="B186" t="s">
        <v>746</v>
      </c>
      <c r="C186">
        <v>216.28</v>
      </c>
      <c r="D186">
        <v>406</v>
      </c>
      <c r="E186">
        <v>2.2999999999999999E-9</v>
      </c>
      <c r="F186">
        <v>5.8000000000000003E-2</v>
      </c>
      <c r="G186">
        <v>9.1600000000000004E-6</v>
      </c>
      <c r="J186">
        <v>300000</v>
      </c>
      <c r="K186">
        <v>89000</v>
      </c>
      <c r="P186">
        <v>0.96260000000000001</v>
      </c>
      <c r="AB186">
        <v>502.6</v>
      </c>
      <c r="AC186">
        <v>515.9</v>
      </c>
    </row>
    <row r="187" spans="1:43" x14ac:dyDescent="0.25">
      <c r="A187" t="s">
        <v>560</v>
      </c>
      <c r="B187" t="s">
        <v>73</v>
      </c>
      <c r="C187">
        <v>326</v>
      </c>
      <c r="D187">
        <v>283</v>
      </c>
      <c r="E187">
        <v>1.01E-7</v>
      </c>
      <c r="F187">
        <v>4.2999999999999997E-2</v>
      </c>
      <c r="G187">
        <v>2.8299999999999999E-4</v>
      </c>
      <c r="H187">
        <v>1E-3</v>
      </c>
      <c r="I187">
        <v>1.0000000000000001E-5</v>
      </c>
      <c r="J187">
        <v>3160000</v>
      </c>
      <c r="K187">
        <v>2450000</v>
      </c>
      <c r="L187">
        <v>24500</v>
      </c>
      <c r="M187">
        <v>184000</v>
      </c>
      <c r="N187">
        <v>98100</v>
      </c>
      <c r="O187">
        <v>0.03</v>
      </c>
      <c r="P187">
        <v>0.99199999999999999</v>
      </c>
      <c r="Q187">
        <v>23500</v>
      </c>
      <c r="R187">
        <v>0.95799999999999996</v>
      </c>
      <c r="S187">
        <v>6.7799999999999996E-3</v>
      </c>
      <c r="T187">
        <v>6.7799999999999996E-3</v>
      </c>
      <c r="U187">
        <v>1650</v>
      </c>
      <c r="V187">
        <v>1650</v>
      </c>
      <c r="W187">
        <v>6.5199999999999998E-3</v>
      </c>
      <c r="X187">
        <v>3.1E-2</v>
      </c>
      <c r="Y187">
        <v>3.7499999999999999E-2</v>
      </c>
      <c r="Z187">
        <v>12.8</v>
      </c>
      <c r="AA187" t="s">
        <v>44</v>
      </c>
      <c r="AB187">
        <v>84100</v>
      </c>
      <c r="AC187" t="s">
        <v>45</v>
      </c>
      <c r="AD187">
        <v>2</v>
      </c>
      <c r="AG187">
        <v>1.2999999999999999E-3</v>
      </c>
      <c r="AH187">
        <v>1E-4</v>
      </c>
      <c r="AI187" t="s">
        <v>49</v>
      </c>
      <c r="AJ187" t="s">
        <v>50</v>
      </c>
      <c r="AL187">
        <v>0.01</v>
      </c>
      <c r="AM187">
        <v>1.2999999999999999E-2</v>
      </c>
      <c r="AN187">
        <v>3.2000000000000001E-2</v>
      </c>
      <c r="AO187" t="s">
        <v>52</v>
      </c>
      <c r="AP187" t="s">
        <v>53</v>
      </c>
      <c r="AQ187" t="s">
        <v>54</v>
      </c>
    </row>
    <row r="188" spans="1:43" x14ac:dyDescent="0.25">
      <c r="A188" t="s">
        <v>355</v>
      </c>
      <c r="B188" t="s">
        <v>356</v>
      </c>
      <c r="C188">
        <v>128</v>
      </c>
      <c r="D188">
        <v>353</v>
      </c>
      <c r="E188">
        <v>1.12E-4</v>
      </c>
      <c r="F188">
        <v>31</v>
      </c>
      <c r="G188">
        <v>4.8000000000000001E-4</v>
      </c>
      <c r="H188">
        <v>5.8999999999999997E-2</v>
      </c>
      <c r="I188">
        <v>7.5000000000000002E-6</v>
      </c>
      <c r="J188">
        <v>2000</v>
      </c>
      <c r="K188">
        <v>1190</v>
      </c>
      <c r="L188">
        <v>300</v>
      </c>
      <c r="M188">
        <v>89.3</v>
      </c>
      <c r="N188">
        <v>47.6</v>
      </c>
      <c r="O188">
        <v>5.27</v>
      </c>
      <c r="P188">
        <v>1</v>
      </c>
      <c r="Q188">
        <v>80.7</v>
      </c>
      <c r="R188">
        <v>0.26900000000000002</v>
      </c>
      <c r="S188">
        <v>0.47899999999999998</v>
      </c>
      <c r="T188">
        <v>0.47899999999999998</v>
      </c>
      <c r="U188">
        <v>0.38100000000000001</v>
      </c>
      <c r="V188">
        <v>0.38100000000000001</v>
      </c>
      <c r="W188">
        <v>3.13E-3</v>
      </c>
      <c r="X188">
        <v>1.49E-2</v>
      </c>
      <c r="Y188">
        <v>1.7999999999999999E-2</v>
      </c>
      <c r="Z188">
        <v>1.8700000000000001E-2</v>
      </c>
      <c r="AA188" t="s">
        <v>44</v>
      </c>
      <c r="AB188">
        <v>69.3</v>
      </c>
      <c r="AC188">
        <v>69.3</v>
      </c>
      <c r="AD188" t="s">
        <v>46</v>
      </c>
      <c r="AE188">
        <v>0.02</v>
      </c>
      <c r="AG188">
        <v>8.9999999999999993E-3</v>
      </c>
      <c r="AH188">
        <v>3.4E-5</v>
      </c>
      <c r="AI188" t="s">
        <v>49</v>
      </c>
      <c r="AJ188" t="s">
        <v>50</v>
      </c>
      <c r="AK188" t="s">
        <v>72</v>
      </c>
      <c r="AL188">
        <v>0.47899999999999998</v>
      </c>
      <c r="AM188">
        <v>6.2500000000000003E-3</v>
      </c>
      <c r="AN188">
        <v>1.09E-2</v>
      </c>
      <c r="AO188" t="s">
        <v>52</v>
      </c>
      <c r="AP188" t="s">
        <v>53</v>
      </c>
      <c r="AQ188" t="s">
        <v>54</v>
      </c>
    </row>
    <row r="189" spans="1:43" x14ac:dyDescent="0.25">
      <c r="A189" t="s">
        <v>621</v>
      </c>
      <c r="B189" t="s">
        <v>357</v>
      </c>
      <c r="C189">
        <v>86.2</v>
      </c>
      <c r="D189">
        <v>178</v>
      </c>
      <c r="E189">
        <v>0.19900000000000001</v>
      </c>
      <c r="F189">
        <v>9.5</v>
      </c>
      <c r="G189">
        <v>1.8</v>
      </c>
      <c r="H189">
        <v>9.74E-2</v>
      </c>
      <c r="I189">
        <v>1.13E-5</v>
      </c>
      <c r="J189">
        <v>7940</v>
      </c>
      <c r="K189">
        <v>1470</v>
      </c>
      <c r="L189">
        <v>14.7</v>
      </c>
      <c r="M189">
        <v>110</v>
      </c>
      <c r="N189">
        <v>58.7</v>
      </c>
      <c r="O189">
        <v>14.9</v>
      </c>
      <c r="P189">
        <v>1</v>
      </c>
      <c r="Q189">
        <v>234</v>
      </c>
      <c r="R189">
        <v>15.9</v>
      </c>
      <c r="S189">
        <v>0.216</v>
      </c>
      <c r="T189">
        <v>0.216</v>
      </c>
      <c r="U189">
        <v>4.4200000000000001E-4</v>
      </c>
      <c r="V189">
        <v>4.4200000000000001E-4</v>
      </c>
      <c r="W189">
        <v>5.1200000000000004E-3</v>
      </c>
      <c r="X189">
        <v>2.4299999999999999E-2</v>
      </c>
      <c r="Y189">
        <v>2.9399999999999999E-2</v>
      </c>
      <c r="Z189" t="s">
        <v>44</v>
      </c>
      <c r="AA189" t="s">
        <v>44</v>
      </c>
      <c r="AB189">
        <v>201</v>
      </c>
      <c r="AC189" t="s">
        <v>45</v>
      </c>
      <c r="AD189" t="s">
        <v>46</v>
      </c>
      <c r="AF189" t="s">
        <v>47</v>
      </c>
      <c r="AG189">
        <v>2</v>
      </c>
      <c r="AH189" t="s">
        <v>48</v>
      </c>
      <c r="AI189" t="s">
        <v>49</v>
      </c>
      <c r="AJ189" t="s">
        <v>50</v>
      </c>
      <c r="AK189" t="s">
        <v>51</v>
      </c>
      <c r="AL189">
        <v>0.216</v>
      </c>
      <c r="AM189">
        <v>1.0200000000000001E-2</v>
      </c>
      <c r="AN189">
        <v>1.7899999999999999E-2</v>
      </c>
      <c r="AO189" t="s">
        <v>52</v>
      </c>
      <c r="AP189" t="s">
        <v>53</v>
      </c>
      <c r="AQ189" t="s">
        <v>54</v>
      </c>
    </row>
    <row r="190" spans="1:43" x14ac:dyDescent="0.25">
      <c r="A190" t="s">
        <v>622</v>
      </c>
      <c r="B190" t="s">
        <v>358</v>
      </c>
      <c r="C190">
        <v>190.29</v>
      </c>
      <c r="D190">
        <v>314.52</v>
      </c>
      <c r="E190">
        <v>2.2299999999999998E-6</v>
      </c>
      <c r="F190">
        <v>5602</v>
      </c>
      <c r="G190">
        <v>2.6799999999999998E-9</v>
      </c>
      <c r="H190" t="s">
        <v>44</v>
      </c>
      <c r="I190" t="s">
        <v>44</v>
      </c>
      <c r="J190">
        <v>18.600000000000001</v>
      </c>
      <c r="K190">
        <v>10</v>
      </c>
      <c r="L190" t="s">
        <v>57</v>
      </c>
      <c r="M190">
        <v>0.75</v>
      </c>
      <c r="N190">
        <v>0.4</v>
      </c>
      <c r="O190" t="s">
        <v>57</v>
      </c>
      <c r="P190">
        <v>0.99931199999999998</v>
      </c>
      <c r="Q190" t="s">
        <v>57</v>
      </c>
      <c r="R190" t="s">
        <v>57</v>
      </c>
      <c r="S190" t="s">
        <v>56</v>
      </c>
      <c r="T190" t="s">
        <v>56</v>
      </c>
      <c r="U190" t="s">
        <v>57</v>
      </c>
      <c r="V190" t="s">
        <v>57</v>
      </c>
      <c r="W190" t="s">
        <v>62</v>
      </c>
      <c r="X190" t="s">
        <v>62</v>
      </c>
      <c r="Y190" t="s">
        <v>62</v>
      </c>
      <c r="Z190" t="s">
        <v>44</v>
      </c>
      <c r="AA190" t="s">
        <v>44</v>
      </c>
      <c r="AB190">
        <v>4.4969999999999999</v>
      </c>
      <c r="AC190">
        <v>4.4969999999999999</v>
      </c>
      <c r="AD190" t="s">
        <v>46</v>
      </c>
      <c r="AE190" t="s">
        <v>56</v>
      </c>
      <c r="AF190" t="s">
        <v>47</v>
      </c>
      <c r="AG190" t="s">
        <v>57</v>
      </c>
      <c r="AH190" t="s">
        <v>48</v>
      </c>
      <c r="AI190" t="s">
        <v>49</v>
      </c>
      <c r="AJ190" t="s">
        <v>50</v>
      </c>
      <c r="AK190" t="s">
        <v>51</v>
      </c>
      <c r="AL190" t="s">
        <v>44</v>
      </c>
      <c r="AM190" t="s">
        <v>44</v>
      </c>
      <c r="AN190" t="s">
        <v>44</v>
      </c>
      <c r="AO190" t="s">
        <v>52</v>
      </c>
      <c r="AP190" t="s">
        <v>53</v>
      </c>
      <c r="AQ190" t="s">
        <v>54</v>
      </c>
    </row>
    <row r="191" spans="1:43" x14ac:dyDescent="0.25">
      <c r="A191" t="s">
        <v>359</v>
      </c>
      <c r="B191" t="s">
        <v>360</v>
      </c>
      <c r="C191">
        <v>58.7</v>
      </c>
      <c r="D191">
        <v>1770</v>
      </c>
      <c r="E191">
        <v>0</v>
      </c>
      <c r="F191">
        <v>422000</v>
      </c>
      <c r="G191">
        <v>2.5000000000000001E-2</v>
      </c>
      <c r="H191">
        <v>7.7200000000000005E-2</v>
      </c>
      <c r="I191">
        <v>9.5699999999999999E-6</v>
      </c>
      <c r="J191">
        <v>0.26900000000000002</v>
      </c>
      <c r="K191" t="s">
        <v>44</v>
      </c>
      <c r="L191">
        <v>65</v>
      </c>
      <c r="M191">
        <v>65</v>
      </c>
      <c r="N191">
        <v>65</v>
      </c>
      <c r="O191" t="s">
        <v>57</v>
      </c>
      <c r="P191">
        <v>0</v>
      </c>
      <c r="Q191" t="s">
        <v>57</v>
      </c>
      <c r="R191">
        <v>8.0000000000000002E-3</v>
      </c>
      <c r="S191">
        <v>9.3100000000000006E-3</v>
      </c>
      <c r="T191">
        <v>3.2000000000000001E-2</v>
      </c>
      <c r="U191" t="s">
        <v>57</v>
      </c>
      <c r="V191" t="s">
        <v>57</v>
      </c>
      <c r="W191">
        <v>1E-3</v>
      </c>
      <c r="X191">
        <v>6.0000000000000001E-3</v>
      </c>
      <c r="Y191" t="s">
        <v>62</v>
      </c>
      <c r="Z191" t="s">
        <v>44</v>
      </c>
      <c r="AA191" t="s">
        <v>44</v>
      </c>
      <c r="AB191">
        <v>78</v>
      </c>
      <c r="AC191" t="s">
        <v>45</v>
      </c>
      <c r="AD191" t="s">
        <v>46</v>
      </c>
      <c r="AE191">
        <v>0.02</v>
      </c>
      <c r="AF191" t="s">
        <v>47</v>
      </c>
      <c r="AG191">
        <v>1.4E-5</v>
      </c>
      <c r="AH191">
        <v>4.8000000000000001E-4</v>
      </c>
      <c r="AI191" t="s">
        <v>49</v>
      </c>
      <c r="AJ191" t="s">
        <v>110</v>
      </c>
      <c r="AK191" t="s">
        <v>111</v>
      </c>
      <c r="AL191">
        <v>6.0000000000000001E-3</v>
      </c>
      <c r="AM191" t="s">
        <v>44</v>
      </c>
      <c r="AN191" t="s">
        <v>44</v>
      </c>
      <c r="AO191" t="s">
        <v>52</v>
      </c>
      <c r="AP191" t="s">
        <v>53</v>
      </c>
      <c r="AQ191" t="s">
        <v>54</v>
      </c>
    </row>
    <row r="192" spans="1:43" x14ac:dyDescent="0.25">
      <c r="A192" t="s">
        <v>361</v>
      </c>
      <c r="B192" t="s">
        <v>362</v>
      </c>
      <c r="C192">
        <v>123</v>
      </c>
      <c r="D192">
        <v>279</v>
      </c>
      <c r="E192">
        <v>3.2200000000000002E-4</v>
      </c>
      <c r="F192">
        <v>2090</v>
      </c>
      <c r="G192">
        <v>2.4000000000000001E-5</v>
      </c>
      <c r="H192">
        <v>7.5999999999999998E-2</v>
      </c>
      <c r="I192">
        <v>8.6000000000000007E-6</v>
      </c>
      <c r="J192">
        <v>70.8</v>
      </c>
      <c r="K192">
        <v>119</v>
      </c>
      <c r="L192">
        <v>1.19</v>
      </c>
      <c r="M192">
        <v>8.93</v>
      </c>
      <c r="N192">
        <v>4.76</v>
      </c>
      <c r="O192">
        <v>1.28</v>
      </c>
      <c r="P192">
        <v>1</v>
      </c>
      <c r="Q192">
        <v>12.5</v>
      </c>
      <c r="R192">
        <v>10.5</v>
      </c>
      <c r="S192">
        <v>3.3</v>
      </c>
      <c r="T192">
        <v>3.3</v>
      </c>
      <c r="U192">
        <v>0.217</v>
      </c>
      <c r="V192">
        <v>0.217</v>
      </c>
      <c r="W192">
        <v>4.8200000000000001E-4</v>
      </c>
      <c r="X192">
        <v>2.2899999999999999E-3</v>
      </c>
      <c r="Y192">
        <v>2.7699999999999999E-3</v>
      </c>
      <c r="Z192">
        <v>5.4000000000000001E-4</v>
      </c>
      <c r="AA192" t="s">
        <v>44</v>
      </c>
      <c r="AB192">
        <v>5.3</v>
      </c>
      <c r="AC192" t="s">
        <v>45</v>
      </c>
      <c r="AD192" t="s">
        <v>46</v>
      </c>
      <c r="AE192">
        <v>2E-3</v>
      </c>
      <c r="AF192" t="s">
        <v>47</v>
      </c>
      <c r="AG192">
        <v>8.9999999999999993E-3</v>
      </c>
      <c r="AH192">
        <v>4.0000000000000003E-5</v>
      </c>
      <c r="AI192" t="s">
        <v>49</v>
      </c>
      <c r="AJ192" t="s">
        <v>50</v>
      </c>
      <c r="AK192" t="s">
        <v>51</v>
      </c>
      <c r="AL192">
        <v>3.3</v>
      </c>
      <c r="AM192">
        <v>9.6299999999999999E-4</v>
      </c>
      <c r="AN192">
        <v>1.6900000000000001E-3</v>
      </c>
      <c r="AO192" t="s">
        <v>52</v>
      </c>
      <c r="AP192" t="s">
        <v>53</v>
      </c>
      <c r="AQ192" t="s">
        <v>54</v>
      </c>
    </row>
    <row r="193" spans="1:43" x14ac:dyDescent="0.25">
      <c r="A193" t="s">
        <v>740</v>
      </c>
      <c r="B193" t="s">
        <v>741</v>
      </c>
      <c r="C193">
        <v>199.21</v>
      </c>
      <c r="D193">
        <v>384.29</v>
      </c>
      <c r="E193">
        <v>3.8999999999999999E-5</v>
      </c>
      <c r="F193">
        <v>9.8350000000000009</v>
      </c>
      <c r="G193">
        <v>1.5999999999999999E-6</v>
      </c>
      <c r="H193">
        <v>5.57E-2</v>
      </c>
      <c r="I193">
        <v>6.5100000000000004E-6</v>
      </c>
      <c r="J193">
        <v>3720</v>
      </c>
      <c r="K193">
        <v>7966</v>
      </c>
      <c r="P193">
        <v>1</v>
      </c>
      <c r="U193">
        <v>0.23400000000000001</v>
      </c>
      <c r="V193">
        <v>0.23400000000000001</v>
      </c>
      <c r="W193">
        <v>5.2200000000000002E-5</v>
      </c>
      <c r="X193">
        <v>1.65E-4</v>
      </c>
      <c r="AB193">
        <v>405.9</v>
      </c>
      <c r="AC193">
        <v>406.7</v>
      </c>
    </row>
    <row r="194" spans="1:43" x14ac:dyDescent="0.25">
      <c r="A194" t="s">
        <v>465</v>
      </c>
      <c r="B194" t="s">
        <v>466</v>
      </c>
      <c r="C194">
        <v>46</v>
      </c>
      <c r="D194">
        <v>262</v>
      </c>
      <c r="E194">
        <v>0.94799999999999995</v>
      </c>
      <c r="F194">
        <v>1000000</v>
      </c>
      <c r="G194" t="s">
        <v>56</v>
      </c>
      <c r="H194">
        <v>0.14799999999999999</v>
      </c>
      <c r="I194" t="s">
        <v>44</v>
      </c>
      <c r="J194" t="s">
        <v>57</v>
      </c>
      <c r="K194" t="s">
        <v>44</v>
      </c>
      <c r="L194" t="s">
        <v>57</v>
      </c>
      <c r="O194" t="s">
        <v>57</v>
      </c>
      <c r="P194">
        <v>1</v>
      </c>
      <c r="Q194" t="s">
        <v>57</v>
      </c>
      <c r="R194" t="s">
        <v>57</v>
      </c>
      <c r="S194" t="s">
        <v>56</v>
      </c>
      <c r="T194" t="s">
        <v>56</v>
      </c>
      <c r="U194" t="s">
        <v>57</v>
      </c>
      <c r="V194" t="s">
        <v>57</v>
      </c>
      <c r="W194" t="s">
        <v>62</v>
      </c>
      <c r="X194" t="s">
        <v>62</v>
      </c>
      <c r="Y194" t="s">
        <v>62</v>
      </c>
      <c r="Z194" t="s">
        <v>44</v>
      </c>
      <c r="AA194" t="s">
        <v>44</v>
      </c>
      <c r="AB194" t="s">
        <v>63</v>
      </c>
      <c r="AC194" t="s">
        <v>45</v>
      </c>
      <c r="AD194" t="s">
        <v>46</v>
      </c>
      <c r="AE194" t="s">
        <v>56</v>
      </c>
      <c r="AF194" t="s">
        <v>47</v>
      </c>
      <c r="AG194" t="s">
        <v>57</v>
      </c>
      <c r="AH194" t="s">
        <v>48</v>
      </c>
      <c r="AI194" t="s">
        <v>49</v>
      </c>
      <c r="AJ194" t="s">
        <v>110</v>
      </c>
      <c r="AK194" t="s">
        <v>51</v>
      </c>
      <c r="AL194" t="s">
        <v>44</v>
      </c>
      <c r="AM194" t="s">
        <v>44</v>
      </c>
      <c r="AN194" t="s">
        <v>44</v>
      </c>
      <c r="AO194" t="s">
        <v>52</v>
      </c>
      <c r="AP194" t="s">
        <v>53</v>
      </c>
      <c r="AQ194" t="s">
        <v>54</v>
      </c>
    </row>
    <row r="195" spans="1:43" x14ac:dyDescent="0.25">
      <c r="A195" t="s">
        <v>678</v>
      </c>
      <c r="B195" t="s">
        <v>679</v>
      </c>
      <c r="C195">
        <v>46</v>
      </c>
      <c r="D195">
        <v>262</v>
      </c>
      <c r="E195">
        <v>0.94799999999999995</v>
      </c>
      <c r="F195">
        <v>1000000</v>
      </c>
      <c r="G195" t="s">
        <v>56</v>
      </c>
      <c r="H195">
        <v>0.14799999999999999</v>
      </c>
      <c r="I195" t="s">
        <v>44</v>
      </c>
      <c r="J195" t="s">
        <v>57</v>
      </c>
      <c r="K195" t="s">
        <v>44</v>
      </c>
      <c r="L195" t="s">
        <v>57</v>
      </c>
      <c r="O195" t="s">
        <v>57</v>
      </c>
      <c r="P195">
        <v>1</v>
      </c>
      <c r="Q195" t="s">
        <v>57</v>
      </c>
      <c r="R195" t="s">
        <v>57</v>
      </c>
      <c r="S195" t="s">
        <v>56</v>
      </c>
      <c r="T195" t="s">
        <v>56</v>
      </c>
      <c r="U195" t="s">
        <v>57</v>
      </c>
      <c r="V195" t="s">
        <v>57</v>
      </c>
      <c r="W195" t="s">
        <v>62</v>
      </c>
      <c r="X195" t="s">
        <v>62</v>
      </c>
      <c r="Y195" t="s">
        <v>62</v>
      </c>
      <c r="Z195" t="s">
        <v>44</v>
      </c>
      <c r="AA195" t="s">
        <v>44</v>
      </c>
      <c r="AB195" t="s">
        <v>63</v>
      </c>
      <c r="AC195" t="s">
        <v>45</v>
      </c>
      <c r="AD195" t="s">
        <v>46</v>
      </c>
      <c r="AE195" t="s">
        <v>56</v>
      </c>
      <c r="AF195" t="s">
        <v>47</v>
      </c>
      <c r="AG195" t="s">
        <v>57</v>
      </c>
      <c r="AH195" t="s">
        <v>48</v>
      </c>
      <c r="AI195" t="s">
        <v>49</v>
      </c>
      <c r="AJ195" t="s">
        <v>110</v>
      </c>
      <c r="AK195" t="s">
        <v>51</v>
      </c>
      <c r="AL195" t="s">
        <v>44</v>
      </c>
      <c r="AM195" t="s">
        <v>44</v>
      </c>
      <c r="AN195" t="s">
        <v>44</v>
      </c>
      <c r="AO195" t="s">
        <v>52</v>
      </c>
      <c r="AP195" t="s">
        <v>53</v>
      </c>
      <c r="AQ195" t="s">
        <v>54</v>
      </c>
    </row>
    <row r="196" spans="1:43" x14ac:dyDescent="0.25">
      <c r="A196" t="s">
        <v>363</v>
      </c>
      <c r="B196" t="s">
        <v>364</v>
      </c>
      <c r="C196">
        <v>139</v>
      </c>
      <c r="D196">
        <v>387</v>
      </c>
      <c r="E196">
        <v>5.39E-8</v>
      </c>
      <c r="F196">
        <v>11600</v>
      </c>
      <c r="G196">
        <v>4.1500000000000001E-10</v>
      </c>
      <c r="H196">
        <v>1E-3</v>
      </c>
      <c r="I196">
        <v>1.0000000000000001E-5</v>
      </c>
      <c r="J196">
        <v>81.3</v>
      </c>
      <c r="K196">
        <v>75.5</v>
      </c>
      <c r="L196">
        <v>0.75</v>
      </c>
      <c r="M196">
        <v>5.66</v>
      </c>
      <c r="N196">
        <v>3.02</v>
      </c>
      <c r="O196">
        <v>209</v>
      </c>
      <c r="P196">
        <v>0.999</v>
      </c>
      <c r="Q196">
        <v>13.2</v>
      </c>
      <c r="R196">
        <v>17.5</v>
      </c>
      <c r="S196">
        <v>3.05</v>
      </c>
      <c r="T196">
        <v>3.05</v>
      </c>
      <c r="U196">
        <v>14600</v>
      </c>
      <c r="V196">
        <v>14600</v>
      </c>
      <c r="W196">
        <v>5.2999999999999998E-4</v>
      </c>
      <c r="X196">
        <v>2.5200000000000001E-3</v>
      </c>
      <c r="Y196">
        <v>3.0500000000000002E-3</v>
      </c>
      <c r="Z196">
        <v>6.4599999999999998E-4</v>
      </c>
      <c r="AA196" t="s">
        <v>44</v>
      </c>
      <c r="AB196">
        <v>5.9</v>
      </c>
      <c r="AC196" t="s">
        <v>45</v>
      </c>
      <c r="AD196" t="s">
        <v>46</v>
      </c>
      <c r="AF196" t="s">
        <v>47</v>
      </c>
      <c r="AG196" t="s">
        <v>57</v>
      </c>
      <c r="AH196" t="s">
        <v>48</v>
      </c>
      <c r="AI196" t="s">
        <v>49</v>
      </c>
      <c r="AJ196" t="s">
        <v>50</v>
      </c>
      <c r="AK196" t="s">
        <v>51</v>
      </c>
      <c r="AL196">
        <v>3.05</v>
      </c>
      <c r="AM196">
        <v>1.06E-3</v>
      </c>
      <c r="AN196">
        <v>1.8600000000000001E-3</v>
      </c>
      <c r="AO196" t="s">
        <v>52</v>
      </c>
      <c r="AP196" t="s">
        <v>53</v>
      </c>
      <c r="AQ196" t="s">
        <v>54</v>
      </c>
    </row>
    <row r="197" spans="1:43" x14ac:dyDescent="0.25">
      <c r="A197" t="s">
        <v>563</v>
      </c>
      <c r="B197" t="s">
        <v>74</v>
      </c>
      <c r="C197">
        <v>89.1</v>
      </c>
      <c r="D197">
        <v>182</v>
      </c>
      <c r="E197">
        <v>2.2599999999999999E-2</v>
      </c>
      <c r="F197">
        <v>17000</v>
      </c>
      <c r="G197">
        <v>1.1900000000000001E-4</v>
      </c>
      <c r="H197">
        <v>9.5200000000000007E-2</v>
      </c>
      <c r="I197">
        <v>1.1E-5</v>
      </c>
      <c r="J197">
        <v>8.51</v>
      </c>
      <c r="K197">
        <v>8.2100000000000009</v>
      </c>
      <c r="L197">
        <v>8.2100000000000006E-2</v>
      </c>
      <c r="M197">
        <v>0.61599999999999999</v>
      </c>
      <c r="N197">
        <v>0.32900000000000001</v>
      </c>
      <c r="O197">
        <v>8.43</v>
      </c>
      <c r="P197">
        <v>1</v>
      </c>
      <c r="Q197">
        <v>7.52</v>
      </c>
      <c r="R197">
        <v>91.5</v>
      </c>
      <c r="S197">
        <v>11.2</v>
      </c>
      <c r="T197">
        <v>11.2</v>
      </c>
      <c r="U197">
        <v>4.6100000000000004E-3</v>
      </c>
      <c r="V197">
        <v>4.6100000000000004E-3</v>
      </c>
      <c r="W197">
        <v>8.9400000000000005E-5</v>
      </c>
      <c r="X197">
        <v>4.2499999999999998E-4</v>
      </c>
      <c r="Y197">
        <v>5.1400000000000003E-4</v>
      </c>
      <c r="Z197" t="s">
        <v>44</v>
      </c>
      <c r="AA197" t="s">
        <v>44</v>
      </c>
      <c r="AB197">
        <v>3.16</v>
      </c>
      <c r="AC197" t="s">
        <v>45</v>
      </c>
      <c r="AD197" t="s">
        <v>46</v>
      </c>
      <c r="AG197">
        <v>0.02</v>
      </c>
      <c r="AH197" t="s">
        <v>48</v>
      </c>
      <c r="AI197" t="s">
        <v>49</v>
      </c>
      <c r="AJ197" t="s">
        <v>50</v>
      </c>
      <c r="AK197" t="s">
        <v>51</v>
      </c>
      <c r="AL197">
        <v>11.2</v>
      </c>
      <c r="AM197">
        <v>1.7899999999999999E-4</v>
      </c>
      <c r="AN197">
        <v>3.1300000000000002E-4</v>
      </c>
      <c r="AO197" t="s">
        <v>52</v>
      </c>
      <c r="AP197" t="s">
        <v>53</v>
      </c>
      <c r="AQ197" t="s">
        <v>54</v>
      </c>
    </row>
    <row r="198" spans="1:43" x14ac:dyDescent="0.25">
      <c r="A198" t="s">
        <v>476</v>
      </c>
      <c r="B198" t="s">
        <v>477</v>
      </c>
      <c r="C198">
        <v>247.26</v>
      </c>
      <c r="D198">
        <v>444.56</v>
      </c>
      <c r="E198">
        <v>1.09E-10</v>
      </c>
      <c r="F198">
        <v>3.6970000000000003E-2</v>
      </c>
      <c r="G198">
        <v>3.2700000000000002E-8</v>
      </c>
      <c r="J198">
        <v>56200</v>
      </c>
      <c r="K198">
        <v>86000</v>
      </c>
      <c r="M198">
        <v>6450</v>
      </c>
      <c r="N198">
        <v>3440</v>
      </c>
      <c r="P198">
        <v>0.68399999999999994</v>
      </c>
      <c r="AB198">
        <v>103.8</v>
      </c>
      <c r="AC198">
        <v>103.8</v>
      </c>
      <c r="AF198">
        <v>1.2</v>
      </c>
      <c r="AH198">
        <v>1.8000000000000001E-4</v>
      </c>
    </row>
    <row r="199" spans="1:43" x14ac:dyDescent="0.25">
      <c r="A199" t="s">
        <v>517</v>
      </c>
      <c r="B199" t="s">
        <v>365</v>
      </c>
      <c r="C199">
        <v>74.099999999999994</v>
      </c>
      <c r="D199">
        <v>234</v>
      </c>
      <c r="E199">
        <v>3.5500000000000002E-3</v>
      </c>
      <c r="F199">
        <v>1000000</v>
      </c>
      <c r="G199">
        <v>1.8199999999999999E-6</v>
      </c>
      <c r="H199">
        <v>9.8799999999999999E-2</v>
      </c>
      <c r="I199">
        <v>1.15E-5</v>
      </c>
      <c r="J199">
        <v>0.27</v>
      </c>
      <c r="K199">
        <v>22.8</v>
      </c>
      <c r="L199">
        <v>0.22800000000000001</v>
      </c>
      <c r="M199">
        <v>1.71</v>
      </c>
      <c r="N199">
        <v>0.91200000000000003</v>
      </c>
      <c r="O199">
        <v>3.8499999999999998E-4</v>
      </c>
      <c r="P199">
        <v>1</v>
      </c>
      <c r="Q199">
        <v>6.39</v>
      </c>
      <c r="R199">
        <v>28</v>
      </c>
      <c r="S199">
        <v>82.5</v>
      </c>
      <c r="T199">
        <v>82.5</v>
      </c>
      <c r="U199">
        <v>7.62E-3</v>
      </c>
      <c r="V199">
        <v>7.62E-3</v>
      </c>
      <c r="W199">
        <v>2.52E-6</v>
      </c>
      <c r="X199">
        <v>1.2E-5</v>
      </c>
      <c r="Y199">
        <v>1.45E-5</v>
      </c>
      <c r="Z199" t="s">
        <v>44</v>
      </c>
      <c r="AA199" t="s">
        <v>44</v>
      </c>
      <c r="AB199">
        <v>3.16</v>
      </c>
      <c r="AC199" t="s">
        <v>45</v>
      </c>
      <c r="AD199" t="s">
        <v>46</v>
      </c>
      <c r="AE199">
        <v>7.9999999999999996E-6</v>
      </c>
      <c r="AF199">
        <v>51</v>
      </c>
      <c r="AG199" t="s">
        <v>57</v>
      </c>
      <c r="AH199">
        <v>1.4E-2</v>
      </c>
      <c r="AI199" t="s">
        <v>49</v>
      </c>
      <c r="AJ199" t="s">
        <v>50</v>
      </c>
      <c r="AK199" t="s">
        <v>51</v>
      </c>
      <c r="AL199">
        <v>82.7</v>
      </c>
      <c r="AM199">
        <v>5.04E-6</v>
      </c>
      <c r="AN199">
        <v>8.8200000000000003E-6</v>
      </c>
      <c r="AO199" t="s">
        <v>52</v>
      </c>
      <c r="AP199" t="s">
        <v>53</v>
      </c>
      <c r="AQ199" t="s">
        <v>54</v>
      </c>
    </row>
    <row r="200" spans="1:43" x14ac:dyDescent="0.25">
      <c r="A200" t="s">
        <v>518</v>
      </c>
      <c r="B200" t="s">
        <v>519</v>
      </c>
      <c r="C200">
        <v>116.12</v>
      </c>
      <c r="D200">
        <v>289.93</v>
      </c>
      <c r="E200">
        <v>1.76E-4</v>
      </c>
      <c r="F200">
        <v>246000</v>
      </c>
      <c r="G200">
        <v>1.4100000000000001E-8</v>
      </c>
      <c r="J200">
        <v>0.371</v>
      </c>
      <c r="K200">
        <v>22.51</v>
      </c>
      <c r="M200">
        <v>1.68825</v>
      </c>
      <c r="N200">
        <v>0.90040000000000009</v>
      </c>
      <c r="P200">
        <v>1</v>
      </c>
      <c r="AB200">
        <v>0.90339999999999998</v>
      </c>
      <c r="AC200">
        <v>0.90339999999999998</v>
      </c>
    </row>
    <row r="201" spans="1:43" x14ac:dyDescent="0.25">
      <c r="A201" t="s">
        <v>520</v>
      </c>
      <c r="B201" t="s">
        <v>521</v>
      </c>
      <c r="C201">
        <v>46</v>
      </c>
      <c r="D201">
        <v>262</v>
      </c>
      <c r="E201">
        <v>0.94799999999999995</v>
      </c>
      <c r="F201">
        <v>1000000</v>
      </c>
      <c r="G201" t="s">
        <v>56</v>
      </c>
      <c r="H201">
        <v>0.14799999999999999</v>
      </c>
      <c r="M201">
        <v>0</v>
      </c>
      <c r="N201">
        <v>0</v>
      </c>
      <c r="P201">
        <v>1</v>
      </c>
    </row>
    <row r="202" spans="1:43" x14ac:dyDescent="0.25">
      <c r="A202" t="s">
        <v>366</v>
      </c>
      <c r="B202" t="s">
        <v>367</v>
      </c>
      <c r="C202">
        <v>46</v>
      </c>
      <c r="D202">
        <v>262</v>
      </c>
      <c r="E202">
        <v>0.94799999999999995</v>
      </c>
      <c r="F202">
        <v>1000000</v>
      </c>
      <c r="G202" t="s">
        <v>56</v>
      </c>
      <c r="H202">
        <v>0.14799999999999999</v>
      </c>
      <c r="I202" t="s">
        <v>44</v>
      </c>
      <c r="J202" t="s">
        <v>57</v>
      </c>
      <c r="K202" t="s">
        <v>44</v>
      </c>
      <c r="L202" t="s">
        <v>57</v>
      </c>
      <c r="O202" t="s">
        <v>57</v>
      </c>
      <c r="P202">
        <v>1</v>
      </c>
      <c r="Q202" t="s">
        <v>57</v>
      </c>
      <c r="R202" t="s">
        <v>57</v>
      </c>
      <c r="S202" t="s">
        <v>56</v>
      </c>
      <c r="T202" t="s">
        <v>56</v>
      </c>
      <c r="U202" t="s">
        <v>57</v>
      </c>
      <c r="V202" t="s">
        <v>57</v>
      </c>
      <c r="W202" t="s">
        <v>62</v>
      </c>
      <c r="X202" t="s">
        <v>62</v>
      </c>
      <c r="Y202" t="s">
        <v>62</v>
      </c>
      <c r="Z202" t="s">
        <v>44</v>
      </c>
      <c r="AA202" t="s">
        <v>44</v>
      </c>
      <c r="AB202" t="s">
        <v>63</v>
      </c>
      <c r="AC202" t="s">
        <v>45</v>
      </c>
      <c r="AD202" t="s">
        <v>46</v>
      </c>
      <c r="AE202" t="s">
        <v>56</v>
      </c>
      <c r="AF202" t="s">
        <v>47</v>
      </c>
      <c r="AG202" t="s">
        <v>57</v>
      </c>
      <c r="AH202" t="s">
        <v>48</v>
      </c>
      <c r="AI202" t="s">
        <v>49</v>
      </c>
      <c r="AJ202" t="s">
        <v>110</v>
      </c>
      <c r="AK202" t="s">
        <v>51</v>
      </c>
      <c r="AL202" t="s">
        <v>44</v>
      </c>
      <c r="AM202" t="s">
        <v>44</v>
      </c>
      <c r="AN202" t="s">
        <v>44</v>
      </c>
      <c r="AO202" t="s">
        <v>52</v>
      </c>
      <c r="AP202" t="s">
        <v>53</v>
      </c>
      <c r="AQ202" t="s">
        <v>54</v>
      </c>
    </row>
    <row r="203" spans="1:43" x14ac:dyDescent="0.25">
      <c r="A203" t="s">
        <v>677</v>
      </c>
      <c r="B203" t="s">
        <v>680</v>
      </c>
      <c r="C203">
        <v>46</v>
      </c>
      <c r="D203">
        <v>262</v>
      </c>
      <c r="E203">
        <v>0.94799999999999995</v>
      </c>
      <c r="F203">
        <v>1000000</v>
      </c>
      <c r="G203" t="s">
        <v>56</v>
      </c>
      <c r="H203">
        <v>0.14799999999999999</v>
      </c>
      <c r="I203" t="s">
        <v>44</v>
      </c>
      <c r="J203" t="s">
        <v>57</v>
      </c>
      <c r="K203" t="s">
        <v>44</v>
      </c>
      <c r="L203" t="s">
        <v>57</v>
      </c>
      <c r="O203" t="s">
        <v>57</v>
      </c>
      <c r="P203">
        <v>1</v>
      </c>
      <c r="Q203" t="s">
        <v>57</v>
      </c>
      <c r="R203" t="s">
        <v>57</v>
      </c>
      <c r="S203" t="s">
        <v>56</v>
      </c>
      <c r="T203" t="s">
        <v>56</v>
      </c>
      <c r="U203" t="s">
        <v>57</v>
      </c>
      <c r="V203" t="s">
        <v>57</v>
      </c>
      <c r="W203" t="s">
        <v>62</v>
      </c>
      <c r="X203" t="s">
        <v>62</v>
      </c>
      <c r="Y203" t="s">
        <v>62</v>
      </c>
      <c r="Z203" t="s">
        <v>44</v>
      </c>
      <c r="AA203" t="s">
        <v>44</v>
      </c>
      <c r="AB203" t="s">
        <v>63</v>
      </c>
      <c r="AC203" t="s">
        <v>45</v>
      </c>
      <c r="AD203" t="s">
        <v>46</v>
      </c>
      <c r="AE203" t="s">
        <v>56</v>
      </c>
      <c r="AF203" t="s">
        <v>47</v>
      </c>
      <c r="AG203" t="s">
        <v>57</v>
      </c>
      <c r="AH203" t="s">
        <v>48</v>
      </c>
      <c r="AI203" t="s">
        <v>49</v>
      </c>
      <c r="AJ203" t="s">
        <v>110</v>
      </c>
      <c r="AK203" t="s">
        <v>51</v>
      </c>
      <c r="AL203" t="s">
        <v>44</v>
      </c>
      <c r="AM203" t="s">
        <v>44</v>
      </c>
      <c r="AN203" t="s">
        <v>44</v>
      </c>
      <c r="AO203" t="s">
        <v>52</v>
      </c>
      <c r="AP203" t="s">
        <v>53</v>
      </c>
      <c r="AQ203" t="s">
        <v>54</v>
      </c>
    </row>
    <row r="204" spans="1:43" x14ac:dyDescent="0.25">
      <c r="A204" t="s">
        <v>368</v>
      </c>
      <c r="B204" t="s">
        <v>369</v>
      </c>
      <c r="C204">
        <v>461</v>
      </c>
      <c r="D204">
        <v>599</v>
      </c>
      <c r="E204">
        <v>1.09E-15</v>
      </c>
      <c r="F204">
        <v>7.4000000000000001E-8</v>
      </c>
      <c r="G204">
        <v>6.7499999999999997E-6</v>
      </c>
      <c r="H204">
        <v>8.6900000000000005E-2</v>
      </c>
      <c r="I204">
        <v>7.9999999999999996E-6</v>
      </c>
      <c r="J204">
        <v>158000000</v>
      </c>
      <c r="K204">
        <v>97700000</v>
      </c>
      <c r="L204">
        <v>977000</v>
      </c>
      <c r="M204">
        <v>7330000</v>
      </c>
      <c r="N204">
        <v>3910000</v>
      </c>
      <c r="O204">
        <v>0.03</v>
      </c>
      <c r="P204">
        <v>2E-3</v>
      </c>
      <c r="Q204">
        <v>479000</v>
      </c>
      <c r="R204">
        <v>0.49</v>
      </c>
      <c r="S204">
        <v>7.0500000000000001E-4</v>
      </c>
      <c r="T204">
        <v>7.0500000000000001E-4</v>
      </c>
      <c r="U204">
        <v>2360000</v>
      </c>
      <c r="V204">
        <v>2360000</v>
      </c>
      <c r="W204">
        <v>1.4400000000000001E-3</v>
      </c>
      <c r="X204">
        <v>6.8599999999999998E-3</v>
      </c>
      <c r="Y204">
        <v>8.3000000000000001E-3</v>
      </c>
      <c r="Z204">
        <v>9.9000000000000008E-3</v>
      </c>
      <c r="AA204">
        <v>0.05</v>
      </c>
      <c r="AB204">
        <v>1470</v>
      </c>
      <c r="AC204" t="s">
        <v>45</v>
      </c>
      <c r="AD204">
        <v>1E-4</v>
      </c>
      <c r="AE204">
        <v>2.3300000000000001E-6</v>
      </c>
      <c r="AF204">
        <v>420</v>
      </c>
      <c r="AG204">
        <v>1.3333299999999999E-4</v>
      </c>
      <c r="AH204">
        <v>0.12</v>
      </c>
      <c r="AI204" t="s">
        <v>49</v>
      </c>
      <c r="AJ204" t="s">
        <v>50</v>
      </c>
      <c r="AK204" t="s">
        <v>262</v>
      </c>
      <c r="AL204">
        <v>7.0500000000000001E-4</v>
      </c>
      <c r="AM204">
        <v>2.8900000000000002E-3</v>
      </c>
      <c r="AN204">
        <v>5.0499999999999998E-3</v>
      </c>
      <c r="AO204">
        <v>2.9999999999999997E-4</v>
      </c>
      <c r="AP204" t="s">
        <v>53</v>
      </c>
      <c r="AQ204" t="s">
        <v>54</v>
      </c>
    </row>
    <row r="205" spans="1:43" x14ac:dyDescent="0.25">
      <c r="A205" t="s">
        <v>370</v>
      </c>
      <c r="B205" t="s">
        <v>371</v>
      </c>
      <c r="C205">
        <v>445</v>
      </c>
      <c r="D205">
        <v>532</v>
      </c>
      <c r="E205">
        <v>4.93E-15</v>
      </c>
      <c r="F205">
        <v>1.1599999999999999E-6</v>
      </c>
      <c r="G205">
        <v>1.88E-6</v>
      </c>
      <c r="H205">
        <v>1.95E-2</v>
      </c>
      <c r="I205">
        <v>7.9999999999999996E-6</v>
      </c>
      <c r="J205">
        <v>100000000</v>
      </c>
      <c r="K205">
        <v>61700000</v>
      </c>
      <c r="L205">
        <v>617000</v>
      </c>
      <c r="M205">
        <v>4620000</v>
      </c>
      <c r="N205">
        <v>2470000</v>
      </c>
      <c r="O205">
        <v>0.03</v>
      </c>
      <c r="P205">
        <v>2E-3</v>
      </c>
      <c r="Q205">
        <v>479000</v>
      </c>
      <c r="R205">
        <v>0.77600000000000002</v>
      </c>
      <c r="S205">
        <v>9.2000000000000003E-4</v>
      </c>
      <c r="T205">
        <v>9.2000000000000003E-4</v>
      </c>
      <c r="U205">
        <v>2280000</v>
      </c>
      <c r="V205">
        <v>2280000</v>
      </c>
      <c r="W205">
        <v>1.8500000000000001E-3</v>
      </c>
      <c r="X205">
        <v>8.77E-3</v>
      </c>
      <c r="Y205">
        <v>1.06E-2</v>
      </c>
      <c r="Z205">
        <v>7.92E-3</v>
      </c>
      <c r="AA205">
        <v>0.02</v>
      </c>
      <c r="AB205">
        <v>2750</v>
      </c>
      <c r="AC205" t="s">
        <v>45</v>
      </c>
      <c r="AD205">
        <v>1E-4</v>
      </c>
      <c r="AE205">
        <v>2.3300000000000001E-6</v>
      </c>
      <c r="AF205">
        <v>420</v>
      </c>
      <c r="AG205">
        <v>1.3333299999999999E-4</v>
      </c>
      <c r="AH205">
        <v>0.12</v>
      </c>
      <c r="AI205" t="s">
        <v>49</v>
      </c>
      <c r="AJ205" t="s">
        <v>50</v>
      </c>
      <c r="AK205" t="s">
        <v>219</v>
      </c>
      <c r="AL205">
        <v>9.2000000000000003E-4</v>
      </c>
      <c r="AM205">
        <v>3.6900000000000001E-3</v>
      </c>
      <c r="AN205">
        <v>6.4599999999999996E-3</v>
      </c>
      <c r="AO205">
        <v>2.9999999999999997E-4</v>
      </c>
      <c r="AP205" t="s">
        <v>53</v>
      </c>
      <c r="AQ205" t="s">
        <v>54</v>
      </c>
    </row>
    <row r="206" spans="1:43" x14ac:dyDescent="0.25">
      <c r="A206" t="s">
        <v>372</v>
      </c>
      <c r="B206" t="s">
        <v>373</v>
      </c>
      <c r="C206">
        <v>356</v>
      </c>
      <c r="D206">
        <v>514</v>
      </c>
      <c r="E206">
        <v>5.7899999999999996E-13</v>
      </c>
      <c r="F206">
        <v>1.18E-4</v>
      </c>
      <c r="G206">
        <v>2.6000000000000001E-6</v>
      </c>
      <c r="H206">
        <v>9.8900000000000002E-2</v>
      </c>
      <c r="I206">
        <v>7.9999999999999996E-6</v>
      </c>
      <c r="J206">
        <v>4370000</v>
      </c>
      <c r="K206">
        <v>2690000</v>
      </c>
      <c r="L206">
        <v>26900</v>
      </c>
      <c r="M206">
        <v>202000</v>
      </c>
      <c r="N206">
        <v>108000</v>
      </c>
      <c r="O206">
        <v>0.03</v>
      </c>
      <c r="P206">
        <v>0.11700000000000001</v>
      </c>
      <c r="Q206">
        <v>30100</v>
      </c>
      <c r="R206">
        <v>1.1200000000000001</v>
      </c>
      <c r="S206">
        <v>5.62E-3</v>
      </c>
      <c r="T206">
        <v>5.62E-3</v>
      </c>
      <c r="U206">
        <v>239000</v>
      </c>
      <c r="V206">
        <v>239000</v>
      </c>
      <c r="W206">
        <v>6.0499999999999998E-3</v>
      </c>
      <c r="X206">
        <v>2.8799999999999999E-2</v>
      </c>
      <c r="Y206">
        <v>3.4799999999999998E-2</v>
      </c>
      <c r="Z206">
        <v>4.7100000000000003E-2</v>
      </c>
      <c r="AA206">
        <v>2.5</v>
      </c>
      <c r="AB206">
        <v>25900</v>
      </c>
      <c r="AC206" t="s">
        <v>45</v>
      </c>
      <c r="AD206">
        <v>0.09</v>
      </c>
      <c r="AE206">
        <v>6.9999999999999996E-10</v>
      </c>
      <c r="AF206">
        <v>1400000</v>
      </c>
      <c r="AG206">
        <v>4.0000000000000001E-8</v>
      </c>
      <c r="AH206">
        <v>400</v>
      </c>
      <c r="AI206" t="s">
        <v>49</v>
      </c>
      <c r="AJ206" t="s">
        <v>50</v>
      </c>
      <c r="AK206" t="s">
        <v>262</v>
      </c>
      <c r="AL206">
        <v>5.62E-3</v>
      </c>
      <c r="AM206">
        <v>1.21E-2</v>
      </c>
      <c r="AN206">
        <v>2.12E-2</v>
      </c>
      <c r="AO206">
        <v>1</v>
      </c>
      <c r="AP206" t="s">
        <v>53</v>
      </c>
      <c r="AQ206" t="s">
        <v>54</v>
      </c>
    </row>
    <row r="207" spans="1:43" x14ac:dyDescent="0.25">
      <c r="A207" t="s">
        <v>374</v>
      </c>
      <c r="B207" t="s">
        <v>375</v>
      </c>
      <c r="C207">
        <v>340</v>
      </c>
      <c r="D207">
        <v>499</v>
      </c>
      <c r="E207">
        <v>2.23E-12</v>
      </c>
      <c r="F207">
        <v>2.4000000000000001E-4</v>
      </c>
      <c r="G207">
        <v>5.0000000000000004E-6</v>
      </c>
      <c r="H207">
        <v>2.23E-2</v>
      </c>
      <c r="I207">
        <v>7.9999999999999996E-6</v>
      </c>
      <c r="J207">
        <v>6170000</v>
      </c>
      <c r="K207">
        <v>3800000</v>
      </c>
      <c r="L207">
        <v>38000</v>
      </c>
      <c r="M207">
        <v>285000</v>
      </c>
      <c r="N207">
        <v>152000</v>
      </c>
      <c r="O207">
        <v>0.03</v>
      </c>
      <c r="P207">
        <v>0.26800000000000002</v>
      </c>
      <c r="Q207">
        <v>39300</v>
      </c>
      <c r="R207">
        <v>1.03</v>
      </c>
      <c r="S207">
        <v>4.6100000000000004E-3</v>
      </c>
      <c r="T207">
        <v>4.6100000000000004E-3</v>
      </c>
      <c r="U207">
        <v>97500</v>
      </c>
      <c r="V207">
        <v>97500</v>
      </c>
      <c r="W207">
        <v>5.5300000000000002E-3</v>
      </c>
      <c r="X207">
        <v>2.63E-2</v>
      </c>
      <c r="Y207">
        <v>3.1800000000000002E-2</v>
      </c>
      <c r="Z207" t="s">
        <v>44</v>
      </c>
      <c r="AA207" t="s">
        <v>44</v>
      </c>
      <c r="AB207">
        <v>33800</v>
      </c>
      <c r="AC207" t="s">
        <v>45</v>
      </c>
      <c r="AD207">
        <v>0.09</v>
      </c>
      <c r="AE207">
        <v>2.33E-9</v>
      </c>
      <c r="AF207">
        <v>42000</v>
      </c>
      <c r="AG207">
        <v>1.33E-6</v>
      </c>
      <c r="AH207">
        <v>12</v>
      </c>
      <c r="AI207" t="s">
        <v>49</v>
      </c>
      <c r="AJ207" t="s">
        <v>50</v>
      </c>
      <c r="AK207" t="s">
        <v>219</v>
      </c>
      <c r="AL207">
        <v>4.6100000000000004E-3</v>
      </c>
      <c r="AM207">
        <v>1.11E-2</v>
      </c>
      <c r="AN207">
        <v>1.9400000000000001E-2</v>
      </c>
      <c r="AO207">
        <v>0.03</v>
      </c>
      <c r="AP207" t="s">
        <v>53</v>
      </c>
      <c r="AQ207" t="s">
        <v>54</v>
      </c>
    </row>
    <row r="208" spans="1:43" x14ac:dyDescent="0.25">
      <c r="A208" t="s">
        <v>376</v>
      </c>
      <c r="B208" t="s">
        <v>377</v>
      </c>
      <c r="C208">
        <v>340</v>
      </c>
      <c r="D208">
        <v>469</v>
      </c>
      <c r="E208">
        <v>3.42E-12</v>
      </c>
      <c r="F208">
        <v>2.3599999999999999E-4</v>
      </c>
      <c r="G208">
        <v>4.9799999999999998E-6</v>
      </c>
      <c r="H208">
        <v>2.23E-2</v>
      </c>
      <c r="I208">
        <v>7.9999999999999996E-6</v>
      </c>
      <c r="J208">
        <v>3160000</v>
      </c>
      <c r="K208">
        <v>1950000</v>
      </c>
      <c r="L208">
        <v>19500</v>
      </c>
      <c r="M208">
        <v>146000</v>
      </c>
      <c r="N208">
        <v>78000</v>
      </c>
      <c r="O208">
        <v>0.03</v>
      </c>
      <c r="P208">
        <v>0.221</v>
      </c>
      <c r="Q208">
        <v>23500</v>
      </c>
      <c r="R208">
        <v>1.21</v>
      </c>
      <c r="S208">
        <v>6.7799999999999996E-3</v>
      </c>
      <c r="T208">
        <v>6.7799999999999996E-3</v>
      </c>
      <c r="U208">
        <v>97500</v>
      </c>
      <c r="V208">
        <v>97500</v>
      </c>
      <c r="W208">
        <v>6.5199999999999998E-3</v>
      </c>
      <c r="X208">
        <v>3.1E-2</v>
      </c>
      <c r="Y208">
        <v>3.7499999999999999E-2</v>
      </c>
      <c r="Z208">
        <v>5.6099999999999997E-2</v>
      </c>
      <c r="AA208">
        <v>3.28</v>
      </c>
      <c r="AB208">
        <v>20200</v>
      </c>
      <c r="AC208" t="s">
        <v>45</v>
      </c>
      <c r="AD208">
        <v>0.09</v>
      </c>
      <c r="AE208">
        <v>2.3300000000000002E-10</v>
      </c>
      <c r="AF208">
        <v>420000</v>
      </c>
      <c r="AG208">
        <v>1.3300000000000001E-7</v>
      </c>
      <c r="AH208">
        <v>120</v>
      </c>
      <c r="AI208" t="s">
        <v>49</v>
      </c>
      <c r="AJ208" t="s">
        <v>50</v>
      </c>
      <c r="AK208" t="s">
        <v>219</v>
      </c>
      <c r="AL208">
        <v>6.7799999999999996E-3</v>
      </c>
      <c r="AM208">
        <v>1.2999999999999999E-2</v>
      </c>
      <c r="AN208">
        <v>2.2800000000000001E-2</v>
      </c>
      <c r="AO208">
        <v>0.3</v>
      </c>
      <c r="AP208" t="s">
        <v>53</v>
      </c>
      <c r="AQ208" t="s">
        <v>54</v>
      </c>
    </row>
    <row r="209" spans="1:43" x14ac:dyDescent="0.25">
      <c r="A209" t="s">
        <v>703</v>
      </c>
      <c r="B209" t="s">
        <v>378</v>
      </c>
      <c r="C209">
        <v>326</v>
      </c>
      <c r="D209">
        <v>283</v>
      </c>
      <c r="E209">
        <v>1.01E-7</v>
      </c>
      <c r="F209">
        <v>4.2999999999999997E-2</v>
      </c>
      <c r="G209">
        <v>2.8299999999999999E-4</v>
      </c>
      <c r="H209">
        <v>1E-3</v>
      </c>
      <c r="I209">
        <v>1.0000000000000001E-5</v>
      </c>
      <c r="J209">
        <v>3160000</v>
      </c>
      <c r="K209">
        <v>2450000</v>
      </c>
      <c r="L209">
        <v>24500</v>
      </c>
      <c r="M209">
        <v>184000</v>
      </c>
      <c r="N209">
        <v>98100</v>
      </c>
      <c r="O209">
        <v>0.03</v>
      </c>
      <c r="P209">
        <v>0.99199999999999999</v>
      </c>
      <c r="Q209">
        <v>23500</v>
      </c>
      <c r="R209">
        <v>0.95799999999999996</v>
      </c>
      <c r="S209">
        <v>6.7799999999999996E-3</v>
      </c>
      <c r="T209">
        <v>6.7799999999999996E-3</v>
      </c>
      <c r="U209">
        <v>1650</v>
      </c>
      <c r="V209">
        <v>1650</v>
      </c>
      <c r="W209">
        <v>6.5199999999999998E-3</v>
      </c>
      <c r="X209">
        <v>3.1E-2</v>
      </c>
      <c r="Y209">
        <v>3.7499999999999999E-2</v>
      </c>
      <c r="Z209">
        <v>12.8</v>
      </c>
      <c r="AA209" t="s">
        <v>44</v>
      </c>
      <c r="AB209">
        <v>84100</v>
      </c>
      <c r="AC209" t="s">
        <v>45</v>
      </c>
      <c r="AD209">
        <v>2</v>
      </c>
      <c r="AE209">
        <v>2.0000000000000002E-5</v>
      </c>
      <c r="AF209">
        <v>140000</v>
      </c>
      <c r="AG209">
        <v>3.9999999999999998E-7</v>
      </c>
      <c r="AH209">
        <v>3.8</v>
      </c>
      <c r="AI209" t="s">
        <v>49</v>
      </c>
      <c r="AJ209" t="s">
        <v>50</v>
      </c>
      <c r="AK209" t="s">
        <v>65</v>
      </c>
      <c r="AL209">
        <v>0.01</v>
      </c>
      <c r="AM209">
        <v>1.2999999999999999E-2</v>
      </c>
      <c r="AN209">
        <v>3.2000000000000001E-2</v>
      </c>
      <c r="AO209" t="s">
        <v>52</v>
      </c>
      <c r="AP209" t="s">
        <v>53</v>
      </c>
      <c r="AQ209" t="s">
        <v>54</v>
      </c>
    </row>
    <row r="210" spans="1:43" x14ac:dyDescent="0.25">
      <c r="A210" t="s">
        <v>379</v>
      </c>
      <c r="B210" t="s">
        <v>380</v>
      </c>
      <c r="C210">
        <v>295.32</v>
      </c>
      <c r="D210">
        <v>417.15</v>
      </c>
      <c r="E210">
        <v>1.49E-7</v>
      </c>
      <c r="F210">
        <v>0.55000000000000004</v>
      </c>
      <c r="G210">
        <v>3.8000000000000002E-4</v>
      </c>
      <c r="H210">
        <v>1E-3</v>
      </c>
      <c r="I210">
        <v>1.0000000000000001E-5</v>
      </c>
      <c r="J210">
        <v>43651.58322</v>
      </c>
      <c r="K210">
        <v>36425.040000000001</v>
      </c>
      <c r="L210">
        <v>364.25</v>
      </c>
      <c r="M210">
        <v>2731.88</v>
      </c>
      <c r="N210">
        <v>1457</v>
      </c>
      <c r="O210">
        <v>0.36</v>
      </c>
      <c r="P210">
        <v>1</v>
      </c>
      <c r="Q210">
        <v>869</v>
      </c>
      <c r="R210">
        <v>2.38</v>
      </c>
      <c r="S210">
        <v>8.0600000000000005E-2</v>
      </c>
      <c r="T210">
        <v>8.0600000000000005E-2</v>
      </c>
      <c r="U210">
        <v>12.9</v>
      </c>
      <c r="V210">
        <v>12.9</v>
      </c>
      <c r="W210">
        <v>7.5063630000000003E-3</v>
      </c>
      <c r="X210">
        <v>3.5655226999999998E-2</v>
      </c>
      <c r="Y210">
        <v>4.316159E-2</v>
      </c>
      <c r="Z210">
        <v>0.34674016099999999</v>
      </c>
      <c r="AA210" t="s">
        <v>44</v>
      </c>
      <c r="AB210">
        <v>746</v>
      </c>
      <c r="AC210">
        <v>1622.77856</v>
      </c>
      <c r="AD210" t="s">
        <v>46</v>
      </c>
      <c r="AE210">
        <v>3.0000000000000001E-3</v>
      </c>
      <c r="AG210">
        <v>1.0999999999999999E-2</v>
      </c>
      <c r="AH210">
        <v>7.3999999999999996E-5</v>
      </c>
      <c r="AI210" t="s">
        <v>49</v>
      </c>
      <c r="AJ210" t="s">
        <v>50</v>
      </c>
      <c r="AK210" t="s">
        <v>51</v>
      </c>
      <c r="AL210">
        <v>8.0600000000000005E-2</v>
      </c>
      <c r="AM210">
        <v>1.5012727E-2</v>
      </c>
      <c r="AN210">
        <v>2.6272271999999999E-2</v>
      </c>
      <c r="AO210" t="s">
        <v>52</v>
      </c>
      <c r="AP210" t="s">
        <v>53</v>
      </c>
      <c r="AQ210" t="s">
        <v>54</v>
      </c>
    </row>
    <row r="211" spans="1:43" x14ac:dyDescent="0.25">
      <c r="A211" t="s">
        <v>381</v>
      </c>
      <c r="B211" t="s">
        <v>382</v>
      </c>
      <c r="C211">
        <v>266</v>
      </c>
      <c r="D211">
        <v>443</v>
      </c>
      <c r="E211">
        <v>4.21E-8</v>
      </c>
      <c r="F211">
        <v>2000</v>
      </c>
      <c r="G211">
        <v>2.4E-8</v>
      </c>
      <c r="H211">
        <v>5.6000000000000001E-2</v>
      </c>
      <c r="I211">
        <v>6.1E-6</v>
      </c>
      <c r="J211">
        <v>126000</v>
      </c>
      <c r="K211">
        <v>592</v>
      </c>
      <c r="L211">
        <v>1.2</v>
      </c>
      <c r="M211">
        <v>44.4</v>
      </c>
      <c r="N211">
        <v>23.7</v>
      </c>
      <c r="O211">
        <v>1.42</v>
      </c>
      <c r="P211">
        <v>0.999</v>
      </c>
      <c r="Q211">
        <v>1960</v>
      </c>
      <c r="R211">
        <v>1640</v>
      </c>
      <c r="S211">
        <v>4.3700000000000003E-2</v>
      </c>
      <c r="T211">
        <v>4.3700000000000003E-2</v>
      </c>
      <c r="U211">
        <v>629000</v>
      </c>
      <c r="V211">
        <v>629000</v>
      </c>
      <c r="W211">
        <v>1.3900000000000001E-5</v>
      </c>
      <c r="X211">
        <v>6.6199999999999996E-5</v>
      </c>
      <c r="Y211">
        <v>8.0199999999999998E-5</v>
      </c>
      <c r="Z211">
        <v>0.95499999999999996</v>
      </c>
      <c r="AA211" t="s">
        <v>44</v>
      </c>
      <c r="AB211">
        <v>671</v>
      </c>
      <c r="AC211">
        <v>2450</v>
      </c>
      <c r="AD211" t="s">
        <v>46</v>
      </c>
      <c r="AE211">
        <v>5.0000000000000001E-3</v>
      </c>
      <c r="AF211">
        <v>0.4</v>
      </c>
      <c r="AG211" t="s">
        <v>57</v>
      </c>
      <c r="AH211">
        <v>5.1000000000000003E-6</v>
      </c>
      <c r="AI211" t="s">
        <v>49</v>
      </c>
      <c r="AJ211" t="s">
        <v>50</v>
      </c>
      <c r="AK211" t="s">
        <v>67</v>
      </c>
      <c r="AL211">
        <v>4.3700000000000003E-2</v>
      </c>
      <c r="AM211">
        <v>2.7900000000000001E-5</v>
      </c>
      <c r="AN211">
        <v>4.88E-5</v>
      </c>
      <c r="AO211" t="s">
        <v>52</v>
      </c>
      <c r="AP211" t="s">
        <v>53</v>
      </c>
      <c r="AQ211" t="s">
        <v>54</v>
      </c>
    </row>
    <row r="212" spans="1:43" x14ac:dyDescent="0.25">
      <c r="A212" t="s">
        <v>504</v>
      </c>
      <c r="B212" t="s">
        <v>505</v>
      </c>
      <c r="C212">
        <v>120.02</v>
      </c>
      <c r="D212">
        <v>111.93</v>
      </c>
      <c r="E212">
        <v>9.33</v>
      </c>
      <c r="F212">
        <v>867.3</v>
      </c>
      <c r="G212">
        <v>3.05</v>
      </c>
      <c r="J212">
        <v>35.5</v>
      </c>
      <c r="K212">
        <v>136.19999999999999</v>
      </c>
      <c r="M212">
        <v>10.214999999999998</v>
      </c>
      <c r="N212">
        <v>5.4479999999999995</v>
      </c>
      <c r="P212">
        <v>1</v>
      </c>
      <c r="AB212">
        <v>4.3869999999999996</v>
      </c>
      <c r="AC212">
        <v>4.3869999999999996</v>
      </c>
      <c r="AK212" t="s">
        <v>713</v>
      </c>
    </row>
    <row r="213" spans="1:43" x14ac:dyDescent="0.25">
      <c r="A213" t="s">
        <v>704</v>
      </c>
      <c r="B213" t="s">
        <v>524</v>
      </c>
      <c r="C213">
        <v>588.08000000000004</v>
      </c>
      <c r="D213">
        <v>258.45999999999998</v>
      </c>
      <c r="E213">
        <v>2.3400000000000001E-3</v>
      </c>
      <c r="F213">
        <v>3.6200000000000001E-6</v>
      </c>
      <c r="G213">
        <v>73800000</v>
      </c>
      <c r="J213">
        <v>151000000</v>
      </c>
      <c r="K213">
        <v>144000000</v>
      </c>
      <c r="M213">
        <v>10800000</v>
      </c>
      <c r="N213">
        <v>5760000</v>
      </c>
      <c r="P213">
        <v>1</v>
      </c>
      <c r="AB213">
        <v>2301</v>
      </c>
      <c r="AC213">
        <v>8460000</v>
      </c>
      <c r="AK213" t="s">
        <v>715</v>
      </c>
    </row>
    <row r="214" spans="1:43" x14ac:dyDescent="0.25">
      <c r="A214" t="s">
        <v>623</v>
      </c>
      <c r="B214" t="s">
        <v>384</v>
      </c>
      <c r="C214">
        <v>252.32</v>
      </c>
      <c r="D214">
        <v>443.4</v>
      </c>
      <c r="E214">
        <v>1.76E-12</v>
      </c>
      <c r="F214">
        <v>8.1949999999999992E-3</v>
      </c>
      <c r="G214">
        <v>8.0999999999999997E-7</v>
      </c>
      <c r="H214">
        <v>2.5499999999999998E-2</v>
      </c>
      <c r="I214">
        <v>6.5799999999999997E-6</v>
      </c>
      <c r="J214">
        <v>1290000</v>
      </c>
      <c r="K214">
        <v>599000</v>
      </c>
      <c r="L214">
        <v>160000</v>
      </c>
      <c r="M214">
        <v>44925</v>
      </c>
      <c r="N214">
        <v>23960</v>
      </c>
      <c r="O214">
        <v>0.48</v>
      </c>
      <c r="P214">
        <v>0.65200000000000002</v>
      </c>
      <c r="Q214">
        <v>9680</v>
      </c>
      <c r="R214">
        <v>6.0499999999999998E-2</v>
      </c>
      <c r="S214">
        <v>1.32E-2</v>
      </c>
      <c r="T214">
        <v>1.32E-2</v>
      </c>
      <c r="U214">
        <v>9.1299999999999992E-3</v>
      </c>
      <c r="V214">
        <v>9.1299999999999992E-3</v>
      </c>
      <c r="W214">
        <v>1.4E-2</v>
      </c>
      <c r="X214">
        <v>4.4499999999999998E-2</v>
      </c>
      <c r="Y214">
        <v>4.5499999999999999E-2</v>
      </c>
      <c r="Z214">
        <v>10.7</v>
      </c>
      <c r="AA214" t="s">
        <v>44</v>
      </c>
      <c r="AB214">
        <v>267.7</v>
      </c>
      <c r="AC214">
        <v>286.39999999999998</v>
      </c>
      <c r="AD214" t="s">
        <v>46</v>
      </c>
      <c r="AE214" t="s">
        <v>56</v>
      </c>
      <c r="AF214" t="s">
        <v>47</v>
      </c>
      <c r="AG214" t="s">
        <v>57</v>
      </c>
      <c r="AH214" t="s">
        <v>48</v>
      </c>
      <c r="AI214" t="s">
        <v>49</v>
      </c>
      <c r="AJ214" t="s">
        <v>50</v>
      </c>
      <c r="AK214" t="s">
        <v>72</v>
      </c>
      <c r="AL214">
        <v>1.32E-2</v>
      </c>
      <c r="AM214">
        <v>1.5800000000000002E-2</v>
      </c>
      <c r="AN214">
        <v>2.7699999999999999E-2</v>
      </c>
      <c r="AO214" t="s">
        <v>52</v>
      </c>
      <c r="AP214" t="s">
        <v>53</v>
      </c>
      <c r="AQ214" t="s">
        <v>54</v>
      </c>
    </row>
    <row r="215" spans="1:43" x14ac:dyDescent="0.25">
      <c r="A215" t="s">
        <v>386</v>
      </c>
      <c r="B215" t="s">
        <v>387</v>
      </c>
      <c r="C215">
        <v>178</v>
      </c>
      <c r="D215">
        <v>372</v>
      </c>
      <c r="E215">
        <v>1.4499999999999999E-7</v>
      </c>
      <c r="F215">
        <v>1.1000000000000001</v>
      </c>
      <c r="G215">
        <v>2.3E-5</v>
      </c>
      <c r="H215">
        <v>1E-3</v>
      </c>
      <c r="I215">
        <v>1.0000000000000001E-5</v>
      </c>
      <c r="J215">
        <v>31600</v>
      </c>
      <c r="K215">
        <v>26500</v>
      </c>
      <c r="L215">
        <v>3700</v>
      </c>
      <c r="M215">
        <v>1990</v>
      </c>
      <c r="N215">
        <v>1060</v>
      </c>
      <c r="O215">
        <v>1.26</v>
      </c>
      <c r="P215">
        <v>0.999</v>
      </c>
      <c r="Q215">
        <v>678</v>
      </c>
      <c r="R215">
        <v>0.183</v>
      </c>
      <c r="S215">
        <v>9.7000000000000003E-2</v>
      </c>
      <c r="T215">
        <v>9.7100000000000006E-2</v>
      </c>
      <c r="U215">
        <v>151</v>
      </c>
      <c r="V215">
        <v>151</v>
      </c>
      <c r="W215">
        <v>7.1199999999999996E-3</v>
      </c>
      <c r="X215">
        <v>3.3799999999999997E-2</v>
      </c>
      <c r="Y215">
        <v>4.0899999999999999E-2</v>
      </c>
      <c r="Z215">
        <v>0.28199999999999997</v>
      </c>
      <c r="AA215" t="s">
        <v>44</v>
      </c>
      <c r="AB215">
        <v>582</v>
      </c>
      <c r="AC215">
        <v>1030</v>
      </c>
      <c r="AD215" t="s">
        <v>46</v>
      </c>
      <c r="AE215" t="s">
        <v>56</v>
      </c>
      <c r="AF215" t="s">
        <v>47</v>
      </c>
      <c r="AG215" t="s">
        <v>57</v>
      </c>
      <c r="AH215" t="s">
        <v>48</v>
      </c>
      <c r="AI215" t="s">
        <v>49</v>
      </c>
      <c r="AJ215" t="s">
        <v>50</v>
      </c>
      <c r="AK215" t="s">
        <v>72</v>
      </c>
      <c r="AL215">
        <v>9.7100000000000006E-2</v>
      </c>
      <c r="AM215">
        <v>1.4200000000000001E-2</v>
      </c>
      <c r="AN215">
        <v>2.4899999999999999E-2</v>
      </c>
      <c r="AO215" t="s">
        <v>52</v>
      </c>
      <c r="AP215" t="s">
        <v>53</v>
      </c>
      <c r="AQ215" t="s">
        <v>54</v>
      </c>
    </row>
    <row r="216" spans="1:43" x14ac:dyDescent="0.25">
      <c r="A216" t="s">
        <v>388</v>
      </c>
      <c r="B216" t="s">
        <v>389</v>
      </c>
      <c r="C216">
        <v>94.1</v>
      </c>
      <c r="D216">
        <v>314</v>
      </c>
      <c r="E216">
        <v>3.68E-4</v>
      </c>
      <c r="F216">
        <v>83000</v>
      </c>
      <c r="G216">
        <v>3.9999999999999998E-7</v>
      </c>
      <c r="H216">
        <v>8.2000000000000003E-2</v>
      </c>
      <c r="I216">
        <v>9.0999999999999993E-6</v>
      </c>
      <c r="J216">
        <v>31.6</v>
      </c>
      <c r="K216">
        <v>29.8</v>
      </c>
      <c r="L216">
        <v>4.4000000000000004</v>
      </c>
      <c r="M216">
        <v>2.2400000000000002</v>
      </c>
      <c r="N216">
        <v>1.2</v>
      </c>
      <c r="O216">
        <v>25.3</v>
      </c>
      <c r="P216">
        <v>1</v>
      </c>
      <c r="Q216">
        <v>9.6300000000000008</v>
      </c>
      <c r="R216">
        <v>2.19</v>
      </c>
      <c r="S216">
        <v>5.26</v>
      </c>
      <c r="T216">
        <v>5.26</v>
      </c>
      <c r="U216">
        <v>5.53</v>
      </c>
      <c r="V216">
        <v>5.53</v>
      </c>
      <c r="W216">
        <v>2.6499999999999999E-4</v>
      </c>
      <c r="X216">
        <v>1.2600000000000001E-3</v>
      </c>
      <c r="Y216">
        <v>1.5299999999999999E-3</v>
      </c>
      <c r="Z216">
        <v>2.3800000000000001E-4</v>
      </c>
      <c r="AA216" t="s">
        <v>44</v>
      </c>
      <c r="AB216">
        <v>2.85</v>
      </c>
      <c r="AC216" t="s">
        <v>45</v>
      </c>
      <c r="AD216" t="s">
        <v>46</v>
      </c>
      <c r="AE216">
        <v>0.3</v>
      </c>
      <c r="AF216" t="s">
        <v>47</v>
      </c>
      <c r="AG216">
        <v>0.2</v>
      </c>
      <c r="AH216" t="s">
        <v>48</v>
      </c>
      <c r="AI216" t="s">
        <v>49</v>
      </c>
      <c r="AJ216" t="s">
        <v>50</v>
      </c>
      <c r="AK216" t="s">
        <v>67</v>
      </c>
      <c r="AL216">
        <v>5.26</v>
      </c>
      <c r="AM216">
        <v>5.2999999999999998E-4</v>
      </c>
      <c r="AN216">
        <v>9.2800000000000001E-4</v>
      </c>
      <c r="AO216" t="s">
        <v>52</v>
      </c>
      <c r="AP216" t="s">
        <v>53</v>
      </c>
      <c r="AQ216" t="s">
        <v>54</v>
      </c>
    </row>
    <row r="217" spans="1:43" x14ac:dyDescent="0.25">
      <c r="A217" t="s">
        <v>624</v>
      </c>
      <c r="B217" t="s">
        <v>385</v>
      </c>
      <c r="C217">
        <v>138.16999999999999</v>
      </c>
      <c r="D217">
        <v>296.47000000000003</v>
      </c>
      <c r="E217">
        <v>5.9000000000000003E-6</v>
      </c>
      <c r="F217">
        <v>28000</v>
      </c>
      <c r="G217">
        <v>1.5500000000000001E-5</v>
      </c>
      <c r="H217" t="s">
        <v>44</v>
      </c>
      <c r="I217" t="s">
        <v>44</v>
      </c>
      <c r="J217">
        <v>12.6</v>
      </c>
      <c r="K217">
        <v>14.92</v>
      </c>
      <c r="L217" t="s">
        <v>57</v>
      </c>
      <c r="M217">
        <v>1.119</v>
      </c>
      <c r="N217">
        <v>0.5968</v>
      </c>
      <c r="O217" t="s">
        <v>57</v>
      </c>
      <c r="P217">
        <v>0.99981299999999995</v>
      </c>
      <c r="Q217" t="s">
        <v>57</v>
      </c>
      <c r="R217" t="s">
        <v>57</v>
      </c>
      <c r="S217" t="s">
        <v>56</v>
      </c>
      <c r="T217" t="s">
        <v>56</v>
      </c>
      <c r="U217" t="s">
        <v>57</v>
      </c>
      <c r="V217" t="s">
        <v>57</v>
      </c>
      <c r="W217" t="s">
        <v>62</v>
      </c>
      <c r="X217" t="s">
        <v>62</v>
      </c>
      <c r="Y217" t="s">
        <v>62</v>
      </c>
      <c r="Z217" t="s">
        <v>44</v>
      </c>
      <c r="AA217" t="s">
        <v>44</v>
      </c>
      <c r="AB217">
        <v>1.8640000000000001</v>
      </c>
      <c r="AC217">
        <v>1.8640000000000001</v>
      </c>
      <c r="AD217" t="s">
        <v>46</v>
      </c>
      <c r="AE217" t="s">
        <v>56</v>
      </c>
      <c r="AF217" t="s">
        <v>47</v>
      </c>
      <c r="AG217" t="s">
        <v>57</v>
      </c>
      <c r="AH217" t="s">
        <v>48</v>
      </c>
      <c r="AI217" t="s">
        <v>49</v>
      </c>
      <c r="AJ217" t="s">
        <v>61</v>
      </c>
      <c r="AK217" t="s">
        <v>51</v>
      </c>
      <c r="AL217" t="s">
        <v>44</v>
      </c>
      <c r="AM217" t="s">
        <v>44</v>
      </c>
      <c r="AN217" t="s">
        <v>44</v>
      </c>
      <c r="AO217" t="s">
        <v>52</v>
      </c>
      <c r="AP217" t="s">
        <v>53</v>
      </c>
      <c r="AQ217" t="s">
        <v>54</v>
      </c>
    </row>
    <row r="218" spans="1:43" x14ac:dyDescent="0.25">
      <c r="A218" t="s">
        <v>528</v>
      </c>
      <c r="B218" t="s">
        <v>529</v>
      </c>
      <c r="C218">
        <v>108.14</v>
      </c>
      <c r="D218">
        <v>236.83</v>
      </c>
      <c r="E218">
        <v>8.5799999999999998E-7</v>
      </c>
      <c r="F218">
        <v>199000</v>
      </c>
      <c r="G218">
        <v>6.7299999999999995E-10</v>
      </c>
      <c r="H218">
        <v>8.3699999999999997E-2</v>
      </c>
      <c r="I218">
        <v>9.7799999999999995E-6</v>
      </c>
      <c r="J218">
        <v>0.40699999999999997</v>
      </c>
      <c r="K218">
        <v>33.83</v>
      </c>
      <c r="M218">
        <v>2.5372499999999998</v>
      </c>
      <c r="N218">
        <v>1.3532</v>
      </c>
      <c r="P218">
        <v>0.99990000000000001</v>
      </c>
      <c r="U218">
        <v>57.5</v>
      </c>
      <c r="V218">
        <v>57.5</v>
      </c>
      <c r="W218">
        <v>3.9600000000000004E-9</v>
      </c>
      <c r="X218">
        <v>1.2499999999999999E-8</v>
      </c>
      <c r="AB218">
        <v>0.91239999999999999</v>
      </c>
      <c r="AC218">
        <v>0.91239999999999999</v>
      </c>
    </row>
    <row r="219" spans="1:43" x14ac:dyDescent="0.25">
      <c r="A219" t="s">
        <v>625</v>
      </c>
      <c r="B219" t="s">
        <v>390</v>
      </c>
      <c r="C219">
        <v>34</v>
      </c>
      <c r="D219">
        <v>140</v>
      </c>
      <c r="E219">
        <v>41</v>
      </c>
      <c r="F219">
        <v>312</v>
      </c>
      <c r="G219" t="s">
        <v>56</v>
      </c>
      <c r="H219">
        <v>0.18099999999999999</v>
      </c>
      <c r="I219" t="s">
        <v>44</v>
      </c>
      <c r="J219">
        <v>490000</v>
      </c>
      <c r="K219" t="s">
        <v>44</v>
      </c>
      <c r="L219" t="s">
        <v>57</v>
      </c>
      <c r="M219" t="e">
        <v>#VALUE!</v>
      </c>
      <c r="N219" t="e">
        <v>#VALUE!</v>
      </c>
      <c r="O219">
        <v>36.1</v>
      </c>
      <c r="P219">
        <v>0</v>
      </c>
      <c r="Q219" t="s">
        <v>57</v>
      </c>
      <c r="R219" t="s">
        <v>57</v>
      </c>
      <c r="S219" t="s">
        <v>56</v>
      </c>
      <c r="T219" t="s">
        <v>56</v>
      </c>
      <c r="U219" t="s">
        <v>57</v>
      </c>
      <c r="V219" t="s">
        <v>57</v>
      </c>
      <c r="W219" t="s">
        <v>62</v>
      </c>
      <c r="X219" t="s">
        <v>62</v>
      </c>
      <c r="Y219" t="s">
        <v>62</v>
      </c>
      <c r="Z219" t="s">
        <v>44</v>
      </c>
      <c r="AA219" t="s">
        <v>44</v>
      </c>
      <c r="AB219" t="s">
        <v>63</v>
      </c>
      <c r="AC219" t="s">
        <v>45</v>
      </c>
      <c r="AD219" t="s">
        <v>46</v>
      </c>
      <c r="AE219">
        <v>2.9999999999999997E-4</v>
      </c>
      <c r="AF219" t="s">
        <v>47</v>
      </c>
      <c r="AG219">
        <v>2.9999999999999997E-4</v>
      </c>
      <c r="AH219" t="s">
        <v>48</v>
      </c>
      <c r="AI219" t="s">
        <v>49</v>
      </c>
      <c r="AJ219" t="s">
        <v>110</v>
      </c>
      <c r="AK219" t="s">
        <v>51</v>
      </c>
      <c r="AL219" t="s">
        <v>44</v>
      </c>
      <c r="AM219" t="s">
        <v>44</v>
      </c>
      <c r="AN219" t="s">
        <v>44</v>
      </c>
      <c r="AO219" t="s">
        <v>52</v>
      </c>
      <c r="AP219" t="s">
        <v>53</v>
      </c>
      <c r="AQ219" t="s">
        <v>54</v>
      </c>
    </row>
    <row r="220" spans="1:43" x14ac:dyDescent="0.25">
      <c r="A220" t="s">
        <v>626</v>
      </c>
      <c r="B220" t="s">
        <v>391</v>
      </c>
      <c r="C220">
        <v>124</v>
      </c>
      <c r="D220">
        <v>317</v>
      </c>
      <c r="E220">
        <v>3.4199999999999998E-5</v>
      </c>
      <c r="F220">
        <v>3</v>
      </c>
      <c r="G220" t="s">
        <v>56</v>
      </c>
      <c r="H220" t="s">
        <v>44</v>
      </c>
      <c r="I220" t="s">
        <v>44</v>
      </c>
      <c r="J220">
        <v>1200</v>
      </c>
      <c r="K220" t="s">
        <v>44</v>
      </c>
      <c r="L220" t="s">
        <v>57</v>
      </c>
      <c r="M220" t="e">
        <v>#VALUE!</v>
      </c>
      <c r="N220" t="e">
        <v>#VALUE!</v>
      </c>
      <c r="O220">
        <v>10.1</v>
      </c>
      <c r="P220">
        <v>0</v>
      </c>
      <c r="Q220" t="s">
        <v>57</v>
      </c>
      <c r="R220" t="s">
        <v>57</v>
      </c>
      <c r="S220" t="s">
        <v>56</v>
      </c>
      <c r="T220" t="s">
        <v>56</v>
      </c>
      <c r="U220" t="s">
        <v>57</v>
      </c>
      <c r="V220" t="s">
        <v>57</v>
      </c>
      <c r="W220" t="s">
        <v>62</v>
      </c>
      <c r="X220" t="s">
        <v>62</v>
      </c>
      <c r="Y220" t="s">
        <v>62</v>
      </c>
      <c r="Z220" t="s">
        <v>44</v>
      </c>
      <c r="AA220" t="s">
        <v>44</v>
      </c>
      <c r="AB220" t="s">
        <v>63</v>
      </c>
      <c r="AC220" t="s">
        <v>45</v>
      </c>
      <c r="AD220" t="s">
        <v>46</v>
      </c>
      <c r="AE220">
        <v>2.0000000000000002E-5</v>
      </c>
      <c r="AF220" t="s">
        <v>47</v>
      </c>
      <c r="AG220" t="s">
        <v>57</v>
      </c>
      <c r="AH220" t="s">
        <v>48</v>
      </c>
      <c r="AI220" t="s">
        <v>49</v>
      </c>
      <c r="AJ220" t="s">
        <v>110</v>
      </c>
      <c r="AK220" t="s">
        <v>111</v>
      </c>
      <c r="AL220" t="s">
        <v>44</v>
      </c>
      <c r="AM220" t="s">
        <v>44</v>
      </c>
      <c r="AN220" t="s">
        <v>44</v>
      </c>
      <c r="AO220" t="s">
        <v>52</v>
      </c>
      <c r="AP220" t="s">
        <v>53</v>
      </c>
      <c r="AQ220" t="s">
        <v>54</v>
      </c>
    </row>
    <row r="221" spans="1:43" x14ac:dyDescent="0.25">
      <c r="A221" t="s">
        <v>392</v>
      </c>
      <c r="B221" t="s">
        <v>393</v>
      </c>
      <c r="C221">
        <v>148.12</v>
      </c>
      <c r="D221">
        <v>403.95</v>
      </c>
      <c r="E221">
        <v>6.7999999999999995E-7</v>
      </c>
      <c r="F221">
        <v>6200</v>
      </c>
      <c r="G221">
        <v>1.63E-8</v>
      </c>
      <c r="H221">
        <v>7.0999999999999994E-2</v>
      </c>
      <c r="I221">
        <v>8.6000000000000007E-6</v>
      </c>
      <c r="J221">
        <v>0.239883292</v>
      </c>
      <c r="K221">
        <v>0.25</v>
      </c>
      <c r="L221">
        <v>2E-3</v>
      </c>
      <c r="M221">
        <v>0.02</v>
      </c>
      <c r="N221">
        <v>0.01</v>
      </c>
      <c r="O221">
        <v>13490.4</v>
      </c>
      <c r="P221">
        <v>1</v>
      </c>
      <c r="Q221">
        <v>6.39</v>
      </c>
      <c r="R221">
        <v>2599</v>
      </c>
      <c r="S221">
        <v>8.3800000000000008</v>
      </c>
      <c r="T221">
        <v>8.3800000000000008</v>
      </c>
      <c r="U221">
        <v>0.75</v>
      </c>
      <c r="V221">
        <v>0.75</v>
      </c>
      <c r="W221">
        <v>2.1900000000000002E-6</v>
      </c>
      <c r="X221">
        <v>1.04E-5</v>
      </c>
      <c r="Y221">
        <v>1.26E-5</v>
      </c>
      <c r="Z221">
        <v>1.99E-6</v>
      </c>
      <c r="AA221" t="s">
        <v>44</v>
      </c>
      <c r="AB221">
        <v>3.16</v>
      </c>
      <c r="AC221" t="s">
        <v>45</v>
      </c>
      <c r="AD221" t="s">
        <v>46</v>
      </c>
      <c r="AE221">
        <v>2</v>
      </c>
      <c r="AF221" t="s">
        <v>47</v>
      </c>
      <c r="AG221">
        <v>0.02</v>
      </c>
      <c r="AH221" t="s">
        <v>48</v>
      </c>
      <c r="AI221" t="s">
        <v>49</v>
      </c>
      <c r="AJ221" t="s">
        <v>50</v>
      </c>
      <c r="AK221" t="s">
        <v>51</v>
      </c>
      <c r="AL221">
        <v>8.3800000000000008</v>
      </c>
      <c r="AM221">
        <v>4.3800000000000004E-6</v>
      </c>
      <c r="AN221">
        <v>7.6699999999999994E-6</v>
      </c>
      <c r="AO221" t="s">
        <v>52</v>
      </c>
      <c r="AP221" t="s">
        <v>53</v>
      </c>
      <c r="AQ221" t="s">
        <v>54</v>
      </c>
    </row>
    <row r="222" spans="1:43" x14ac:dyDescent="0.25">
      <c r="A222" t="s">
        <v>394</v>
      </c>
      <c r="B222" t="s">
        <v>395</v>
      </c>
      <c r="C222" t="s">
        <v>44</v>
      </c>
      <c r="D222">
        <v>273</v>
      </c>
      <c r="E222" t="s">
        <v>57</v>
      </c>
      <c r="F222" t="s">
        <v>46</v>
      </c>
      <c r="G222" t="s">
        <v>56</v>
      </c>
      <c r="H222" t="s">
        <v>44</v>
      </c>
      <c r="I222" t="s">
        <v>44</v>
      </c>
      <c r="J222" t="s">
        <v>57</v>
      </c>
      <c r="K222" t="s">
        <v>44</v>
      </c>
      <c r="L222" t="s">
        <v>57</v>
      </c>
      <c r="O222" t="s">
        <v>57</v>
      </c>
      <c r="P222">
        <v>0</v>
      </c>
      <c r="Q222" t="s">
        <v>57</v>
      </c>
      <c r="R222" t="s">
        <v>57</v>
      </c>
      <c r="S222" t="s">
        <v>56</v>
      </c>
      <c r="T222" t="s">
        <v>56</v>
      </c>
      <c r="U222" t="s">
        <v>57</v>
      </c>
      <c r="V222" t="s">
        <v>57</v>
      </c>
      <c r="W222" t="s">
        <v>62</v>
      </c>
      <c r="X222" t="s">
        <v>62</v>
      </c>
      <c r="Y222" t="s">
        <v>62</v>
      </c>
      <c r="Z222" t="s">
        <v>44</v>
      </c>
      <c r="AA222" t="s">
        <v>44</v>
      </c>
      <c r="AB222" t="s">
        <v>63</v>
      </c>
      <c r="AC222" t="s">
        <v>45</v>
      </c>
      <c r="AD222" t="s">
        <v>46</v>
      </c>
      <c r="AE222" t="s">
        <v>56</v>
      </c>
      <c r="AF222" t="s">
        <v>47</v>
      </c>
      <c r="AG222" t="s">
        <v>57</v>
      </c>
      <c r="AH222" t="s">
        <v>48</v>
      </c>
      <c r="AI222" t="s">
        <v>49</v>
      </c>
      <c r="AJ222" t="s">
        <v>61</v>
      </c>
      <c r="AK222" t="s">
        <v>51</v>
      </c>
      <c r="AL222" t="s">
        <v>44</v>
      </c>
      <c r="AM222" t="s">
        <v>44</v>
      </c>
      <c r="AN222" t="s">
        <v>44</v>
      </c>
      <c r="AO222" t="s">
        <v>52</v>
      </c>
      <c r="AP222" t="s">
        <v>53</v>
      </c>
      <c r="AQ222" t="s">
        <v>54</v>
      </c>
    </row>
    <row r="223" spans="1:43" x14ac:dyDescent="0.25">
      <c r="A223" t="s">
        <v>767</v>
      </c>
      <c r="B223" t="s">
        <v>766</v>
      </c>
    </row>
    <row r="224" spans="1:43" x14ac:dyDescent="0.25">
      <c r="A224" t="s">
        <v>396</v>
      </c>
      <c r="B224" t="s">
        <v>397</v>
      </c>
      <c r="C224" t="s">
        <v>44</v>
      </c>
      <c r="D224">
        <v>273</v>
      </c>
      <c r="E224" t="s">
        <v>57</v>
      </c>
      <c r="F224" t="s">
        <v>46</v>
      </c>
      <c r="G224" t="s">
        <v>56</v>
      </c>
      <c r="H224" t="s">
        <v>44</v>
      </c>
      <c r="I224" t="s">
        <v>44</v>
      </c>
      <c r="J224" t="s">
        <v>57</v>
      </c>
      <c r="K224" t="s">
        <v>44</v>
      </c>
      <c r="L224" t="s">
        <v>57</v>
      </c>
      <c r="O224" t="s">
        <v>57</v>
      </c>
      <c r="P224">
        <v>0</v>
      </c>
      <c r="Q224" t="s">
        <v>57</v>
      </c>
      <c r="R224" t="s">
        <v>57</v>
      </c>
      <c r="S224" t="s">
        <v>56</v>
      </c>
      <c r="T224" t="s">
        <v>56</v>
      </c>
      <c r="U224" t="s">
        <v>57</v>
      </c>
      <c r="V224" t="s">
        <v>57</v>
      </c>
      <c r="W224" t="s">
        <v>62</v>
      </c>
      <c r="X224" t="s">
        <v>62</v>
      </c>
      <c r="Y224" t="s">
        <v>62</v>
      </c>
      <c r="Z224" t="s">
        <v>44</v>
      </c>
      <c r="AA224" t="s">
        <v>44</v>
      </c>
      <c r="AB224" t="s">
        <v>63</v>
      </c>
      <c r="AC224" t="s">
        <v>45</v>
      </c>
      <c r="AD224" t="s">
        <v>46</v>
      </c>
      <c r="AE224" t="s">
        <v>56</v>
      </c>
      <c r="AF224" t="s">
        <v>47</v>
      </c>
      <c r="AG224" t="s">
        <v>57</v>
      </c>
      <c r="AH224" t="s">
        <v>48</v>
      </c>
      <c r="AI224" t="s">
        <v>49</v>
      </c>
      <c r="AJ224" t="s">
        <v>61</v>
      </c>
      <c r="AK224" t="s">
        <v>51</v>
      </c>
      <c r="AL224" t="s">
        <v>44</v>
      </c>
      <c r="AM224" t="s">
        <v>44</v>
      </c>
      <c r="AN224" t="s">
        <v>44</v>
      </c>
      <c r="AO224" t="s">
        <v>52</v>
      </c>
      <c r="AP224" t="s">
        <v>53</v>
      </c>
      <c r="AQ224" t="s">
        <v>54</v>
      </c>
    </row>
    <row r="225" spans="1:43" x14ac:dyDescent="0.25">
      <c r="A225" t="s">
        <v>673</v>
      </c>
      <c r="B225" t="s">
        <v>672</v>
      </c>
      <c r="C225" t="s">
        <v>44</v>
      </c>
      <c r="D225">
        <v>273</v>
      </c>
      <c r="E225" t="s">
        <v>57</v>
      </c>
      <c r="F225" t="s">
        <v>46</v>
      </c>
      <c r="G225" t="s">
        <v>56</v>
      </c>
      <c r="H225" t="s">
        <v>44</v>
      </c>
      <c r="I225" t="s">
        <v>44</v>
      </c>
      <c r="J225" t="s">
        <v>57</v>
      </c>
      <c r="K225" t="s">
        <v>44</v>
      </c>
      <c r="L225" t="s">
        <v>57</v>
      </c>
      <c r="O225" t="s">
        <v>57</v>
      </c>
      <c r="P225">
        <v>0</v>
      </c>
      <c r="Q225" t="s">
        <v>57</v>
      </c>
      <c r="R225" t="s">
        <v>57</v>
      </c>
      <c r="S225" t="s">
        <v>56</v>
      </c>
      <c r="T225" t="s">
        <v>56</v>
      </c>
      <c r="U225" t="s">
        <v>57</v>
      </c>
      <c r="V225" t="s">
        <v>57</v>
      </c>
      <c r="W225" t="s">
        <v>62</v>
      </c>
      <c r="X225" t="s">
        <v>62</v>
      </c>
      <c r="Y225" t="s">
        <v>62</v>
      </c>
      <c r="Z225" t="s">
        <v>44</v>
      </c>
      <c r="AA225" t="s">
        <v>44</v>
      </c>
      <c r="AB225" t="s">
        <v>63</v>
      </c>
      <c r="AC225" t="s">
        <v>45</v>
      </c>
      <c r="AD225" t="s">
        <v>46</v>
      </c>
      <c r="AE225" t="s">
        <v>56</v>
      </c>
      <c r="AF225" t="s">
        <v>47</v>
      </c>
      <c r="AG225" t="s">
        <v>57</v>
      </c>
      <c r="AH225" t="s">
        <v>48</v>
      </c>
      <c r="AI225" t="s">
        <v>49</v>
      </c>
      <c r="AJ225" t="s">
        <v>61</v>
      </c>
      <c r="AK225" t="s">
        <v>51</v>
      </c>
      <c r="AL225" t="s">
        <v>44</v>
      </c>
      <c r="AM225" t="s">
        <v>44</v>
      </c>
      <c r="AN225" t="s">
        <v>44</v>
      </c>
      <c r="AO225" t="s">
        <v>52</v>
      </c>
      <c r="AP225" t="s">
        <v>53</v>
      </c>
      <c r="AQ225" t="s">
        <v>54</v>
      </c>
    </row>
    <row r="226" spans="1:43" x14ac:dyDescent="0.25">
      <c r="A226" t="s">
        <v>627</v>
      </c>
      <c r="B226" t="s">
        <v>398</v>
      </c>
      <c r="C226" t="s">
        <v>44</v>
      </c>
      <c r="D226">
        <v>273</v>
      </c>
      <c r="E226" t="s">
        <v>57</v>
      </c>
      <c r="F226" t="s">
        <v>46</v>
      </c>
      <c r="G226" t="s">
        <v>56</v>
      </c>
      <c r="H226" t="s">
        <v>44</v>
      </c>
      <c r="I226" t="s">
        <v>44</v>
      </c>
      <c r="J226" t="s">
        <v>57</v>
      </c>
      <c r="K226" t="s">
        <v>44</v>
      </c>
      <c r="L226" t="s">
        <v>57</v>
      </c>
      <c r="O226" t="s">
        <v>57</v>
      </c>
      <c r="P226">
        <v>0</v>
      </c>
      <c r="Q226" t="s">
        <v>57</v>
      </c>
      <c r="R226" t="s">
        <v>57</v>
      </c>
      <c r="S226" t="s">
        <v>56</v>
      </c>
      <c r="T226" t="s">
        <v>56</v>
      </c>
      <c r="U226" t="s">
        <v>57</v>
      </c>
      <c r="V226" t="s">
        <v>57</v>
      </c>
      <c r="W226" t="s">
        <v>62</v>
      </c>
      <c r="X226" t="s">
        <v>62</v>
      </c>
      <c r="Y226" t="s">
        <v>62</v>
      </c>
      <c r="Z226" t="s">
        <v>44</v>
      </c>
      <c r="AA226" t="s">
        <v>44</v>
      </c>
      <c r="AB226" t="s">
        <v>63</v>
      </c>
      <c r="AC226" t="s">
        <v>45</v>
      </c>
      <c r="AD226" t="s">
        <v>46</v>
      </c>
      <c r="AE226" t="s">
        <v>56</v>
      </c>
      <c r="AF226" t="s">
        <v>47</v>
      </c>
      <c r="AG226">
        <v>5.0000000000000001E-3</v>
      </c>
      <c r="AH226">
        <v>2.9999999999999997E-4</v>
      </c>
      <c r="AI226" t="s">
        <v>49</v>
      </c>
      <c r="AJ226" t="s">
        <v>50</v>
      </c>
      <c r="AK226" t="s">
        <v>51</v>
      </c>
      <c r="AL226" t="s">
        <v>44</v>
      </c>
      <c r="AM226" t="s">
        <v>44</v>
      </c>
      <c r="AN226" t="s">
        <v>44</v>
      </c>
      <c r="AO226" t="s">
        <v>52</v>
      </c>
      <c r="AP226" t="s">
        <v>53</v>
      </c>
      <c r="AQ226" t="s">
        <v>54</v>
      </c>
    </row>
    <row r="227" spans="1:43" x14ac:dyDescent="0.25">
      <c r="A227" t="s">
        <v>763</v>
      </c>
      <c r="B227" t="s">
        <v>762</v>
      </c>
    </row>
    <row r="228" spans="1:43" x14ac:dyDescent="0.25">
      <c r="A228" t="s">
        <v>399</v>
      </c>
      <c r="B228" t="s">
        <v>400</v>
      </c>
      <c r="C228" t="s">
        <v>44</v>
      </c>
      <c r="D228">
        <v>273</v>
      </c>
      <c r="E228" t="s">
        <v>57</v>
      </c>
      <c r="F228" t="s">
        <v>46</v>
      </c>
      <c r="G228" t="s">
        <v>56</v>
      </c>
      <c r="H228" t="s">
        <v>44</v>
      </c>
      <c r="I228" t="s">
        <v>44</v>
      </c>
      <c r="J228" t="s">
        <v>57</v>
      </c>
      <c r="K228" t="s">
        <v>44</v>
      </c>
      <c r="L228" t="s">
        <v>57</v>
      </c>
      <c r="O228" t="s">
        <v>57</v>
      </c>
      <c r="P228">
        <v>0</v>
      </c>
      <c r="Q228" t="s">
        <v>57</v>
      </c>
      <c r="R228" t="s">
        <v>57</v>
      </c>
      <c r="S228" t="s">
        <v>56</v>
      </c>
      <c r="T228" t="s">
        <v>56</v>
      </c>
      <c r="U228" t="s">
        <v>57</v>
      </c>
      <c r="V228" t="s">
        <v>57</v>
      </c>
      <c r="W228" t="s">
        <v>62</v>
      </c>
      <c r="X228" t="s">
        <v>62</v>
      </c>
      <c r="Y228" t="s">
        <v>62</v>
      </c>
      <c r="Z228" t="s">
        <v>44</v>
      </c>
      <c r="AA228" t="s">
        <v>44</v>
      </c>
      <c r="AB228" t="s">
        <v>63</v>
      </c>
      <c r="AC228" t="s">
        <v>45</v>
      </c>
      <c r="AD228" t="s">
        <v>46</v>
      </c>
      <c r="AE228" t="s">
        <v>56</v>
      </c>
      <c r="AF228" t="s">
        <v>47</v>
      </c>
      <c r="AG228" t="s">
        <v>57</v>
      </c>
      <c r="AH228" t="s">
        <v>48</v>
      </c>
      <c r="AI228" t="s">
        <v>49</v>
      </c>
      <c r="AJ228" t="s">
        <v>61</v>
      </c>
      <c r="AK228" t="s">
        <v>51</v>
      </c>
      <c r="AL228" t="s">
        <v>44</v>
      </c>
      <c r="AM228" t="s">
        <v>44</v>
      </c>
      <c r="AN228" t="s">
        <v>44</v>
      </c>
      <c r="AO228" t="s">
        <v>52</v>
      </c>
      <c r="AP228" t="s">
        <v>53</v>
      </c>
      <c r="AQ228" t="s">
        <v>54</v>
      </c>
    </row>
    <row r="229" spans="1:43" x14ac:dyDescent="0.25">
      <c r="A229" t="s">
        <v>674</v>
      </c>
      <c r="B229" t="s">
        <v>671</v>
      </c>
      <c r="C229" t="s">
        <v>44</v>
      </c>
      <c r="D229">
        <v>273</v>
      </c>
      <c r="E229" t="s">
        <v>57</v>
      </c>
      <c r="F229" t="s">
        <v>46</v>
      </c>
      <c r="G229" t="s">
        <v>56</v>
      </c>
      <c r="H229" t="s">
        <v>44</v>
      </c>
      <c r="I229" t="s">
        <v>44</v>
      </c>
      <c r="J229" t="s">
        <v>57</v>
      </c>
      <c r="K229" t="s">
        <v>44</v>
      </c>
      <c r="L229" t="s">
        <v>57</v>
      </c>
      <c r="O229" t="s">
        <v>57</v>
      </c>
      <c r="P229">
        <v>0</v>
      </c>
      <c r="Q229" t="s">
        <v>57</v>
      </c>
      <c r="R229" t="s">
        <v>57</v>
      </c>
      <c r="S229" t="s">
        <v>56</v>
      </c>
      <c r="T229" t="s">
        <v>56</v>
      </c>
      <c r="U229" t="s">
        <v>57</v>
      </c>
      <c r="V229" t="s">
        <v>57</v>
      </c>
      <c r="W229" t="s">
        <v>62</v>
      </c>
      <c r="X229" t="s">
        <v>62</v>
      </c>
      <c r="Y229" t="s">
        <v>62</v>
      </c>
      <c r="Z229" t="s">
        <v>44</v>
      </c>
      <c r="AA229" t="s">
        <v>44</v>
      </c>
      <c r="AB229" t="s">
        <v>63</v>
      </c>
      <c r="AC229" t="s">
        <v>45</v>
      </c>
      <c r="AD229" t="s">
        <v>46</v>
      </c>
      <c r="AE229" t="s">
        <v>56</v>
      </c>
      <c r="AF229" t="s">
        <v>47</v>
      </c>
      <c r="AG229" t="s">
        <v>57</v>
      </c>
      <c r="AH229" t="s">
        <v>48</v>
      </c>
      <c r="AI229" t="s">
        <v>49</v>
      </c>
      <c r="AJ229" t="s">
        <v>61</v>
      </c>
      <c r="AK229" t="s">
        <v>51</v>
      </c>
      <c r="AL229" t="s">
        <v>44</v>
      </c>
      <c r="AM229" t="s">
        <v>44</v>
      </c>
      <c r="AN229" t="s">
        <v>44</v>
      </c>
      <c r="AO229" t="s">
        <v>52</v>
      </c>
      <c r="AP229" t="s">
        <v>53</v>
      </c>
      <c r="AQ229" t="s">
        <v>54</v>
      </c>
    </row>
    <row r="230" spans="1:43" x14ac:dyDescent="0.25">
      <c r="A230" t="s">
        <v>401</v>
      </c>
      <c r="B230" t="s">
        <v>402</v>
      </c>
      <c r="C230" t="s">
        <v>44</v>
      </c>
      <c r="D230">
        <v>273.14999999999998</v>
      </c>
      <c r="E230" t="s">
        <v>57</v>
      </c>
      <c r="F230" t="s">
        <v>46</v>
      </c>
      <c r="G230" t="s">
        <v>56</v>
      </c>
      <c r="H230" t="s">
        <v>44</v>
      </c>
      <c r="I230" t="s">
        <v>44</v>
      </c>
      <c r="J230" t="s">
        <v>57</v>
      </c>
      <c r="K230" t="s">
        <v>44</v>
      </c>
      <c r="L230" t="s">
        <v>57</v>
      </c>
      <c r="O230" t="s">
        <v>57</v>
      </c>
      <c r="P230">
        <v>0</v>
      </c>
      <c r="Q230" t="s">
        <v>57</v>
      </c>
      <c r="R230" t="s">
        <v>57</v>
      </c>
      <c r="S230" t="s">
        <v>56</v>
      </c>
      <c r="T230" t="s">
        <v>56</v>
      </c>
      <c r="U230" t="s">
        <v>57</v>
      </c>
      <c r="V230" t="s">
        <v>57</v>
      </c>
      <c r="W230" t="s">
        <v>62</v>
      </c>
      <c r="X230" t="s">
        <v>62</v>
      </c>
      <c r="Y230" t="s">
        <v>62</v>
      </c>
      <c r="Z230" t="s">
        <v>44</v>
      </c>
      <c r="AA230" t="s">
        <v>44</v>
      </c>
      <c r="AB230" t="s">
        <v>63</v>
      </c>
      <c r="AC230" t="s">
        <v>45</v>
      </c>
      <c r="AD230" t="s">
        <v>46</v>
      </c>
      <c r="AE230" t="s">
        <v>56</v>
      </c>
      <c r="AF230" t="s">
        <v>47</v>
      </c>
      <c r="AG230" t="s">
        <v>57</v>
      </c>
      <c r="AH230" t="s">
        <v>48</v>
      </c>
      <c r="AI230" t="s">
        <v>49</v>
      </c>
      <c r="AJ230" t="s">
        <v>61</v>
      </c>
      <c r="AK230" t="s">
        <v>51</v>
      </c>
      <c r="AL230" t="s">
        <v>44</v>
      </c>
      <c r="AM230" t="s">
        <v>44</v>
      </c>
      <c r="AN230" t="s">
        <v>44</v>
      </c>
      <c r="AO230" t="s">
        <v>52</v>
      </c>
      <c r="AP230" t="s">
        <v>53</v>
      </c>
      <c r="AQ230" t="s">
        <v>54</v>
      </c>
    </row>
    <row r="231" spans="1:43" x14ac:dyDescent="0.25">
      <c r="A231" t="s">
        <v>705</v>
      </c>
      <c r="B231" t="s">
        <v>403</v>
      </c>
      <c r="C231">
        <v>326</v>
      </c>
      <c r="D231">
        <v>283</v>
      </c>
      <c r="E231">
        <v>1.01E-7</v>
      </c>
      <c r="F231">
        <v>4.2999999999999997E-2</v>
      </c>
      <c r="G231">
        <v>2.8299999999999999E-4</v>
      </c>
      <c r="H231">
        <v>1E-3</v>
      </c>
      <c r="I231">
        <v>1.0000000000000001E-5</v>
      </c>
      <c r="J231">
        <v>3160000</v>
      </c>
      <c r="K231">
        <v>2450000</v>
      </c>
      <c r="L231">
        <v>24500</v>
      </c>
      <c r="M231">
        <v>184000</v>
      </c>
      <c r="N231">
        <v>98100</v>
      </c>
      <c r="O231">
        <v>0.03</v>
      </c>
      <c r="P231">
        <v>0.99199999999999999</v>
      </c>
      <c r="Q231">
        <v>23500</v>
      </c>
      <c r="R231">
        <v>0.95799999999999996</v>
      </c>
      <c r="S231">
        <v>6.7799999999999996E-3</v>
      </c>
      <c r="T231">
        <v>6.7799999999999996E-3</v>
      </c>
      <c r="U231">
        <v>1650</v>
      </c>
      <c r="V231">
        <v>1650</v>
      </c>
      <c r="W231">
        <v>6.5199999999999998E-3</v>
      </c>
      <c r="X231">
        <v>3.1E-2</v>
      </c>
      <c r="Y231">
        <v>3.7499999999999999E-2</v>
      </c>
      <c r="Z231">
        <v>12.8</v>
      </c>
      <c r="AA231" t="s">
        <v>44</v>
      </c>
      <c r="AB231">
        <v>84100</v>
      </c>
      <c r="AC231" t="s">
        <v>45</v>
      </c>
      <c r="AD231">
        <v>2</v>
      </c>
      <c r="AE231">
        <v>5.0000000000000002E-5</v>
      </c>
      <c r="AF231">
        <v>2</v>
      </c>
      <c r="AG231">
        <v>3.9999999999999998E-7</v>
      </c>
      <c r="AH231">
        <v>1E-4</v>
      </c>
      <c r="AI231" t="s">
        <v>49</v>
      </c>
      <c r="AJ231" t="s">
        <v>50</v>
      </c>
      <c r="AK231" t="s">
        <v>65</v>
      </c>
      <c r="AL231">
        <v>0.01</v>
      </c>
      <c r="AM231">
        <v>1.2999999999999999E-2</v>
      </c>
      <c r="AN231">
        <v>3.2000000000000001E-2</v>
      </c>
      <c r="AO231" t="s">
        <v>52</v>
      </c>
      <c r="AP231" t="s">
        <v>53</v>
      </c>
      <c r="AQ231" t="s">
        <v>54</v>
      </c>
    </row>
    <row r="232" spans="1:43" x14ac:dyDescent="0.25">
      <c r="A232" t="s">
        <v>532</v>
      </c>
      <c r="B232" t="s">
        <v>537</v>
      </c>
      <c r="C232">
        <v>122.14</v>
      </c>
      <c r="D232">
        <v>299.5</v>
      </c>
      <c r="E232">
        <v>3.1300000000000002E-4</v>
      </c>
      <c r="F232">
        <v>170700</v>
      </c>
      <c r="G232">
        <v>2.3599999999999999E-6</v>
      </c>
      <c r="H232">
        <v>7.3099999999999998E-2</v>
      </c>
      <c r="I232">
        <v>1.04E-5</v>
      </c>
      <c r="J232">
        <v>0.52500000000000002</v>
      </c>
      <c r="K232">
        <v>9.4109999999999996</v>
      </c>
      <c r="M232">
        <v>0.70582499999999992</v>
      </c>
      <c r="N232">
        <v>0.37644</v>
      </c>
      <c r="P232">
        <v>1</v>
      </c>
      <c r="U232">
        <v>56</v>
      </c>
      <c r="V232">
        <v>56</v>
      </c>
      <c r="W232">
        <v>4.1499999999999999E-9</v>
      </c>
      <c r="X232">
        <v>1.31E-8</v>
      </c>
      <c r="AB232">
        <v>0.91959999999999997</v>
      </c>
      <c r="AC232">
        <v>0.91959999999999997</v>
      </c>
      <c r="AF232">
        <v>2.4</v>
      </c>
      <c r="AH232">
        <v>6.8999999999999997E-4</v>
      </c>
      <c r="AJ232" t="s">
        <v>50</v>
      </c>
    </row>
    <row r="233" spans="1:43" x14ac:dyDescent="0.25">
      <c r="A233" t="s">
        <v>533</v>
      </c>
      <c r="B233" t="s">
        <v>538</v>
      </c>
      <c r="C233">
        <v>146.18</v>
      </c>
      <c r="E233">
        <v>9.1699999999999995E-4</v>
      </c>
      <c r="K233">
        <v>104.82</v>
      </c>
      <c r="M233">
        <v>7.8614999999999995</v>
      </c>
      <c r="N233">
        <v>4.1928000000000001</v>
      </c>
      <c r="P233">
        <v>1</v>
      </c>
    </row>
    <row r="234" spans="1:43" x14ac:dyDescent="0.25">
      <c r="A234" t="s">
        <v>628</v>
      </c>
      <c r="B234" t="s">
        <v>410</v>
      </c>
      <c r="C234">
        <v>104.15</v>
      </c>
      <c r="D234">
        <v>241.86</v>
      </c>
      <c r="E234">
        <v>1.7949999999999999E-3</v>
      </c>
      <c r="F234">
        <v>317000</v>
      </c>
      <c r="G234">
        <v>7.3799999999999999E-8</v>
      </c>
      <c r="H234" t="s">
        <v>44</v>
      </c>
      <c r="I234" t="s">
        <v>44</v>
      </c>
      <c r="J234">
        <v>1.2</v>
      </c>
      <c r="K234">
        <v>1.5489999999999999</v>
      </c>
      <c r="L234" t="s">
        <v>57</v>
      </c>
      <c r="M234">
        <v>0.11617499999999999</v>
      </c>
      <c r="N234">
        <v>6.1960000000000001E-2</v>
      </c>
      <c r="O234" t="s">
        <v>57</v>
      </c>
      <c r="P234">
        <v>1</v>
      </c>
      <c r="Q234" t="s">
        <v>57</v>
      </c>
      <c r="R234" t="s">
        <v>57</v>
      </c>
      <c r="S234" t="s">
        <v>56</v>
      </c>
      <c r="T234" t="s">
        <v>56</v>
      </c>
      <c r="U234" t="s">
        <v>57</v>
      </c>
      <c r="V234" t="s">
        <v>57</v>
      </c>
      <c r="W234" t="s">
        <v>62</v>
      </c>
      <c r="X234" t="s">
        <v>62</v>
      </c>
      <c r="Y234" t="s">
        <v>62</v>
      </c>
      <c r="Z234" t="s">
        <v>44</v>
      </c>
      <c r="AA234" t="s">
        <v>44</v>
      </c>
      <c r="AB234">
        <v>0.96199999999999997</v>
      </c>
      <c r="AC234">
        <v>0.96199999999999997</v>
      </c>
      <c r="AD234" t="s">
        <v>46</v>
      </c>
      <c r="AE234" t="s">
        <v>56</v>
      </c>
      <c r="AF234" t="s">
        <v>47</v>
      </c>
      <c r="AG234" t="s">
        <v>57</v>
      </c>
      <c r="AH234" t="s">
        <v>48</v>
      </c>
      <c r="AI234" t="s">
        <v>49</v>
      </c>
      <c r="AJ234" t="s">
        <v>50</v>
      </c>
      <c r="AK234" t="s">
        <v>51</v>
      </c>
      <c r="AL234" t="s">
        <v>44</v>
      </c>
      <c r="AM234" t="s">
        <v>44</v>
      </c>
      <c r="AN234" t="s">
        <v>44</v>
      </c>
      <c r="AO234" t="s">
        <v>52</v>
      </c>
      <c r="AP234" t="s">
        <v>53</v>
      </c>
      <c r="AQ234" t="s">
        <v>54</v>
      </c>
    </row>
    <row r="235" spans="1:43" x14ac:dyDescent="0.25">
      <c r="A235" t="s">
        <v>743</v>
      </c>
      <c r="B235" t="s">
        <v>744</v>
      </c>
      <c r="C235">
        <v>42.08</v>
      </c>
      <c r="D235">
        <v>138.62</v>
      </c>
      <c r="E235">
        <v>9.17</v>
      </c>
      <c r="F235">
        <v>1162</v>
      </c>
      <c r="G235">
        <v>1.5299999999999999E-5</v>
      </c>
      <c r="H235">
        <v>0.11</v>
      </c>
      <c r="I235">
        <v>1.0699999999999999E-5</v>
      </c>
      <c r="J235">
        <v>47.9</v>
      </c>
      <c r="K235">
        <v>21.73</v>
      </c>
      <c r="P235">
        <v>1</v>
      </c>
      <c r="U235">
        <v>3.62</v>
      </c>
      <c r="V235">
        <v>3.62</v>
      </c>
      <c r="W235">
        <v>4.6499999999999999E-7</v>
      </c>
      <c r="X235">
        <v>1.4699999999999999E-6</v>
      </c>
      <c r="AB235">
        <v>6.3979999999999997</v>
      </c>
      <c r="AC235">
        <v>6.3979999999999997</v>
      </c>
      <c r="AG235">
        <v>3</v>
      </c>
    </row>
    <row r="236" spans="1:43" x14ac:dyDescent="0.25">
      <c r="A236" t="s">
        <v>534</v>
      </c>
      <c r="B236" t="s">
        <v>411</v>
      </c>
      <c r="C236">
        <v>58.1</v>
      </c>
      <c r="D236">
        <v>161</v>
      </c>
      <c r="E236">
        <v>0.70799999999999996</v>
      </c>
      <c r="F236">
        <v>590000</v>
      </c>
      <c r="G236">
        <v>6.97E-5</v>
      </c>
      <c r="H236">
        <v>0.127</v>
      </c>
      <c r="I236">
        <v>1.47E-5</v>
      </c>
      <c r="J236">
        <v>1.07</v>
      </c>
      <c r="K236">
        <v>1.07</v>
      </c>
      <c r="L236">
        <v>1.0699999999999999E-2</v>
      </c>
      <c r="M236">
        <v>8.0299999999999996E-2</v>
      </c>
      <c r="N236">
        <v>4.2799999999999998E-2</v>
      </c>
      <c r="O236">
        <v>8.43</v>
      </c>
      <c r="P236">
        <v>1</v>
      </c>
      <c r="Q236">
        <v>6.55</v>
      </c>
      <c r="R236">
        <v>612</v>
      </c>
      <c r="S236">
        <v>37.200000000000003</v>
      </c>
      <c r="T236">
        <v>37.200000000000003</v>
      </c>
      <c r="U236">
        <v>8.6300000000000005E-4</v>
      </c>
      <c r="V236">
        <v>8.6300000000000005E-4</v>
      </c>
      <c r="W236">
        <v>1.19E-5</v>
      </c>
      <c r="X236">
        <v>5.63E-5</v>
      </c>
      <c r="Y236">
        <v>6.8200000000000004E-5</v>
      </c>
      <c r="Z236" t="s">
        <v>44</v>
      </c>
      <c r="AA236" t="s">
        <v>44</v>
      </c>
      <c r="AB236">
        <v>3.16</v>
      </c>
      <c r="AC236" t="s">
        <v>45</v>
      </c>
      <c r="AD236" t="s">
        <v>46</v>
      </c>
      <c r="AF236">
        <v>0.24</v>
      </c>
      <c r="AG236">
        <v>0.03</v>
      </c>
      <c r="AH236">
        <v>3.7000000000000002E-6</v>
      </c>
      <c r="AI236" t="s">
        <v>49</v>
      </c>
      <c r="AJ236" t="s">
        <v>50</v>
      </c>
      <c r="AK236" t="s">
        <v>51</v>
      </c>
      <c r="AL236">
        <v>37.200000000000003</v>
      </c>
      <c r="AM236">
        <v>2.37E-5</v>
      </c>
      <c r="AN236">
        <v>4.1499999999999999E-5</v>
      </c>
      <c r="AO236" t="s">
        <v>52</v>
      </c>
      <c r="AP236" t="s">
        <v>53</v>
      </c>
      <c r="AQ236" t="s">
        <v>54</v>
      </c>
    </row>
    <row r="237" spans="1:43" x14ac:dyDescent="0.25">
      <c r="A237" t="s">
        <v>530</v>
      </c>
      <c r="B237" t="s">
        <v>531</v>
      </c>
      <c r="C237">
        <v>57.1</v>
      </c>
      <c r="D237">
        <v>223.15</v>
      </c>
      <c r="E237">
        <v>0.19500000000000001</v>
      </c>
      <c r="F237">
        <v>1000000</v>
      </c>
      <c r="G237">
        <v>9.7399999999999999E-6</v>
      </c>
      <c r="H237">
        <v>0.108</v>
      </c>
      <c r="I237">
        <v>1.1800000000000001E-5</v>
      </c>
      <c r="J237">
        <v>1.35</v>
      </c>
      <c r="K237">
        <v>14.51</v>
      </c>
      <c r="M237">
        <v>1.0882499999999999</v>
      </c>
      <c r="N237">
        <v>0.58040000000000003</v>
      </c>
      <c r="P237">
        <v>1</v>
      </c>
      <c r="U237">
        <v>32.4</v>
      </c>
      <c r="V237">
        <v>32.4</v>
      </c>
      <c r="W237">
        <v>1.07E-8</v>
      </c>
      <c r="X237">
        <v>3.3699999999999997E-8</v>
      </c>
      <c r="AB237">
        <v>1.0149999999999999</v>
      </c>
      <c r="AC237">
        <v>1.0149999999999999</v>
      </c>
    </row>
    <row r="238" spans="1:43" x14ac:dyDescent="0.25">
      <c r="A238" t="s">
        <v>412</v>
      </c>
      <c r="B238" t="s">
        <v>413</v>
      </c>
      <c r="C238">
        <v>202</v>
      </c>
      <c r="D238">
        <v>423</v>
      </c>
      <c r="E238">
        <v>6.0500000000000004E-9</v>
      </c>
      <c r="F238">
        <v>1.4</v>
      </c>
      <c r="G238">
        <v>1.1E-5</v>
      </c>
      <c r="H238">
        <v>1E-3</v>
      </c>
      <c r="I238">
        <v>1.0000000000000001E-5</v>
      </c>
      <c r="J238">
        <v>79400</v>
      </c>
      <c r="K238">
        <v>68000</v>
      </c>
      <c r="L238">
        <v>9500</v>
      </c>
      <c r="M238">
        <v>5100</v>
      </c>
      <c r="N238">
        <v>2720</v>
      </c>
      <c r="O238">
        <v>0.13</v>
      </c>
      <c r="P238">
        <v>0.99399999999999999</v>
      </c>
      <c r="Q238">
        <v>1380</v>
      </c>
      <c r="R238">
        <v>0.14499999999999999</v>
      </c>
      <c r="S238">
        <v>5.7000000000000002E-2</v>
      </c>
      <c r="T238">
        <v>5.7000000000000002E-2</v>
      </c>
      <c r="U238">
        <v>840</v>
      </c>
      <c r="V238">
        <v>840</v>
      </c>
      <c r="W238">
        <v>8.09E-3</v>
      </c>
      <c r="X238">
        <v>3.8399999999999997E-2</v>
      </c>
      <c r="Y238">
        <v>4.65E-2</v>
      </c>
      <c r="Z238">
        <v>0.79800000000000004</v>
      </c>
      <c r="AA238" t="s">
        <v>44</v>
      </c>
      <c r="AB238">
        <v>1180</v>
      </c>
      <c r="AC238">
        <v>3290</v>
      </c>
      <c r="AD238" t="s">
        <v>46</v>
      </c>
      <c r="AE238">
        <v>0.03</v>
      </c>
      <c r="AF238" t="s">
        <v>47</v>
      </c>
      <c r="AG238" t="s">
        <v>57</v>
      </c>
      <c r="AH238" t="s">
        <v>48</v>
      </c>
      <c r="AI238" t="s">
        <v>49</v>
      </c>
      <c r="AJ238" t="s">
        <v>50</v>
      </c>
      <c r="AK238" t="s">
        <v>72</v>
      </c>
      <c r="AL238">
        <v>5.7000000000000002E-2</v>
      </c>
      <c r="AM238">
        <v>1.6199999999999999E-2</v>
      </c>
      <c r="AN238">
        <v>2.8299999999999999E-2</v>
      </c>
      <c r="AO238" t="s">
        <v>52</v>
      </c>
      <c r="AP238" t="s">
        <v>53</v>
      </c>
      <c r="AQ238" t="s">
        <v>54</v>
      </c>
    </row>
    <row r="239" spans="1:43" x14ac:dyDescent="0.25">
      <c r="A239" t="s">
        <v>629</v>
      </c>
      <c r="B239" t="s">
        <v>414</v>
      </c>
      <c r="C239">
        <v>108.1</v>
      </c>
      <c r="D239">
        <v>297.74</v>
      </c>
      <c r="E239">
        <v>3.3500000000000001E-5</v>
      </c>
      <c r="F239">
        <v>74500</v>
      </c>
      <c r="G239">
        <v>1.2199999999999999E-9</v>
      </c>
      <c r="H239" t="s">
        <v>44</v>
      </c>
      <c r="I239" t="s">
        <v>44</v>
      </c>
      <c r="J239">
        <v>1.78</v>
      </c>
      <c r="K239">
        <v>41.19</v>
      </c>
      <c r="L239" t="s">
        <v>57</v>
      </c>
      <c r="M239">
        <v>3.0892499999999998</v>
      </c>
      <c r="N239">
        <v>1.6476</v>
      </c>
      <c r="O239" t="s">
        <v>57</v>
      </c>
      <c r="P239">
        <v>1</v>
      </c>
      <c r="Q239" t="s">
        <v>57</v>
      </c>
      <c r="R239" t="s">
        <v>57</v>
      </c>
      <c r="S239" t="s">
        <v>56</v>
      </c>
      <c r="T239" t="s">
        <v>56</v>
      </c>
      <c r="U239" t="s">
        <v>57</v>
      </c>
      <c r="V239" t="s">
        <v>57</v>
      </c>
      <c r="W239" t="s">
        <v>62</v>
      </c>
      <c r="X239" t="s">
        <v>62</v>
      </c>
      <c r="Y239" t="s">
        <v>62</v>
      </c>
      <c r="Z239" t="s">
        <v>44</v>
      </c>
      <c r="AA239" t="s">
        <v>44</v>
      </c>
      <c r="AB239">
        <v>0.96950000000000003</v>
      </c>
      <c r="AC239">
        <v>0.96950000000000003</v>
      </c>
      <c r="AD239" t="s">
        <v>46</v>
      </c>
      <c r="AE239" t="s">
        <v>56</v>
      </c>
      <c r="AF239" t="s">
        <v>47</v>
      </c>
      <c r="AG239" t="s">
        <v>57</v>
      </c>
      <c r="AH239" t="s">
        <v>48</v>
      </c>
      <c r="AI239" t="s">
        <v>49</v>
      </c>
      <c r="AJ239" t="s">
        <v>50</v>
      </c>
      <c r="AK239" t="s">
        <v>51</v>
      </c>
      <c r="AL239" t="s">
        <v>44</v>
      </c>
      <c r="AM239" t="s">
        <v>44</v>
      </c>
      <c r="AN239" t="s">
        <v>44</v>
      </c>
      <c r="AO239" t="s">
        <v>52</v>
      </c>
      <c r="AP239" t="s">
        <v>53</v>
      </c>
      <c r="AQ239" t="s">
        <v>54</v>
      </c>
    </row>
    <row r="240" spans="1:43" x14ac:dyDescent="0.25">
      <c r="A240" t="s">
        <v>415</v>
      </c>
      <c r="B240" t="s">
        <v>416</v>
      </c>
      <c r="C240">
        <v>79</v>
      </c>
      <c r="D240">
        <v>493</v>
      </c>
      <c r="E240">
        <v>0</v>
      </c>
      <c r="F240">
        <v>2060</v>
      </c>
      <c r="G240">
        <v>9.7000000000000003E-3</v>
      </c>
      <c r="H240">
        <v>7.7200000000000005E-2</v>
      </c>
      <c r="I240">
        <v>9.5699999999999999E-6</v>
      </c>
      <c r="J240">
        <v>1.74</v>
      </c>
      <c r="K240" t="s">
        <v>44</v>
      </c>
      <c r="L240">
        <v>5</v>
      </c>
      <c r="M240">
        <v>5</v>
      </c>
      <c r="N240">
        <v>5</v>
      </c>
      <c r="O240" t="s">
        <v>57</v>
      </c>
      <c r="P240">
        <v>0</v>
      </c>
      <c r="Q240" t="s">
        <v>57</v>
      </c>
      <c r="R240">
        <v>2.1999999999999999E-2</v>
      </c>
      <c r="S240">
        <v>1.95E-2</v>
      </c>
      <c r="T240">
        <v>1.6E-2</v>
      </c>
      <c r="U240" t="s">
        <v>57</v>
      </c>
      <c r="V240" t="s">
        <v>57</v>
      </c>
      <c r="W240">
        <v>5.8599999999999998E-3</v>
      </c>
      <c r="X240">
        <v>2.2699999999999999E-3</v>
      </c>
      <c r="Y240">
        <v>0.188</v>
      </c>
      <c r="Z240">
        <v>1.1299999999999999</v>
      </c>
      <c r="AA240" t="s">
        <v>44</v>
      </c>
      <c r="AB240">
        <v>129</v>
      </c>
      <c r="AC240" t="s">
        <v>45</v>
      </c>
      <c r="AD240" t="s">
        <v>46</v>
      </c>
      <c r="AE240">
        <v>5.0000000000000001E-3</v>
      </c>
      <c r="AF240" t="s">
        <v>47</v>
      </c>
      <c r="AG240">
        <v>0.02</v>
      </c>
      <c r="AH240" t="s">
        <v>48</v>
      </c>
      <c r="AI240" t="s">
        <v>49</v>
      </c>
      <c r="AJ240" t="s">
        <v>110</v>
      </c>
      <c r="AK240" t="s">
        <v>111</v>
      </c>
      <c r="AL240">
        <v>2E-3</v>
      </c>
      <c r="AM240">
        <v>1.1299999999999999</v>
      </c>
      <c r="AN240">
        <v>1.1299999999999999</v>
      </c>
      <c r="AO240" t="s">
        <v>52</v>
      </c>
      <c r="AP240" t="s">
        <v>53</v>
      </c>
      <c r="AQ240" t="s">
        <v>54</v>
      </c>
    </row>
    <row r="241" spans="1:43" x14ac:dyDescent="0.25">
      <c r="A241" t="s">
        <v>417</v>
      </c>
      <c r="B241" t="s">
        <v>418</v>
      </c>
      <c r="C241">
        <v>104</v>
      </c>
      <c r="D241">
        <v>242</v>
      </c>
      <c r="E241">
        <v>8.0300000000000007E-3</v>
      </c>
      <c r="F241">
        <v>310</v>
      </c>
      <c r="G241">
        <v>2.7000000000000001E-3</v>
      </c>
      <c r="H241">
        <v>7.0999999999999994E-2</v>
      </c>
      <c r="I241">
        <v>7.9999999999999996E-6</v>
      </c>
      <c r="J241">
        <v>1000</v>
      </c>
      <c r="K241">
        <v>912</v>
      </c>
      <c r="L241">
        <v>120</v>
      </c>
      <c r="M241">
        <v>68.400000000000006</v>
      </c>
      <c r="N241">
        <v>36.5</v>
      </c>
      <c r="O241">
        <v>9.0299999999999994</v>
      </c>
      <c r="P241">
        <v>1</v>
      </c>
      <c r="Q241">
        <v>47.4</v>
      </c>
      <c r="R241">
        <v>0.39500000000000002</v>
      </c>
      <c r="S241">
        <v>0.71399999999999997</v>
      </c>
      <c r="T241">
        <v>0.71399999999999997</v>
      </c>
      <c r="U241">
        <v>3.2399999999999998E-2</v>
      </c>
      <c r="V241">
        <v>3.2399999999999998E-2</v>
      </c>
      <c r="W241">
        <v>2.3E-3</v>
      </c>
      <c r="X241">
        <v>1.09E-2</v>
      </c>
      <c r="Y241">
        <v>1.32E-2</v>
      </c>
      <c r="Z241">
        <v>6.7400000000000003E-3</v>
      </c>
      <c r="AA241" t="s">
        <v>44</v>
      </c>
      <c r="AB241">
        <v>40.700000000000003</v>
      </c>
      <c r="AC241" t="s">
        <v>45</v>
      </c>
      <c r="AD241" t="s">
        <v>46</v>
      </c>
      <c r="AE241">
        <v>0.2</v>
      </c>
      <c r="AF241" t="s">
        <v>47</v>
      </c>
      <c r="AG241">
        <v>1</v>
      </c>
      <c r="AH241" t="s">
        <v>48</v>
      </c>
      <c r="AI241" t="s">
        <v>49</v>
      </c>
      <c r="AJ241" t="s">
        <v>50</v>
      </c>
      <c r="AK241" t="s">
        <v>51</v>
      </c>
      <c r="AL241">
        <v>0.71399999999999997</v>
      </c>
      <c r="AM241">
        <v>4.5900000000000003E-3</v>
      </c>
      <c r="AN241">
        <v>8.0400000000000003E-3</v>
      </c>
      <c r="AO241" t="s">
        <v>52</v>
      </c>
      <c r="AP241" t="s">
        <v>53</v>
      </c>
      <c r="AQ241" t="s">
        <v>54</v>
      </c>
    </row>
    <row r="242" spans="1:43" x14ac:dyDescent="0.25">
      <c r="A242" t="s">
        <v>630</v>
      </c>
      <c r="B242" t="s">
        <v>480</v>
      </c>
      <c r="C242">
        <v>64.099999999999994</v>
      </c>
      <c r="D242">
        <v>198</v>
      </c>
      <c r="E242">
        <v>3.95</v>
      </c>
      <c r="F242">
        <v>1000000</v>
      </c>
      <c r="G242" t="s">
        <v>56</v>
      </c>
      <c r="H242" t="s">
        <v>44</v>
      </c>
      <c r="I242" t="s">
        <v>44</v>
      </c>
      <c r="J242" t="s">
        <v>57</v>
      </c>
      <c r="K242" t="s">
        <v>44</v>
      </c>
      <c r="P242">
        <v>1</v>
      </c>
      <c r="Q242" t="s">
        <v>57</v>
      </c>
      <c r="R242" t="s">
        <v>57</v>
      </c>
      <c r="S242" t="s">
        <v>56</v>
      </c>
      <c r="T242" t="s">
        <v>56</v>
      </c>
      <c r="U242" t="s">
        <v>57</v>
      </c>
      <c r="V242" t="s">
        <v>57</v>
      </c>
      <c r="W242" t="s">
        <v>62</v>
      </c>
      <c r="X242" t="s">
        <v>62</v>
      </c>
      <c r="Y242" t="s">
        <v>62</v>
      </c>
      <c r="Z242" t="s">
        <v>44</v>
      </c>
      <c r="AA242" t="s">
        <v>44</v>
      </c>
      <c r="AB242" t="s">
        <v>63</v>
      </c>
      <c r="AC242" t="s">
        <v>45</v>
      </c>
      <c r="AD242" t="s">
        <v>46</v>
      </c>
      <c r="AE242" t="s">
        <v>56</v>
      </c>
      <c r="AF242" t="s">
        <v>47</v>
      </c>
      <c r="AG242" t="s">
        <v>57</v>
      </c>
      <c r="AH242" t="s">
        <v>48</v>
      </c>
      <c r="AI242" t="s">
        <v>49</v>
      </c>
      <c r="AJ242" t="s">
        <v>110</v>
      </c>
      <c r="AK242" t="s">
        <v>51</v>
      </c>
      <c r="AL242" t="s">
        <v>44</v>
      </c>
      <c r="AM242" t="s">
        <v>44</v>
      </c>
      <c r="AN242" t="s">
        <v>44</v>
      </c>
      <c r="AO242" t="s">
        <v>52</v>
      </c>
      <c r="AP242" t="s">
        <v>53</v>
      </c>
      <c r="AQ242" t="s">
        <v>54</v>
      </c>
    </row>
    <row r="243" spans="1:43" x14ac:dyDescent="0.25">
      <c r="A243" t="s">
        <v>684</v>
      </c>
      <c r="B243" t="s">
        <v>683</v>
      </c>
      <c r="C243">
        <v>64.099999999999994</v>
      </c>
      <c r="D243">
        <v>198</v>
      </c>
      <c r="E243">
        <v>3.95</v>
      </c>
      <c r="F243">
        <v>1000000</v>
      </c>
      <c r="G243" t="s">
        <v>56</v>
      </c>
      <c r="H243" t="s">
        <v>44</v>
      </c>
      <c r="I243" t="s">
        <v>44</v>
      </c>
      <c r="J243" t="s">
        <v>57</v>
      </c>
      <c r="K243" t="s">
        <v>44</v>
      </c>
      <c r="P243">
        <v>1</v>
      </c>
      <c r="Q243" t="s">
        <v>57</v>
      </c>
      <c r="R243" t="s">
        <v>57</v>
      </c>
      <c r="S243" t="s">
        <v>56</v>
      </c>
      <c r="T243" t="s">
        <v>56</v>
      </c>
      <c r="U243" t="s">
        <v>57</v>
      </c>
      <c r="V243" t="s">
        <v>57</v>
      </c>
      <c r="W243" t="s">
        <v>62</v>
      </c>
      <c r="X243" t="s">
        <v>62</v>
      </c>
      <c r="Y243" t="s">
        <v>62</v>
      </c>
      <c r="Z243" t="s">
        <v>44</v>
      </c>
      <c r="AA243" t="s">
        <v>44</v>
      </c>
      <c r="AB243" t="s">
        <v>63</v>
      </c>
      <c r="AC243" t="s">
        <v>45</v>
      </c>
      <c r="AD243" t="s">
        <v>46</v>
      </c>
      <c r="AE243" t="s">
        <v>56</v>
      </c>
      <c r="AF243" t="s">
        <v>47</v>
      </c>
      <c r="AG243" t="s">
        <v>57</v>
      </c>
      <c r="AH243" t="s">
        <v>48</v>
      </c>
      <c r="AI243" t="s">
        <v>49</v>
      </c>
      <c r="AJ243" t="s">
        <v>110</v>
      </c>
      <c r="AK243" t="s">
        <v>51</v>
      </c>
      <c r="AL243" t="s">
        <v>44</v>
      </c>
      <c r="AM243" t="s">
        <v>44</v>
      </c>
      <c r="AN243" t="s">
        <v>44</v>
      </c>
      <c r="AO243" t="s">
        <v>52</v>
      </c>
      <c r="AP243" t="s">
        <v>53</v>
      </c>
      <c r="AQ243" t="s">
        <v>54</v>
      </c>
    </row>
    <row r="244" spans="1:43" x14ac:dyDescent="0.25">
      <c r="A244" t="s">
        <v>535</v>
      </c>
      <c r="B244" t="s">
        <v>536</v>
      </c>
      <c r="C244">
        <v>146.05000000000001</v>
      </c>
      <c r="D244">
        <v>375.35</v>
      </c>
      <c r="E244">
        <v>1.6799999999999999E-10</v>
      </c>
      <c r="F244">
        <v>2901</v>
      </c>
      <c r="G244">
        <v>3.08</v>
      </c>
      <c r="J244">
        <v>43.7</v>
      </c>
      <c r="K244">
        <v>75.290000000000006</v>
      </c>
      <c r="M244">
        <v>5.6467499999999999</v>
      </c>
      <c r="N244">
        <v>3.0116000000000005</v>
      </c>
      <c r="P244">
        <v>1</v>
      </c>
      <c r="AB244">
        <v>5.91</v>
      </c>
      <c r="AC244">
        <v>5.91</v>
      </c>
    </row>
    <row r="245" spans="1:43" x14ac:dyDescent="0.25">
      <c r="A245" t="s">
        <v>490</v>
      </c>
      <c r="B245" t="s">
        <v>491</v>
      </c>
      <c r="C245">
        <v>98.07</v>
      </c>
      <c r="D245">
        <v>544.47</v>
      </c>
      <c r="E245">
        <v>1.8699999999999999E-7</v>
      </c>
      <c r="F245">
        <v>1000000</v>
      </c>
      <c r="G245">
        <v>2.5400000000000001E-11</v>
      </c>
      <c r="J245">
        <v>6.3099999999999996E-3</v>
      </c>
      <c r="K245">
        <v>2.21</v>
      </c>
      <c r="M245">
        <v>0.16574999999999998</v>
      </c>
      <c r="N245">
        <v>8.8400000000000006E-2</v>
      </c>
      <c r="P245">
        <v>0.98650000000000004</v>
      </c>
    </row>
    <row r="246" spans="1:43" x14ac:dyDescent="0.25">
      <c r="A246" t="s">
        <v>419</v>
      </c>
      <c r="B246" t="s">
        <v>420</v>
      </c>
      <c r="C246">
        <v>322</v>
      </c>
      <c r="D246">
        <v>579</v>
      </c>
      <c r="E246">
        <v>1.9699999999999999E-12</v>
      </c>
      <c r="F246">
        <v>1.9300000000000002E-5</v>
      </c>
      <c r="G246">
        <v>3.29E-5</v>
      </c>
      <c r="H246">
        <v>0.104</v>
      </c>
      <c r="I246">
        <v>5.5999999999999997E-6</v>
      </c>
      <c r="J246">
        <v>6310000</v>
      </c>
      <c r="K246">
        <v>3890000</v>
      </c>
      <c r="L246">
        <v>38900</v>
      </c>
      <c r="M246">
        <v>292000</v>
      </c>
      <c r="N246">
        <v>156000</v>
      </c>
      <c r="O246">
        <v>0.03</v>
      </c>
      <c r="P246">
        <v>0.66400000000000003</v>
      </c>
      <c r="Q246">
        <v>40000</v>
      </c>
      <c r="R246">
        <v>1.03</v>
      </c>
      <c r="S246">
        <v>4.5500000000000002E-3</v>
      </c>
      <c r="T246">
        <v>4.5500000000000002E-3</v>
      </c>
      <c r="U246">
        <v>65500</v>
      </c>
      <c r="V246">
        <v>65500</v>
      </c>
      <c r="W246">
        <v>5.4999999999999997E-3</v>
      </c>
      <c r="X246">
        <v>2.6100000000000002E-2</v>
      </c>
      <c r="Y246">
        <v>3.1600000000000003E-2</v>
      </c>
      <c r="Z246">
        <v>5.96E-2</v>
      </c>
      <c r="AA246">
        <v>3.32</v>
      </c>
      <c r="AB246">
        <v>34400</v>
      </c>
      <c r="AC246" t="s">
        <v>45</v>
      </c>
      <c r="AD246">
        <v>0.09</v>
      </c>
      <c r="AE246">
        <v>6.9999999999999996E-10</v>
      </c>
      <c r="AF246">
        <v>1400000</v>
      </c>
      <c r="AG246">
        <v>4.0000000000000001E-8</v>
      </c>
      <c r="AH246">
        <v>400</v>
      </c>
      <c r="AI246" t="s">
        <v>49</v>
      </c>
      <c r="AJ246" t="s">
        <v>50</v>
      </c>
      <c r="AK246" t="s">
        <v>262</v>
      </c>
      <c r="AL246">
        <v>4.5500000000000002E-3</v>
      </c>
      <c r="AM246">
        <v>1.0999999999999999E-2</v>
      </c>
      <c r="AN246">
        <v>1.9300000000000001E-2</v>
      </c>
      <c r="AO246">
        <v>1</v>
      </c>
      <c r="AP246" t="s">
        <v>53</v>
      </c>
      <c r="AQ246" t="s">
        <v>54</v>
      </c>
    </row>
    <row r="247" spans="1:43" x14ac:dyDescent="0.25">
      <c r="A247" t="s">
        <v>421</v>
      </c>
      <c r="B247" t="s">
        <v>422</v>
      </c>
      <c r="C247">
        <v>306</v>
      </c>
      <c r="D247">
        <v>501</v>
      </c>
      <c r="E247">
        <v>1.97E-11</v>
      </c>
      <c r="F247">
        <v>4.1899999999999999E-4</v>
      </c>
      <c r="G247">
        <v>1.4399999999999999E-5</v>
      </c>
      <c r="H247">
        <v>2.35E-2</v>
      </c>
      <c r="I247">
        <v>6.0100000000000001E-6</v>
      </c>
      <c r="J247">
        <v>1260000</v>
      </c>
      <c r="K247">
        <v>776000</v>
      </c>
      <c r="L247">
        <v>7760</v>
      </c>
      <c r="M247">
        <v>58200</v>
      </c>
      <c r="N247">
        <v>31000</v>
      </c>
      <c r="O247">
        <v>0.03</v>
      </c>
      <c r="P247">
        <v>0.77</v>
      </c>
      <c r="Q247">
        <v>11600</v>
      </c>
      <c r="R247">
        <v>1.49</v>
      </c>
      <c r="S247">
        <v>1.15E-2</v>
      </c>
      <c r="T247">
        <v>1.15E-2</v>
      </c>
      <c r="U247">
        <v>45700</v>
      </c>
      <c r="V247">
        <v>45700</v>
      </c>
      <c r="W247">
        <v>7.6800000000000002E-3</v>
      </c>
      <c r="X247">
        <v>3.6499999999999998E-2</v>
      </c>
      <c r="Y247">
        <v>4.4200000000000003E-2</v>
      </c>
      <c r="Z247">
        <v>3.61E-2</v>
      </c>
      <c r="AA247">
        <v>2.56</v>
      </c>
      <c r="AB247">
        <v>9930</v>
      </c>
      <c r="AC247" t="s">
        <v>45</v>
      </c>
      <c r="AD247">
        <v>0.09</v>
      </c>
      <c r="AE247">
        <v>6.9999999999999998E-9</v>
      </c>
      <c r="AF247">
        <v>140000</v>
      </c>
      <c r="AG247">
        <v>3.9999999999999998E-7</v>
      </c>
      <c r="AH247">
        <v>40</v>
      </c>
      <c r="AI247" t="s">
        <v>49</v>
      </c>
      <c r="AJ247" t="s">
        <v>50</v>
      </c>
      <c r="AK247" t="s">
        <v>219</v>
      </c>
      <c r="AL247">
        <v>1.15E-2</v>
      </c>
      <c r="AM247">
        <v>1.54E-2</v>
      </c>
      <c r="AN247">
        <v>2.69E-2</v>
      </c>
      <c r="AO247">
        <v>0.1</v>
      </c>
      <c r="AP247" t="s">
        <v>53</v>
      </c>
      <c r="AQ247" t="s">
        <v>54</v>
      </c>
    </row>
    <row r="248" spans="1:43" x14ac:dyDescent="0.25">
      <c r="A248" t="s">
        <v>706</v>
      </c>
      <c r="B248" t="s">
        <v>424</v>
      </c>
      <c r="C248">
        <v>326</v>
      </c>
      <c r="D248">
        <v>283</v>
      </c>
      <c r="E248">
        <v>1.01E-7</v>
      </c>
      <c r="F248">
        <v>4.2999999999999997E-2</v>
      </c>
      <c r="G248">
        <v>2.8299999999999999E-4</v>
      </c>
      <c r="H248">
        <v>1E-3</v>
      </c>
      <c r="I248">
        <v>1.0000000000000001E-5</v>
      </c>
      <c r="J248">
        <v>3160000</v>
      </c>
      <c r="K248">
        <v>2450000</v>
      </c>
      <c r="L248">
        <v>24500</v>
      </c>
      <c r="M248">
        <v>184000</v>
      </c>
      <c r="N248">
        <v>98100</v>
      </c>
      <c r="O248">
        <v>0.03</v>
      </c>
      <c r="P248">
        <v>0.99199999999999999</v>
      </c>
      <c r="Q248">
        <v>23500</v>
      </c>
      <c r="R248">
        <v>0.95799999999999996</v>
      </c>
      <c r="S248">
        <v>6.7799999999999996E-3</v>
      </c>
      <c r="T248">
        <v>6.7799999999999996E-3</v>
      </c>
      <c r="U248">
        <v>1650</v>
      </c>
      <c r="V248">
        <v>1650</v>
      </c>
      <c r="W248">
        <v>6.5199999999999998E-3</v>
      </c>
      <c r="X248">
        <v>3.1E-2</v>
      </c>
      <c r="Y248">
        <v>3.7499999999999999E-2</v>
      </c>
      <c r="Z248">
        <v>12.8</v>
      </c>
      <c r="AA248" t="s">
        <v>44</v>
      </c>
      <c r="AB248">
        <v>84100</v>
      </c>
      <c r="AC248" t="s">
        <v>45</v>
      </c>
      <c r="AD248">
        <v>2</v>
      </c>
      <c r="AE248">
        <v>4.5000000000000003E-5</v>
      </c>
      <c r="AF248">
        <v>420</v>
      </c>
      <c r="AG248">
        <v>1.2999999999999999E-4</v>
      </c>
      <c r="AH248">
        <v>8.5714286000000001E-2</v>
      </c>
      <c r="AI248" t="s">
        <v>49</v>
      </c>
      <c r="AJ248" t="s">
        <v>50</v>
      </c>
      <c r="AK248" t="s">
        <v>65</v>
      </c>
      <c r="AL248">
        <v>0.01</v>
      </c>
      <c r="AM248">
        <v>1.2999999999999999E-2</v>
      </c>
      <c r="AN248">
        <v>3.2000000000000001E-2</v>
      </c>
      <c r="AO248" t="s">
        <v>52</v>
      </c>
      <c r="AP248" t="s">
        <v>53</v>
      </c>
      <c r="AQ248" t="s">
        <v>54</v>
      </c>
    </row>
    <row r="249" spans="1:43" x14ac:dyDescent="0.25">
      <c r="A249" t="s">
        <v>425</v>
      </c>
      <c r="B249" t="s">
        <v>426</v>
      </c>
      <c r="C249">
        <v>168</v>
      </c>
      <c r="D249">
        <v>229</v>
      </c>
      <c r="E249">
        <v>6.0499999999999998E-3</v>
      </c>
      <c r="F249">
        <v>3000</v>
      </c>
      <c r="G249">
        <v>3.4000000000000002E-4</v>
      </c>
      <c r="H249">
        <v>7.0999999999999994E-2</v>
      </c>
      <c r="I249">
        <v>7.9000000000000006E-6</v>
      </c>
      <c r="J249">
        <v>251</v>
      </c>
      <c r="K249">
        <v>79</v>
      </c>
      <c r="L249">
        <v>0.19</v>
      </c>
      <c r="M249">
        <v>5.93</v>
      </c>
      <c r="N249">
        <v>3.16</v>
      </c>
      <c r="O249">
        <v>5.75</v>
      </c>
      <c r="P249">
        <v>1</v>
      </c>
      <c r="Q249">
        <v>16.399999999999999</v>
      </c>
      <c r="R249">
        <v>86.2</v>
      </c>
      <c r="S249">
        <v>1.59</v>
      </c>
      <c r="T249">
        <v>1.59</v>
      </c>
      <c r="U249">
        <v>5.91E-2</v>
      </c>
      <c r="V249">
        <v>5.91E-2</v>
      </c>
      <c r="W249">
        <v>1.1000000000000001E-3</v>
      </c>
      <c r="X249">
        <v>5.2100000000000002E-3</v>
      </c>
      <c r="Y249">
        <v>6.3E-3</v>
      </c>
      <c r="Z249">
        <v>0.35</v>
      </c>
      <c r="AA249" t="s">
        <v>44</v>
      </c>
      <c r="AB249">
        <v>14.1</v>
      </c>
      <c r="AC249" t="s">
        <v>45</v>
      </c>
      <c r="AD249" t="s">
        <v>46</v>
      </c>
      <c r="AE249">
        <v>0.02</v>
      </c>
      <c r="AF249">
        <v>0.2</v>
      </c>
      <c r="AG249" t="s">
        <v>57</v>
      </c>
      <c r="AH249">
        <v>5.8E-5</v>
      </c>
      <c r="AI249" t="s">
        <v>49</v>
      </c>
      <c r="AJ249" t="s">
        <v>50</v>
      </c>
      <c r="AK249" t="s">
        <v>51</v>
      </c>
      <c r="AL249">
        <v>1.59</v>
      </c>
      <c r="AM249">
        <v>2.1900000000000001E-3</v>
      </c>
      <c r="AN249">
        <v>3.8400000000000001E-3</v>
      </c>
      <c r="AO249" t="s">
        <v>52</v>
      </c>
      <c r="AP249" t="s">
        <v>53</v>
      </c>
      <c r="AQ249" t="s">
        <v>54</v>
      </c>
    </row>
    <row r="250" spans="1:43" x14ac:dyDescent="0.25">
      <c r="A250" t="s">
        <v>427</v>
      </c>
      <c r="B250" t="s">
        <v>428</v>
      </c>
      <c r="C250">
        <v>166</v>
      </c>
      <c r="D250">
        <v>251</v>
      </c>
      <c r="E250">
        <v>2.5000000000000001E-2</v>
      </c>
      <c r="F250">
        <v>200</v>
      </c>
      <c r="G250">
        <v>1.7999999999999999E-2</v>
      </c>
      <c r="H250">
        <v>7.1999999999999995E-2</v>
      </c>
      <c r="I250">
        <v>8.1999999999999994E-6</v>
      </c>
      <c r="J250">
        <v>2510</v>
      </c>
      <c r="K250">
        <v>265</v>
      </c>
      <c r="L250">
        <v>0.31</v>
      </c>
      <c r="M250">
        <v>19.899999999999999</v>
      </c>
      <c r="N250">
        <v>10.6</v>
      </c>
      <c r="O250">
        <v>0.7</v>
      </c>
      <c r="P250">
        <v>1</v>
      </c>
      <c r="Q250">
        <v>96.4</v>
      </c>
      <c r="R250">
        <v>311</v>
      </c>
      <c r="S250">
        <v>0.42</v>
      </c>
      <c r="T250">
        <v>0.42</v>
      </c>
      <c r="U250">
        <v>1.2999999999999999E-2</v>
      </c>
      <c r="V250">
        <v>1.2999999999999999E-2</v>
      </c>
      <c r="W250">
        <v>3.4299999999999999E-3</v>
      </c>
      <c r="X250">
        <v>1.6299999999999999E-2</v>
      </c>
      <c r="Y250">
        <v>1.9699999999999999E-2</v>
      </c>
      <c r="Z250">
        <v>2.7899999999999999E-3</v>
      </c>
      <c r="AA250" t="s">
        <v>44</v>
      </c>
      <c r="AB250">
        <v>82.8</v>
      </c>
      <c r="AC250" t="s">
        <v>45</v>
      </c>
      <c r="AD250" t="s">
        <v>46</v>
      </c>
      <c r="AE250">
        <v>6.0000000000000001E-3</v>
      </c>
      <c r="AF250">
        <v>2.0999999999999999E-3</v>
      </c>
      <c r="AG250">
        <v>0.1</v>
      </c>
      <c r="AH250">
        <v>5.0000000000000004E-6</v>
      </c>
      <c r="AI250" t="s">
        <v>49</v>
      </c>
      <c r="AJ250" t="s">
        <v>50</v>
      </c>
      <c r="AK250" t="s">
        <v>51</v>
      </c>
      <c r="AL250">
        <v>0.42</v>
      </c>
      <c r="AM250">
        <v>6.8700000000000002E-3</v>
      </c>
      <c r="AN250">
        <v>1.2E-2</v>
      </c>
      <c r="AO250" t="s">
        <v>52</v>
      </c>
      <c r="AP250" t="s">
        <v>53</v>
      </c>
      <c r="AQ250" t="s">
        <v>54</v>
      </c>
    </row>
    <row r="251" spans="1:43" x14ac:dyDescent="0.25">
      <c r="A251" t="s">
        <v>506</v>
      </c>
      <c r="B251" t="s">
        <v>513</v>
      </c>
      <c r="C251">
        <v>102.03</v>
      </c>
      <c r="D251">
        <v>123.48</v>
      </c>
      <c r="E251">
        <v>5.2130000000000001</v>
      </c>
      <c r="F251">
        <v>767.8</v>
      </c>
      <c r="G251">
        <v>1.53</v>
      </c>
      <c r="H251">
        <v>8.2299999999999998E-2</v>
      </c>
      <c r="I251">
        <v>1.06E-5</v>
      </c>
      <c r="J251">
        <v>47.86</v>
      </c>
      <c r="K251">
        <v>86.03</v>
      </c>
      <c r="M251">
        <v>6.4522500000000003</v>
      </c>
      <c r="N251">
        <v>3.4412000000000003</v>
      </c>
      <c r="P251">
        <v>1</v>
      </c>
      <c r="U251">
        <v>4.08</v>
      </c>
      <c r="V251">
        <v>4.08</v>
      </c>
      <c r="W251">
        <v>3.7800000000000002E-7</v>
      </c>
      <c r="X251">
        <v>1.1999999999999999E-6</v>
      </c>
      <c r="AB251">
        <v>5.6269999999999998</v>
      </c>
      <c r="AC251">
        <v>5.6269999999999998</v>
      </c>
      <c r="AG251">
        <v>80</v>
      </c>
      <c r="AK251" t="s">
        <v>713</v>
      </c>
    </row>
    <row r="252" spans="1:43" x14ac:dyDescent="0.25">
      <c r="A252" t="s">
        <v>527</v>
      </c>
      <c r="B252" t="s">
        <v>526</v>
      </c>
      <c r="C252">
        <v>88</v>
      </c>
      <c r="D252">
        <v>109.2</v>
      </c>
      <c r="E252">
        <v>91.3</v>
      </c>
      <c r="F252">
        <v>2239</v>
      </c>
      <c r="G252">
        <v>4.59</v>
      </c>
      <c r="J252">
        <v>15.5</v>
      </c>
      <c r="K252">
        <v>43.89</v>
      </c>
      <c r="M252">
        <v>3.29175</v>
      </c>
      <c r="N252">
        <v>1.7556</v>
      </c>
      <c r="P252">
        <v>1</v>
      </c>
      <c r="AB252">
        <v>2.347</v>
      </c>
      <c r="AC252">
        <v>2.347</v>
      </c>
      <c r="AK252" t="s">
        <v>715</v>
      </c>
    </row>
    <row r="253" spans="1:43" x14ac:dyDescent="0.25">
      <c r="A253" t="s">
        <v>539</v>
      </c>
      <c r="B253" t="s">
        <v>540</v>
      </c>
      <c r="C253">
        <v>189.68</v>
      </c>
      <c r="D253">
        <v>499.89</v>
      </c>
      <c r="E253">
        <v>7.3499999999999998E-3</v>
      </c>
      <c r="F253">
        <v>2741</v>
      </c>
      <c r="G253">
        <v>5.1000000000000004E-4</v>
      </c>
      <c r="H253">
        <v>3.7999999999999999E-2</v>
      </c>
      <c r="I253">
        <v>9.0600000000000004E-8</v>
      </c>
      <c r="J253">
        <v>29.5</v>
      </c>
      <c r="K253">
        <v>43.89</v>
      </c>
      <c r="M253">
        <v>3.29175</v>
      </c>
      <c r="N253">
        <v>1.7556</v>
      </c>
      <c r="P253">
        <v>1</v>
      </c>
      <c r="AB253">
        <v>2.3220000000000001</v>
      </c>
      <c r="AC253">
        <v>2.3220000000000001</v>
      </c>
    </row>
    <row r="254" spans="1:43" x14ac:dyDescent="0.25">
      <c r="A254" t="s">
        <v>429</v>
      </c>
      <c r="B254" t="s">
        <v>430</v>
      </c>
      <c r="C254">
        <v>92.1</v>
      </c>
      <c r="D254">
        <v>178</v>
      </c>
      <c r="E254">
        <v>3.6799999999999999E-2</v>
      </c>
      <c r="F254">
        <v>530</v>
      </c>
      <c r="G254">
        <v>6.6E-3</v>
      </c>
      <c r="H254">
        <v>8.6999999999999994E-2</v>
      </c>
      <c r="I254">
        <v>8.6000000000000007E-6</v>
      </c>
      <c r="J254">
        <v>501</v>
      </c>
      <c r="K254">
        <v>140</v>
      </c>
      <c r="L254">
        <v>0.36</v>
      </c>
      <c r="M254">
        <v>10.5</v>
      </c>
      <c r="N254">
        <v>5.6</v>
      </c>
      <c r="O254">
        <v>11.5</v>
      </c>
      <c r="P254">
        <v>1</v>
      </c>
      <c r="Q254">
        <v>27.9</v>
      </c>
      <c r="R254">
        <v>77.400000000000006</v>
      </c>
      <c r="S254">
        <v>1.07</v>
      </c>
      <c r="T254">
        <v>1.07</v>
      </c>
      <c r="U254">
        <v>6.3600000000000002E-3</v>
      </c>
      <c r="V254">
        <v>6.3600000000000002E-3</v>
      </c>
      <c r="W254">
        <v>1.6199999999999999E-3</v>
      </c>
      <c r="X254">
        <v>7.6899999999999998E-3</v>
      </c>
      <c r="Y254">
        <v>9.3100000000000006E-3</v>
      </c>
      <c r="Z254">
        <v>3.6900000000000001E-3</v>
      </c>
      <c r="AA254" t="s">
        <v>44</v>
      </c>
      <c r="AB254">
        <v>23.9</v>
      </c>
      <c r="AC254" t="s">
        <v>45</v>
      </c>
      <c r="AD254" t="s">
        <v>46</v>
      </c>
      <c r="AE254">
        <v>0.08</v>
      </c>
      <c r="AF254" t="s">
        <v>47</v>
      </c>
      <c r="AG254">
        <v>0.4</v>
      </c>
      <c r="AH254" t="s">
        <v>48</v>
      </c>
      <c r="AI254" t="s">
        <v>49</v>
      </c>
      <c r="AJ254" t="s">
        <v>50</v>
      </c>
      <c r="AK254" t="s">
        <v>51</v>
      </c>
      <c r="AL254">
        <v>1.07</v>
      </c>
      <c r="AM254">
        <v>3.2399999999999998E-3</v>
      </c>
      <c r="AN254">
        <v>5.6699999999999997E-3</v>
      </c>
      <c r="AO254" t="s">
        <v>52</v>
      </c>
      <c r="AP254" t="s">
        <v>53</v>
      </c>
      <c r="AQ254" t="s">
        <v>54</v>
      </c>
    </row>
    <row r="255" spans="1:43" x14ac:dyDescent="0.25">
      <c r="A255" t="s">
        <v>432</v>
      </c>
      <c r="B255" t="s">
        <v>433</v>
      </c>
      <c r="C255">
        <v>107</v>
      </c>
      <c r="D255">
        <v>257</v>
      </c>
      <c r="E255">
        <v>4.2099999999999999E-4</v>
      </c>
      <c r="F255">
        <v>16600</v>
      </c>
      <c r="G255">
        <v>2.7199999999999998E-6</v>
      </c>
      <c r="H255">
        <v>7.1400000000000005E-2</v>
      </c>
      <c r="I255">
        <v>9.1200000000000008E-6</v>
      </c>
      <c r="J255">
        <v>20.9</v>
      </c>
      <c r="K255">
        <v>19.899999999999999</v>
      </c>
      <c r="L255">
        <v>0.2</v>
      </c>
      <c r="M255">
        <v>1.49</v>
      </c>
      <c r="N255">
        <v>0.79</v>
      </c>
      <c r="O255">
        <v>36.1</v>
      </c>
      <c r="P255">
        <v>1</v>
      </c>
      <c r="Q255">
        <v>8.7200000000000006</v>
      </c>
      <c r="R255">
        <v>43.9</v>
      </c>
      <c r="S255">
        <v>6.68</v>
      </c>
      <c r="T255">
        <v>6.68</v>
      </c>
      <c r="U255">
        <v>0.52300000000000002</v>
      </c>
      <c r="V255">
        <v>0.52300000000000002</v>
      </c>
      <c r="W255">
        <v>1.9100000000000001E-4</v>
      </c>
      <c r="X255">
        <v>9.0899999999999998E-4</v>
      </c>
      <c r="Y255">
        <v>1.1000000000000001E-3</v>
      </c>
      <c r="Z255">
        <v>1.74E-4</v>
      </c>
      <c r="AA255" t="s">
        <v>44</v>
      </c>
      <c r="AB255">
        <v>2.0699999999999998</v>
      </c>
      <c r="AC255" t="s">
        <v>45</v>
      </c>
      <c r="AD255" t="s">
        <v>46</v>
      </c>
      <c r="AE255" t="s">
        <v>56</v>
      </c>
      <c r="AF255">
        <v>1.6E-2</v>
      </c>
      <c r="AG255" t="s">
        <v>57</v>
      </c>
      <c r="AH255">
        <v>5.1E-5</v>
      </c>
      <c r="AI255" t="s">
        <v>49</v>
      </c>
      <c r="AJ255" t="s">
        <v>50</v>
      </c>
      <c r="AK255" t="s">
        <v>51</v>
      </c>
      <c r="AL255">
        <v>6.68</v>
      </c>
      <c r="AM255">
        <v>3.8299999999999999E-4</v>
      </c>
      <c r="AN255">
        <v>6.7000000000000002E-4</v>
      </c>
      <c r="AO255" t="s">
        <v>52</v>
      </c>
      <c r="AP255" t="s">
        <v>53</v>
      </c>
      <c r="AQ255" t="s">
        <v>54</v>
      </c>
    </row>
    <row r="256" spans="1:43" x14ac:dyDescent="0.25">
      <c r="A256" t="s">
        <v>707</v>
      </c>
      <c r="B256" t="s">
        <v>435</v>
      </c>
      <c r="C256">
        <v>228</v>
      </c>
      <c r="D256">
        <v>527</v>
      </c>
      <c r="E256">
        <v>1.0299999999999999E-11</v>
      </c>
      <c r="F256">
        <v>1.9400000000000001E-3</v>
      </c>
      <c r="G256">
        <v>1.2100000000000001E-6</v>
      </c>
      <c r="H256">
        <v>2.4799999999999999E-2</v>
      </c>
      <c r="I256">
        <v>6.2099999999999998E-6</v>
      </c>
      <c r="J256">
        <v>548000</v>
      </c>
      <c r="K256">
        <v>297000</v>
      </c>
      <c r="L256">
        <v>2970</v>
      </c>
      <c r="M256">
        <v>22300</v>
      </c>
      <c r="N256">
        <v>11900</v>
      </c>
      <c r="O256">
        <v>0.253</v>
      </c>
      <c r="P256">
        <v>0.76100000000000001</v>
      </c>
      <c r="Q256">
        <v>6100</v>
      </c>
      <c r="R256">
        <v>2.06</v>
      </c>
      <c r="S256">
        <v>1.8700000000000001E-2</v>
      </c>
      <c r="T256">
        <v>1.8700000000000001E-2</v>
      </c>
      <c r="U256">
        <v>59700</v>
      </c>
      <c r="V256">
        <v>59700</v>
      </c>
      <c r="W256">
        <v>4.3600000000000002E-3</v>
      </c>
      <c r="X256">
        <v>1.38E-2</v>
      </c>
      <c r="Y256">
        <v>1.67E-2</v>
      </c>
      <c r="Z256">
        <v>4.3600000000000003</v>
      </c>
      <c r="AA256" t="s">
        <v>44</v>
      </c>
      <c r="AB256" t="s">
        <v>63</v>
      </c>
      <c r="AC256">
        <v>6030</v>
      </c>
      <c r="AD256" t="s">
        <v>46</v>
      </c>
      <c r="AE256" t="s">
        <v>56</v>
      </c>
      <c r="AF256">
        <v>1.7</v>
      </c>
      <c r="AG256" t="s">
        <v>57</v>
      </c>
      <c r="AH256">
        <v>5.5000000000000002E-5</v>
      </c>
      <c r="AI256" t="s">
        <v>49</v>
      </c>
      <c r="AJ256" t="s">
        <v>50</v>
      </c>
      <c r="AK256" t="s">
        <v>72</v>
      </c>
      <c r="AL256">
        <v>1.32E-2</v>
      </c>
      <c r="AM256">
        <v>1.5800000000000002E-2</v>
      </c>
      <c r="AN256">
        <v>2.7699999999999999E-2</v>
      </c>
      <c r="AO256" t="s">
        <v>52</v>
      </c>
      <c r="AP256" t="s">
        <v>53</v>
      </c>
      <c r="AQ256" t="s">
        <v>54</v>
      </c>
    </row>
    <row r="257" spans="1:43" x14ac:dyDescent="0.25">
      <c r="A257" t="s">
        <v>436</v>
      </c>
      <c r="B257" t="s">
        <v>437</v>
      </c>
      <c r="C257">
        <v>181</v>
      </c>
      <c r="D257">
        <v>290</v>
      </c>
      <c r="E257">
        <v>5.6599999999999999E-4</v>
      </c>
      <c r="F257">
        <v>35</v>
      </c>
      <c r="G257">
        <v>1.4E-3</v>
      </c>
      <c r="H257">
        <v>0.03</v>
      </c>
      <c r="I257">
        <v>8.2300000000000008E-6</v>
      </c>
      <c r="J257">
        <v>10000</v>
      </c>
      <c r="K257">
        <v>1660</v>
      </c>
      <c r="L257">
        <v>3.6</v>
      </c>
      <c r="M257">
        <v>125</v>
      </c>
      <c r="N257">
        <v>66.400000000000006</v>
      </c>
      <c r="O257">
        <v>1.41</v>
      </c>
      <c r="P257">
        <v>1</v>
      </c>
      <c r="Q257">
        <v>279</v>
      </c>
      <c r="R257">
        <v>77.599999999999994</v>
      </c>
      <c r="S257">
        <v>0.189</v>
      </c>
      <c r="T257">
        <v>0.189</v>
      </c>
      <c r="U257">
        <v>0.72699999999999998</v>
      </c>
      <c r="V257">
        <v>0.72699999999999998</v>
      </c>
      <c r="W257">
        <v>5.47E-3</v>
      </c>
      <c r="X257">
        <v>2.5999999999999999E-2</v>
      </c>
      <c r="Y257">
        <v>3.15E-2</v>
      </c>
      <c r="Z257">
        <v>7.7299999999999994E-2</v>
      </c>
      <c r="AA257" t="s">
        <v>44</v>
      </c>
      <c r="AB257">
        <v>240</v>
      </c>
      <c r="AC257" t="s">
        <v>45</v>
      </c>
      <c r="AD257" t="s">
        <v>46</v>
      </c>
      <c r="AE257">
        <v>0.01</v>
      </c>
      <c r="AF257">
        <v>2.9000000000000001E-2</v>
      </c>
      <c r="AG257" t="s">
        <v>57</v>
      </c>
      <c r="AH257" t="s">
        <v>48</v>
      </c>
      <c r="AI257" t="s">
        <v>49</v>
      </c>
      <c r="AJ257" t="s">
        <v>50</v>
      </c>
      <c r="AK257" t="s">
        <v>51</v>
      </c>
      <c r="AL257">
        <v>0.189</v>
      </c>
      <c r="AM257">
        <v>1.09E-2</v>
      </c>
      <c r="AN257">
        <v>1.9199999999999998E-2</v>
      </c>
      <c r="AO257" t="s">
        <v>52</v>
      </c>
      <c r="AP257" t="s">
        <v>53</v>
      </c>
      <c r="AQ257" t="s">
        <v>54</v>
      </c>
    </row>
    <row r="258" spans="1:43" x14ac:dyDescent="0.25">
      <c r="A258" t="s">
        <v>557</v>
      </c>
      <c r="B258" t="s">
        <v>64</v>
      </c>
      <c r="C258">
        <v>326</v>
      </c>
      <c r="D258">
        <v>283</v>
      </c>
      <c r="E258">
        <v>1.01E-7</v>
      </c>
      <c r="F258">
        <v>4.2999999999999997E-2</v>
      </c>
      <c r="G258">
        <v>2.8299999999999999E-4</v>
      </c>
      <c r="H258">
        <v>1E-3</v>
      </c>
      <c r="I258">
        <v>1.0000000000000001E-5</v>
      </c>
      <c r="J258">
        <v>3160000</v>
      </c>
      <c r="K258">
        <v>2450000</v>
      </c>
      <c r="L258">
        <v>24500</v>
      </c>
      <c r="M258">
        <v>184000</v>
      </c>
      <c r="N258">
        <v>98100</v>
      </c>
      <c r="O258">
        <v>0.03</v>
      </c>
      <c r="P258">
        <v>0.99199999999999999</v>
      </c>
      <c r="Q258">
        <v>23500</v>
      </c>
      <c r="R258">
        <v>0.95799999999999996</v>
      </c>
      <c r="S258">
        <v>6.7799999999999996E-3</v>
      </c>
      <c r="T258">
        <v>6.7799999999999996E-3</v>
      </c>
      <c r="U258">
        <v>1650</v>
      </c>
      <c r="V258">
        <v>1650</v>
      </c>
      <c r="W258">
        <v>6.5199999999999998E-3</v>
      </c>
      <c r="X258">
        <v>3.1E-2</v>
      </c>
      <c r="Y258">
        <v>3.7499999999999999E-2</v>
      </c>
      <c r="Z258">
        <v>12.8</v>
      </c>
      <c r="AA258" t="s">
        <v>44</v>
      </c>
      <c r="AB258">
        <v>84100</v>
      </c>
      <c r="AC258" t="s">
        <v>45</v>
      </c>
      <c r="AD258">
        <v>2</v>
      </c>
      <c r="AE258">
        <v>6.9999999999999994E-5</v>
      </c>
      <c r="AF258">
        <v>7.0000000000000007E-2</v>
      </c>
      <c r="AG258">
        <v>3.9999999999999998E-7</v>
      </c>
      <c r="AH258">
        <v>5.6999999999999998E-4</v>
      </c>
      <c r="AI258" t="s">
        <v>49</v>
      </c>
      <c r="AJ258" t="s">
        <v>50</v>
      </c>
      <c r="AK258" t="s">
        <v>65</v>
      </c>
      <c r="AL258">
        <v>0.01</v>
      </c>
      <c r="AM258">
        <v>1.2999999999999999E-2</v>
      </c>
      <c r="AN258">
        <v>3.2000000000000001E-2</v>
      </c>
      <c r="AO258" t="s">
        <v>52</v>
      </c>
      <c r="AP258" t="s">
        <v>53</v>
      </c>
      <c r="AQ258" t="s">
        <v>54</v>
      </c>
    </row>
    <row r="259" spans="1:43" x14ac:dyDescent="0.25">
      <c r="A259" t="s">
        <v>438</v>
      </c>
      <c r="B259" t="s">
        <v>439</v>
      </c>
      <c r="C259">
        <v>133</v>
      </c>
      <c r="D259">
        <v>243</v>
      </c>
      <c r="E259">
        <v>0.158</v>
      </c>
      <c r="F259">
        <v>1300</v>
      </c>
      <c r="G259">
        <v>1.7000000000000001E-2</v>
      </c>
      <c r="H259">
        <v>7.8E-2</v>
      </c>
      <c r="I259">
        <v>8.8000000000000004E-6</v>
      </c>
      <c r="J259">
        <v>316</v>
      </c>
      <c r="K259">
        <v>135</v>
      </c>
      <c r="L259">
        <v>0.22</v>
      </c>
      <c r="M259">
        <v>10.1</v>
      </c>
      <c r="N259">
        <v>5.4</v>
      </c>
      <c r="O259">
        <v>0.93</v>
      </c>
      <c r="P259">
        <v>1</v>
      </c>
      <c r="Q259">
        <v>19.5</v>
      </c>
      <c r="R259">
        <v>88.8</v>
      </c>
      <c r="S259">
        <v>1.39</v>
      </c>
      <c r="T259">
        <v>1.39</v>
      </c>
      <c r="U259">
        <v>1.5100000000000001E-3</v>
      </c>
      <c r="V259">
        <v>1.5100000000000001E-3</v>
      </c>
      <c r="W259">
        <v>1.25E-3</v>
      </c>
      <c r="X259">
        <v>5.96E-3</v>
      </c>
      <c r="Y259">
        <v>7.2100000000000003E-3</v>
      </c>
      <c r="Z259">
        <v>2.0999999999999999E-3</v>
      </c>
      <c r="AA259" t="s">
        <v>44</v>
      </c>
      <c r="AB259">
        <v>16.8</v>
      </c>
      <c r="AC259" t="s">
        <v>45</v>
      </c>
      <c r="AD259" t="s">
        <v>46</v>
      </c>
      <c r="AE259">
        <v>2</v>
      </c>
      <c r="AF259" t="s">
        <v>47</v>
      </c>
      <c r="AG259">
        <v>5</v>
      </c>
      <c r="AH259" t="s">
        <v>48</v>
      </c>
      <c r="AI259" t="s">
        <v>49</v>
      </c>
      <c r="AJ259" t="s">
        <v>50</v>
      </c>
      <c r="AK259" t="s">
        <v>51</v>
      </c>
      <c r="AL259">
        <v>1.39</v>
      </c>
      <c r="AM259">
        <v>2.5100000000000001E-3</v>
      </c>
      <c r="AN259">
        <v>4.3899999999999998E-3</v>
      </c>
      <c r="AO259" t="s">
        <v>52</v>
      </c>
      <c r="AP259" t="s">
        <v>53</v>
      </c>
      <c r="AQ259" t="s">
        <v>54</v>
      </c>
    </row>
    <row r="260" spans="1:43" x14ac:dyDescent="0.25">
      <c r="A260" t="s">
        <v>440</v>
      </c>
      <c r="B260" t="s">
        <v>441</v>
      </c>
      <c r="C260">
        <v>133</v>
      </c>
      <c r="D260">
        <v>236</v>
      </c>
      <c r="E260">
        <v>3.0300000000000001E-2</v>
      </c>
      <c r="F260">
        <v>4400</v>
      </c>
      <c r="G260">
        <v>9.1E-4</v>
      </c>
      <c r="H260">
        <v>7.8E-2</v>
      </c>
      <c r="I260">
        <v>8.8000000000000004E-6</v>
      </c>
      <c r="J260">
        <v>100</v>
      </c>
      <c r="K260">
        <v>75</v>
      </c>
      <c r="L260">
        <v>0.1</v>
      </c>
      <c r="M260">
        <v>5.63</v>
      </c>
      <c r="N260">
        <v>3</v>
      </c>
      <c r="O260">
        <v>0.69</v>
      </c>
      <c r="P260">
        <v>1</v>
      </c>
      <c r="Q260">
        <v>8.0500000000000007</v>
      </c>
      <c r="R260">
        <v>80.5</v>
      </c>
      <c r="S260">
        <v>2.7</v>
      </c>
      <c r="T260">
        <v>2.7</v>
      </c>
      <c r="U260">
        <v>8.2900000000000005E-3</v>
      </c>
      <c r="V260">
        <v>8.2900000000000005E-3</v>
      </c>
      <c r="W260">
        <v>6.11E-4</v>
      </c>
      <c r="X260">
        <v>2.8999999999999998E-3</v>
      </c>
      <c r="Y260">
        <v>3.5100000000000001E-3</v>
      </c>
      <c r="Z260">
        <v>9.9299999999999996E-4</v>
      </c>
      <c r="AA260" t="s">
        <v>44</v>
      </c>
      <c r="AB260">
        <v>6.92</v>
      </c>
      <c r="AC260" t="s">
        <v>45</v>
      </c>
      <c r="AD260" t="s">
        <v>46</v>
      </c>
      <c r="AE260">
        <v>4.0000000000000001E-3</v>
      </c>
      <c r="AF260">
        <v>5.7000000000000002E-2</v>
      </c>
      <c r="AG260" t="s">
        <v>57</v>
      </c>
      <c r="AH260">
        <v>1.5999999999999999E-5</v>
      </c>
      <c r="AI260" t="s">
        <v>49</v>
      </c>
      <c r="AJ260" t="s">
        <v>50</v>
      </c>
      <c r="AK260" t="s">
        <v>51</v>
      </c>
      <c r="AL260">
        <v>2.7</v>
      </c>
      <c r="AM260">
        <v>1.2199999999999999E-3</v>
      </c>
      <c r="AN260">
        <v>2.14E-3</v>
      </c>
      <c r="AO260" t="s">
        <v>52</v>
      </c>
      <c r="AP260" t="s">
        <v>53</v>
      </c>
      <c r="AQ260" t="s">
        <v>54</v>
      </c>
    </row>
    <row r="261" spans="1:43" x14ac:dyDescent="0.25">
      <c r="A261" t="s">
        <v>442</v>
      </c>
      <c r="B261" t="s">
        <v>443</v>
      </c>
      <c r="C261">
        <v>131</v>
      </c>
      <c r="D261">
        <v>188</v>
      </c>
      <c r="E261">
        <v>9.6100000000000005E-2</v>
      </c>
      <c r="F261">
        <v>1500</v>
      </c>
      <c r="G261">
        <v>0.01</v>
      </c>
      <c r="H261">
        <v>7.9000000000000001E-2</v>
      </c>
      <c r="I261">
        <v>9.0999999999999993E-6</v>
      </c>
      <c r="J261">
        <v>251</v>
      </c>
      <c r="K261">
        <v>94.3</v>
      </c>
      <c r="L261">
        <v>0.33</v>
      </c>
      <c r="M261">
        <v>7.07</v>
      </c>
      <c r="N261">
        <v>3.77</v>
      </c>
      <c r="O261">
        <v>0.7</v>
      </c>
      <c r="P261">
        <v>1</v>
      </c>
      <c r="Q261">
        <v>16.399999999999999</v>
      </c>
      <c r="R261">
        <v>49.6</v>
      </c>
      <c r="S261">
        <v>1.59</v>
      </c>
      <c r="T261">
        <v>1.59</v>
      </c>
      <c r="U261">
        <v>2.0100000000000001E-3</v>
      </c>
      <c r="V261">
        <v>2.0100000000000001E-3</v>
      </c>
      <c r="W261">
        <v>1.1000000000000001E-3</v>
      </c>
      <c r="X261">
        <v>5.2100000000000002E-3</v>
      </c>
      <c r="Y261">
        <v>6.3E-3</v>
      </c>
      <c r="Z261">
        <v>2.15E-3</v>
      </c>
      <c r="AA261" t="s">
        <v>44</v>
      </c>
      <c r="AB261">
        <v>14.1</v>
      </c>
      <c r="AC261" t="s">
        <v>45</v>
      </c>
      <c r="AD261" t="s">
        <v>46</v>
      </c>
      <c r="AE261">
        <v>5.0000000000000001E-4</v>
      </c>
      <c r="AF261">
        <v>4.5999999999999999E-2</v>
      </c>
      <c r="AG261">
        <v>2E-3</v>
      </c>
      <c r="AH261">
        <v>3.3000000000000002E-6</v>
      </c>
      <c r="AI261" t="s">
        <v>49</v>
      </c>
      <c r="AJ261" t="s">
        <v>50</v>
      </c>
      <c r="AK261" t="s">
        <v>51</v>
      </c>
      <c r="AL261">
        <v>1.59</v>
      </c>
      <c r="AM261">
        <v>2.1900000000000001E-3</v>
      </c>
      <c r="AN261">
        <v>3.8400000000000001E-3</v>
      </c>
      <c r="AO261" t="s">
        <v>52</v>
      </c>
      <c r="AP261" t="s">
        <v>53</v>
      </c>
      <c r="AQ261" t="s">
        <v>54</v>
      </c>
    </row>
    <row r="262" spans="1:43" x14ac:dyDescent="0.25">
      <c r="A262" t="s">
        <v>446</v>
      </c>
      <c r="B262" t="s">
        <v>447</v>
      </c>
      <c r="C262">
        <v>197.5</v>
      </c>
      <c r="D262">
        <v>341.15</v>
      </c>
      <c r="E262">
        <v>2.6299999999999999E-5</v>
      </c>
      <c r="F262">
        <v>1200</v>
      </c>
      <c r="G262">
        <v>4.33E-6</v>
      </c>
      <c r="H262">
        <v>2.9100000000000001E-2</v>
      </c>
      <c r="I262">
        <v>7.0299999999999996E-6</v>
      </c>
      <c r="J262">
        <v>5248.0746019999997</v>
      </c>
      <c r="K262">
        <v>1597</v>
      </c>
      <c r="L262">
        <v>15.97</v>
      </c>
      <c r="M262">
        <v>119.77500000000001</v>
      </c>
      <c r="N262">
        <v>63.88</v>
      </c>
      <c r="O262">
        <v>0.37</v>
      </c>
      <c r="P262">
        <v>1</v>
      </c>
      <c r="Q262">
        <v>170</v>
      </c>
      <c r="R262">
        <v>10.6</v>
      </c>
      <c r="S262">
        <v>0.27400000000000002</v>
      </c>
      <c r="T262">
        <v>0.27400000000000002</v>
      </c>
      <c r="U262">
        <v>118</v>
      </c>
      <c r="V262">
        <v>118</v>
      </c>
      <c r="W262">
        <v>4.1659200000000003E-4</v>
      </c>
      <c r="X262">
        <v>1.9788140000000002E-3</v>
      </c>
      <c r="Y262">
        <v>2.3954060000000001E-3</v>
      </c>
      <c r="Z262">
        <v>5.8883551999999999E-2</v>
      </c>
      <c r="AA262" t="s">
        <v>44</v>
      </c>
      <c r="AB262">
        <v>58.1</v>
      </c>
      <c r="AC262" t="s">
        <v>45</v>
      </c>
      <c r="AD262" t="s">
        <v>46</v>
      </c>
      <c r="AE262">
        <v>0.1</v>
      </c>
      <c r="AF262" t="s">
        <v>47</v>
      </c>
      <c r="AG262">
        <v>0.35</v>
      </c>
      <c r="AH262" t="s">
        <v>48</v>
      </c>
      <c r="AI262" t="s">
        <v>49</v>
      </c>
      <c r="AJ262" t="s">
        <v>50</v>
      </c>
      <c r="AK262" t="s">
        <v>67</v>
      </c>
      <c r="AL262">
        <v>0.27400000000000002</v>
      </c>
      <c r="AM262">
        <v>8.3318499999999996E-4</v>
      </c>
      <c r="AN262">
        <v>1.4580730000000001E-3</v>
      </c>
      <c r="AO262" t="s">
        <v>52</v>
      </c>
      <c r="AP262" t="s">
        <v>53</v>
      </c>
      <c r="AQ262" t="s">
        <v>54</v>
      </c>
    </row>
    <row r="263" spans="1:43" x14ac:dyDescent="0.25">
      <c r="A263" t="s">
        <v>448</v>
      </c>
      <c r="B263" t="s">
        <v>449</v>
      </c>
      <c r="C263">
        <v>198</v>
      </c>
      <c r="D263">
        <v>342</v>
      </c>
      <c r="E263">
        <v>3.1600000000000002E-5</v>
      </c>
      <c r="F263">
        <v>800</v>
      </c>
      <c r="G263">
        <v>7.7999999999999999E-6</v>
      </c>
      <c r="H263">
        <v>1E-3</v>
      </c>
      <c r="I263">
        <v>1.0000000000000001E-5</v>
      </c>
      <c r="J263">
        <v>5010</v>
      </c>
      <c r="K263">
        <v>381</v>
      </c>
      <c r="L263">
        <v>0.76</v>
      </c>
      <c r="M263">
        <v>28.6</v>
      </c>
      <c r="N263">
        <v>15.2</v>
      </c>
      <c r="O263">
        <v>3.61</v>
      </c>
      <c r="P263">
        <v>1</v>
      </c>
      <c r="Q263">
        <v>164</v>
      </c>
      <c r="R263">
        <v>216</v>
      </c>
      <c r="S263">
        <v>0.28100000000000003</v>
      </c>
      <c r="T263">
        <v>0.28100000000000003</v>
      </c>
      <c r="U263">
        <v>62.5</v>
      </c>
      <c r="V263">
        <v>62.5</v>
      </c>
      <c r="W263">
        <v>2.72E-5</v>
      </c>
      <c r="X263">
        <v>1.2899999999999999E-4</v>
      </c>
      <c r="Y263">
        <v>1.56E-4</v>
      </c>
      <c r="Z263">
        <v>4.0899999999999999E-2</v>
      </c>
      <c r="AA263" t="s">
        <v>44</v>
      </c>
      <c r="AB263">
        <v>56.1</v>
      </c>
      <c r="AC263" t="s">
        <v>45</v>
      </c>
      <c r="AD263" t="s">
        <v>46</v>
      </c>
      <c r="AE263">
        <v>1E-3</v>
      </c>
      <c r="AF263">
        <v>1.0999999999999999E-2</v>
      </c>
      <c r="AG263" t="s">
        <v>57</v>
      </c>
      <c r="AH263">
        <v>3.1E-6</v>
      </c>
      <c r="AI263" t="s">
        <v>49</v>
      </c>
      <c r="AJ263" t="s">
        <v>50</v>
      </c>
      <c r="AK263" t="s">
        <v>67</v>
      </c>
      <c r="AL263">
        <v>0.28100000000000003</v>
      </c>
      <c r="AM263">
        <v>5.4400000000000001E-5</v>
      </c>
      <c r="AN263">
        <v>9.5099999999999994E-5</v>
      </c>
      <c r="AO263" t="s">
        <v>52</v>
      </c>
      <c r="AP263" t="s">
        <v>53</v>
      </c>
      <c r="AQ263" t="s">
        <v>54</v>
      </c>
    </row>
    <row r="264" spans="1:43" x14ac:dyDescent="0.25">
      <c r="A264" t="s">
        <v>544</v>
      </c>
      <c r="B264" t="s">
        <v>452</v>
      </c>
      <c r="C264">
        <v>101</v>
      </c>
      <c r="D264">
        <v>158</v>
      </c>
      <c r="E264">
        <v>7.51E-2</v>
      </c>
      <c r="F264">
        <v>73700</v>
      </c>
      <c r="G264">
        <v>1.03E-4</v>
      </c>
      <c r="H264">
        <v>8.7499999999999994E-2</v>
      </c>
      <c r="I264">
        <v>1.01E-5</v>
      </c>
      <c r="J264">
        <v>28.2</v>
      </c>
      <c r="K264">
        <v>26.7</v>
      </c>
      <c r="L264">
        <v>0.26700000000000002</v>
      </c>
      <c r="M264">
        <v>2</v>
      </c>
      <c r="N264">
        <v>1.07</v>
      </c>
      <c r="O264">
        <v>3.37</v>
      </c>
      <c r="P264">
        <v>1</v>
      </c>
      <c r="Q264">
        <v>9.35</v>
      </c>
      <c r="R264">
        <v>35.1</v>
      </c>
      <c r="S264">
        <v>5.62</v>
      </c>
      <c r="T264">
        <v>5.62</v>
      </c>
      <c r="U264">
        <v>1.9E-2</v>
      </c>
      <c r="V264">
        <v>1.9E-2</v>
      </c>
      <c r="W264">
        <v>2.43E-4</v>
      </c>
      <c r="X264">
        <v>1.15E-3</v>
      </c>
      <c r="Y264">
        <v>1.4E-3</v>
      </c>
      <c r="Z264" t="s">
        <v>44</v>
      </c>
      <c r="AA264" t="s">
        <v>44</v>
      </c>
      <c r="AB264">
        <v>2.61</v>
      </c>
      <c r="AC264" t="s">
        <v>45</v>
      </c>
      <c r="AD264" t="s">
        <v>46</v>
      </c>
      <c r="AF264" t="s">
        <v>47</v>
      </c>
      <c r="AG264">
        <v>7.0000000000000001E-3</v>
      </c>
      <c r="AH264" t="s">
        <v>48</v>
      </c>
      <c r="AI264" t="s">
        <v>49</v>
      </c>
      <c r="AJ264" t="s">
        <v>50</v>
      </c>
      <c r="AK264" t="s">
        <v>51</v>
      </c>
      <c r="AL264">
        <v>5.62</v>
      </c>
      <c r="AM264">
        <v>4.86E-4</v>
      </c>
      <c r="AN264">
        <v>8.4999999999999995E-4</v>
      </c>
      <c r="AO264" t="s">
        <v>52</v>
      </c>
      <c r="AP264" t="s">
        <v>53</v>
      </c>
      <c r="AQ264" t="s">
        <v>54</v>
      </c>
    </row>
    <row r="265" spans="1:43" x14ac:dyDescent="0.25">
      <c r="A265" t="s">
        <v>751</v>
      </c>
      <c r="B265" t="s">
        <v>750</v>
      </c>
      <c r="C265">
        <v>150.18</v>
      </c>
      <c r="D265">
        <v>321.17</v>
      </c>
      <c r="E265">
        <v>2.6E-7</v>
      </c>
      <c r="F265">
        <v>1000000</v>
      </c>
      <c r="G265">
        <v>3.1599999999999999E-11</v>
      </c>
      <c r="H265">
        <v>5.0900000000000001E-2</v>
      </c>
      <c r="I265">
        <v>8.0600000000000008E-6</v>
      </c>
      <c r="J265">
        <v>1.78E-2</v>
      </c>
      <c r="K265">
        <v>10</v>
      </c>
      <c r="P265">
        <v>1</v>
      </c>
      <c r="U265">
        <v>399</v>
      </c>
      <c r="V265">
        <v>399</v>
      </c>
      <c r="W265">
        <v>1.4000000000000001E-10</v>
      </c>
      <c r="X265">
        <v>4.4500000000000001E-10</v>
      </c>
      <c r="AB265">
        <v>0.89329999999999998</v>
      </c>
      <c r="AC265">
        <v>0.89329999999999998</v>
      </c>
      <c r="AE265">
        <v>2</v>
      </c>
    </row>
    <row r="266" spans="1:43" x14ac:dyDescent="0.25">
      <c r="A266" t="s">
        <v>542</v>
      </c>
      <c r="B266" t="s">
        <v>541</v>
      </c>
      <c r="C266">
        <v>178.23</v>
      </c>
      <c r="D266">
        <v>275.95</v>
      </c>
      <c r="E266">
        <v>3.1399999999999999E-4</v>
      </c>
      <c r="F266">
        <v>248500</v>
      </c>
      <c r="G266">
        <v>3.24E-9</v>
      </c>
      <c r="J266">
        <v>0.17</v>
      </c>
      <c r="K266">
        <v>10</v>
      </c>
      <c r="M266">
        <v>0.75</v>
      </c>
      <c r="N266">
        <v>0.4</v>
      </c>
      <c r="P266">
        <v>1</v>
      </c>
      <c r="AB266">
        <v>0.90200000000000002</v>
      </c>
      <c r="AC266">
        <v>0.90200000000000002</v>
      </c>
    </row>
    <row r="267" spans="1:43" x14ac:dyDescent="0.25">
      <c r="A267" t="s">
        <v>507</v>
      </c>
      <c r="B267" t="s">
        <v>512</v>
      </c>
      <c r="C267">
        <v>84.04</v>
      </c>
      <c r="D267">
        <v>122.35</v>
      </c>
      <c r="E267">
        <v>9.1300000000000008</v>
      </c>
      <c r="F267">
        <v>760.9</v>
      </c>
      <c r="G267">
        <v>0.77</v>
      </c>
      <c r="J267">
        <v>54.95</v>
      </c>
      <c r="K267">
        <v>43.89</v>
      </c>
      <c r="M267">
        <v>3.29175</v>
      </c>
      <c r="N267">
        <v>1.7556</v>
      </c>
      <c r="P267">
        <v>1</v>
      </c>
      <c r="AB267">
        <v>6.3090000000000002</v>
      </c>
      <c r="AC267">
        <v>6.3090000000000002</v>
      </c>
      <c r="AK267" t="s">
        <v>713</v>
      </c>
    </row>
    <row r="268" spans="1:43" x14ac:dyDescent="0.25">
      <c r="A268" t="s">
        <v>543</v>
      </c>
      <c r="B268" t="s">
        <v>453</v>
      </c>
      <c r="C268">
        <v>335</v>
      </c>
      <c r="D268">
        <v>322</v>
      </c>
      <c r="E268">
        <v>6.0300000000000004E-8</v>
      </c>
      <c r="F268">
        <v>0.184</v>
      </c>
      <c r="G268">
        <v>1.1E-4</v>
      </c>
      <c r="H268">
        <v>3.9399999999999998E-2</v>
      </c>
      <c r="I268">
        <v>4.5600000000000004E-6</v>
      </c>
      <c r="J268">
        <v>219000</v>
      </c>
      <c r="K268">
        <v>178000</v>
      </c>
      <c r="L268">
        <v>1780</v>
      </c>
      <c r="M268">
        <v>13300</v>
      </c>
      <c r="N268">
        <v>7100</v>
      </c>
      <c r="O268">
        <v>6.66</v>
      </c>
      <c r="P268">
        <v>0.99</v>
      </c>
      <c r="Q268">
        <v>3010</v>
      </c>
      <c r="R268">
        <v>1.69</v>
      </c>
      <c r="S268">
        <v>3.1699999999999999E-2</v>
      </c>
      <c r="T268">
        <v>3.1699999999999999E-2</v>
      </c>
      <c r="U268">
        <v>248</v>
      </c>
      <c r="V268">
        <v>248</v>
      </c>
      <c r="W268">
        <v>8.5699999999999995E-3</v>
      </c>
      <c r="X268">
        <v>4.07E-2</v>
      </c>
      <c r="Y268">
        <v>4.9299999999999997E-2</v>
      </c>
      <c r="Z268" t="s">
        <v>44</v>
      </c>
      <c r="AA268" t="s">
        <v>44</v>
      </c>
      <c r="AB268">
        <v>2580</v>
      </c>
      <c r="AC268">
        <v>16700</v>
      </c>
      <c r="AD268" t="s">
        <v>46</v>
      </c>
      <c r="AE268">
        <v>7.4999999999999997E-3</v>
      </c>
      <c r="AF268">
        <v>7.7000000000000002E-3</v>
      </c>
      <c r="AG268" t="s">
        <v>57</v>
      </c>
      <c r="AH268" t="s">
        <v>48</v>
      </c>
      <c r="AI268" t="s">
        <v>49</v>
      </c>
      <c r="AJ268" t="s">
        <v>50</v>
      </c>
      <c r="AK268" t="s">
        <v>51</v>
      </c>
      <c r="AL268">
        <v>3.1699999999999999E-2</v>
      </c>
      <c r="AM268">
        <v>1.7100000000000001E-2</v>
      </c>
      <c r="AN268">
        <v>0.03</v>
      </c>
      <c r="AO268" t="s">
        <v>52</v>
      </c>
      <c r="AP268" t="s">
        <v>53</v>
      </c>
      <c r="AQ268" t="s">
        <v>54</v>
      </c>
    </row>
    <row r="269" spans="1:43" x14ac:dyDescent="0.25">
      <c r="A269" t="s">
        <v>545</v>
      </c>
      <c r="B269" t="s">
        <v>546</v>
      </c>
      <c r="C269">
        <v>206.28</v>
      </c>
      <c r="D269">
        <v>330.4</v>
      </c>
      <c r="E269">
        <v>6.7999999999999995E-7</v>
      </c>
      <c r="F269">
        <v>127000</v>
      </c>
      <c r="G269">
        <v>2.3600000000000001E-11</v>
      </c>
      <c r="J269">
        <v>1.04</v>
      </c>
      <c r="K269">
        <v>10</v>
      </c>
      <c r="M269">
        <v>0.75</v>
      </c>
      <c r="N269">
        <v>0.4</v>
      </c>
      <c r="P269">
        <v>0.99967499999999998</v>
      </c>
      <c r="AB269">
        <v>0.94399999999999995</v>
      </c>
      <c r="AC269">
        <v>0.94399999999999995</v>
      </c>
    </row>
    <row r="270" spans="1:43" x14ac:dyDescent="0.25">
      <c r="A270" t="s">
        <v>554</v>
      </c>
      <c r="B270" t="s">
        <v>43</v>
      </c>
      <c r="C270">
        <v>120</v>
      </c>
      <c r="D270">
        <v>229</v>
      </c>
      <c r="E270">
        <v>2.7599999999999999E-3</v>
      </c>
      <c r="F270">
        <v>57</v>
      </c>
      <c r="G270">
        <v>5.8300000000000001E-3</v>
      </c>
      <c r="H270">
        <v>7.8E-2</v>
      </c>
      <c r="I270">
        <v>9.0299999999999999E-6</v>
      </c>
      <c r="J270">
        <v>4270</v>
      </c>
      <c r="K270">
        <v>3700</v>
      </c>
      <c r="L270">
        <v>37</v>
      </c>
      <c r="M270">
        <v>278</v>
      </c>
      <c r="N270">
        <v>148</v>
      </c>
      <c r="O270">
        <v>9.0299999999999994</v>
      </c>
      <c r="P270">
        <v>1</v>
      </c>
      <c r="Q270">
        <v>145</v>
      </c>
      <c r="R270">
        <v>3.91</v>
      </c>
      <c r="S270">
        <v>0.309</v>
      </c>
      <c r="T270">
        <v>0.309</v>
      </c>
      <c r="U270">
        <v>7.0499999999999993E-2</v>
      </c>
      <c r="V270">
        <v>7.0499999999999993E-2</v>
      </c>
      <c r="W270">
        <v>4.1799999999999997E-3</v>
      </c>
      <c r="X270">
        <v>1.9900000000000001E-2</v>
      </c>
      <c r="Y270">
        <v>2.41E-2</v>
      </c>
      <c r="Z270" t="s">
        <v>44</v>
      </c>
      <c r="AA270" t="s">
        <v>44</v>
      </c>
      <c r="AB270">
        <v>124</v>
      </c>
      <c r="AC270" t="s">
        <v>45</v>
      </c>
      <c r="AD270" t="s">
        <v>46</v>
      </c>
      <c r="AE270">
        <v>0.05</v>
      </c>
      <c r="AF270" t="s">
        <v>47</v>
      </c>
      <c r="AG270">
        <v>7.0000000000000001E-3</v>
      </c>
      <c r="AH270" t="s">
        <v>48</v>
      </c>
      <c r="AI270" t="s">
        <v>49</v>
      </c>
      <c r="AJ270" t="s">
        <v>50</v>
      </c>
      <c r="AK270" t="s">
        <v>51</v>
      </c>
      <c r="AL270">
        <v>0.309</v>
      </c>
      <c r="AM270">
        <v>8.3700000000000007E-3</v>
      </c>
      <c r="AN270">
        <v>1.46E-2</v>
      </c>
      <c r="AO270" t="s">
        <v>52</v>
      </c>
      <c r="AP270" t="s">
        <v>53</v>
      </c>
      <c r="AQ270" t="s">
        <v>54</v>
      </c>
    </row>
    <row r="271" spans="1:43" x14ac:dyDescent="0.25">
      <c r="A271" t="s">
        <v>456</v>
      </c>
      <c r="B271" t="s">
        <v>457</v>
      </c>
      <c r="C271">
        <v>120</v>
      </c>
      <c r="D271">
        <v>228</v>
      </c>
      <c r="E271">
        <v>3.2599999999999999E-3</v>
      </c>
      <c r="F271">
        <v>48.2</v>
      </c>
      <c r="G271">
        <v>8.77E-3</v>
      </c>
      <c r="H271">
        <v>6.0199999999999997E-2</v>
      </c>
      <c r="I271">
        <v>8.67E-6</v>
      </c>
      <c r="J271">
        <v>2630</v>
      </c>
      <c r="K271">
        <v>612</v>
      </c>
      <c r="L271">
        <v>6.12</v>
      </c>
      <c r="M271">
        <v>45.9</v>
      </c>
      <c r="N271">
        <v>24.5</v>
      </c>
      <c r="O271" t="s">
        <v>57</v>
      </c>
      <c r="P271">
        <v>1</v>
      </c>
      <c r="Q271">
        <v>99.9</v>
      </c>
      <c r="R271">
        <v>16.3</v>
      </c>
      <c r="S271">
        <v>0.40899999999999997</v>
      </c>
      <c r="T271">
        <v>0.40899999999999997</v>
      </c>
      <c r="U271">
        <v>2.8000000000000001E-2</v>
      </c>
      <c r="V271">
        <v>2.8000000000000001E-2</v>
      </c>
      <c r="W271">
        <v>3.5000000000000001E-3</v>
      </c>
      <c r="X271">
        <v>1.66E-2</v>
      </c>
      <c r="Y271">
        <v>2.01E-2</v>
      </c>
      <c r="Z271">
        <v>2.0899999999999998E-2</v>
      </c>
      <c r="AA271" t="s">
        <v>44</v>
      </c>
      <c r="AB271">
        <v>85.8</v>
      </c>
      <c r="AC271" t="s">
        <v>45</v>
      </c>
      <c r="AD271" t="s">
        <v>46</v>
      </c>
      <c r="AE271">
        <v>0.05</v>
      </c>
      <c r="AF271" t="s">
        <v>47</v>
      </c>
      <c r="AG271" t="s">
        <v>57</v>
      </c>
      <c r="AH271" t="s">
        <v>48</v>
      </c>
      <c r="AI271" t="s">
        <v>49</v>
      </c>
      <c r="AJ271" t="s">
        <v>50</v>
      </c>
      <c r="AK271" t="s">
        <v>51</v>
      </c>
      <c r="AL271">
        <v>0.40899999999999997</v>
      </c>
      <c r="AM271">
        <v>6.9899999999999997E-3</v>
      </c>
      <c r="AN271">
        <v>1.2200000000000001E-2</v>
      </c>
      <c r="AO271" t="s">
        <v>52</v>
      </c>
      <c r="AP271" t="s">
        <v>53</v>
      </c>
      <c r="AQ271" t="s">
        <v>54</v>
      </c>
    </row>
    <row r="272" spans="1:43" x14ac:dyDescent="0.25">
      <c r="A272" t="s">
        <v>752</v>
      </c>
      <c r="B272" t="s">
        <v>749</v>
      </c>
      <c r="C272">
        <v>120</v>
      </c>
      <c r="D272">
        <v>228.5</v>
      </c>
      <c r="E272">
        <v>3.0099999999999997E-3</v>
      </c>
      <c r="F272">
        <v>52.6</v>
      </c>
      <c r="G272">
        <v>7.3000000000000001E-3</v>
      </c>
      <c r="H272">
        <v>6.9099999999999995E-2</v>
      </c>
      <c r="I272">
        <v>8.85E-6</v>
      </c>
      <c r="J272">
        <v>3450</v>
      </c>
      <c r="K272">
        <v>2156</v>
      </c>
      <c r="L272">
        <v>21.56</v>
      </c>
      <c r="M272">
        <v>161.94999999999999</v>
      </c>
      <c r="N272">
        <v>86.25</v>
      </c>
      <c r="O272">
        <v>9.0299999999999994</v>
      </c>
      <c r="P272">
        <v>1</v>
      </c>
      <c r="Q272">
        <v>122.45</v>
      </c>
      <c r="R272">
        <v>10.105</v>
      </c>
      <c r="S272">
        <v>0.35899999999999999</v>
      </c>
      <c r="T272">
        <v>0.35899999999999999</v>
      </c>
      <c r="U272">
        <v>4.9249999999999995E-2</v>
      </c>
      <c r="V272">
        <v>4.9249999999999995E-2</v>
      </c>
      <c r="W272">
        <v>3.8399999999999997E-3</v>
      </c>
      <c r="X272">
        <v>1.8250000000000002E-2</v>
      </c>
      <c r="Y272">
        <v>2.2100000000000002E-2</v>
      </c>
      <c r="Z272">
        <v>2.0899999999999998E-2</v>
      </c>
      <c r="AB272">
        <v>104.9</v>
      </c>
      <c r="AE272">
        <v>0.05</v>
      </c>
      <c r="AG272">
        <v>7.0000000000000001E-3</v>
      </c>
      <c r="AJ272" t="s">
        <v>50</v>
      </c>
      <c r="AL272">
        <v>0.35899999999999999</v>
      </c>
      <c r="AM272">
        <v>7.6800000000000002E-3</v>
      </c>
      <c r="AN272">
        <v>1.34E-2</v>
      </c>
      <c r="AQ272" t="s">
        <v>54</v>
      </c>
    </row>
    <row r="273" spans="1:43" x14ac:dyDescent="0.25">
      <c r="A273" t="s">
        <v>547</v>
      </c>
      <c r="B273" t="s">
        <v>548</v>
      </c>
      <c r="C273">
        <v>114.23</v>
      </c>
      <c r="D273">
        <v>188.04</v>
      </c>
      <c r="E273">
        <v>5.8000000000000003E-2</v>
      </c>
      <c r="F273">
        <v>9.91</v>
      </c>
      <c r="G273">
        <v>3.01</v>
      </c>
      <c r="H273">
        <v>5.74E-2</v>
      </c>
      <c r="I273">
        <v>7.0600000000000002E-6</v>
      </c>
      <c r="J273">
        <v>12302</v>
      </c>
      <c r="K273">
        <v>240.3</v>
      </c>
      <c r="M273">
        <v>18.022500000000001</v>
      </c>
      <c r="N273">
        <v>9.6120000000000001</v>
      </c>
      <c r="P273">
        <v>1</v>
      </c>
      <c r="U273">
        <v>0.16300000000000001</v>
      </c>
      <c r="V273">
        <v>0.16300000000000001</v>
      </c>
      <c r="W273">
        <v>9.7200000000000004E-5</v>
      </c>
      <c r="X273">
        <v>3.0800000000000001E-4</v>
      </c>
      <c r="AB273">
        <v>428.2</v>
      </c>
      <c r="AC273">
        <v>428.2</v>
      </c>
    </row>
    <row r="274" spans="1:43" x14ac:dyDescent="0.25">
      <c r="A274" t="s">
        <v>754</v>
      </c>
      <c r="B274" t="s">
        <v>431</v>
      </c>
      <c r="C274">
        <v>174</v>
      </c>
      <c r="D274">
        <v>294</v>
      </c>
      <c r="E274">
        <v>1.0499999999999999E-5</v>
      </c>
      <c r="F274">
        <v>37.6</v>
      </c>
      <c r="G274">
        <v>4.88E-5</v>
      </c>
      <c r="H274">
        <v>6.0900000000000003E-2</v>
      </c>
      <c r="I274">
        <v>7.0500000000000003E-6</v>
      </c>
      <c r="J274">
        <v>5500</v>
      </c>
      <c r="K274">
        <v>4750</v>
      </c>
      <c r="L274">
        <v>47.5</v>
      </c>
      <c r="M274">
        <v>356</v>
      </c>
      <c r="N274">
        <v>190</v>
      </c>
      <c r="O274">
        <v>3.37</v>
      </c>
      <c r="P274">
        <v>1</v>
      </c>
      <c r="Q274">
        <v>176</v>
      </c>
      <c r="R274">
        <v>3.71</v>
      </c>
      <c r="S274">
        <v>0.26700000000000002</v>
      </c>
      <c r="T274">
        <v>0.26700000000000002</v>
      </c>
      <c r="U274">
        <v>11</v>
      </c>
      <c r="V274">
        <v>11</v>
      </c>
      <c r="W274">
        <v>4.5599999999999998E-3</v>
      </c>
      <c r="X274">
        <v>2.1700000000000001E-2</v>
      </c>
      <c r="Y274">
        <v>2.6200000000000001E-2</v>
      </c>
      <c r="Z274" t="s">
        <v>44</v>
      </c>
      <c r="AA274" t="s">
        <v>44</v>
      </c>
      <c r="AB274">
        <v>151</v>
      </c>
      <c r="AC274" t="s">
        <v>45</v>
      </c>
      <c r="AD274" t="s">
        <v>46</v>
      </c>
      <c r="AE274" t="s">
        <v>56</v>
      </c>
      <c r="AF274" t="s">
        <v>47</v>
      </c>
      <c r="AG274">
        <v>6.9999999999999994E-5</v>
      </c>
      <c r="AH274">
        <v>1.1E-5</v>
      </c>
      <c r="AI274" t="s">
        <v>49</v>
      </c>
      <c r="AJ274" t="s">
        <v>50</v>
      </c>
      <c r="AK274" t="s">
        <v>51</v>
      </c>
      <c r="AL274">
        <v>0.26700000000000002</v>
      </c>
      <c r="AM274">
        <v>9.1199999999999996E-3</v>
      </c>
      <c r="AN274">
        <v>1.6E-2</v>
      </c>
      <c r="AO274" t="s">
        <v>52</v>
      </c>
      <c r="AP274" t="s">
        <v>53</v>
      </c>
      <c r="AQ274" t="s">
        <v>54</v>
      </c>
    </row>
    <row r="275" spans="1:43" x14ac:dyDescent="0.25">
      <c r="A275" t="s">
        <v>549</v>
      </c>
      <c r="B275" t="s">
        <v>550</v>
      </c>
      <c r="C275">
        <v>50.94</v>
      </c>
      <c r="D275">
        <v>462.6</v>
      </c>
      <c r="E275">
        <v>5.5500000000000004E-12</v>
      </c>
      <c r="F275">
        <v>86400</v>
      </c>
      <c r="G275">
        <v>2.4500000000000001E-2</v>
      </c>
      <c r="J275">
        <v>1.7</v>
      </c>
      <c r="K275">
        <v>13.22</v>
      </c>
      <c r="M275">
        <v>0.99150000000000005</v>
      </c>
      <c r="N275">
        <v>0.52880000000000005</v>
      </c>
      <c r="P275">
        <v>0.21199999999999997</v>
      </c>
      <c r="U275">
        <v>5.4999999999999997E-3</v>
      </c>
      <c r="V275">
        <v>5.4999999999999997E-3</v>
      </c>
      <c r="W275">
        <v>2.0000000000000002E-5</v>
      </c>
      <c r="X275">
        <v>2.5000000000000001E-3</v>
      </c>
      <c r="AB275">
        <v>0.98340000000000005</v>
      </c>
      <c r="AC275">
        <v>0.98340000000000005</v>
      </c>
    </row>
    <row r="276" spans="1:43" x14ac:dyDescent="0.25">
      <c r="A276" t="s">
        <v>458</v>
      </c>
      <c r="B276" t="s">
        <v>459</v>
      </c>
      <c r="C276">
        <v>86.1</v>
      </c>
      <c r="D276">
        <v>180</v>
      </c>
      <c r="E276">
        <v>0.11799999999999999</v>
      </c>
      <c r="F276">
        <v>20000</v>
      </c>
      <c r="G276">
        <v>5.1000000000000004E-4</v>
      </c>
      <c r="H276">
        <v>8.5000000000000006E-2</v>
      </c>
      <c r="I276">
        <v>9.2E-6</v>
      </c>
      <c r="J276">
        <v>5.37</v>
      </c>
      <c r="K276">
        <v>5.22</v>
      </c>
      <c r="L276">
        <v>0.79</v>
      </c>
      <c r="M276">
        <v>0.39</v>
      </c>
      <c r="N276">
        <v>0.21</v>
      </c>
      <c r="O276" t="s">
        <v>57</v>
      </c>
      <c r="P276">
        <v>1</v>
      </c>
      <c r="Q276">
        <v>7.16</v>
      </c>
      <c r="R276">
        <v>9.06</v>
      </c>
      <c r="S276">
        <v>8.3800000000000008</v>
      </c>
      <c r="T276">
        <v>8.3800000000000008</v>
      </c>
      <c r="U276">
        <v>6.5700000000000003E-4</v>
      </c>
      <c r="V276">
        <v>6.5700000000000003E-4</v>
      </c>
      <c r="W276">
        <v>5.8900000000000002E-5</v>
      </c>
      <c r="X276">
        <v>2.7999999999999998E-4</v>
      </c>
      <c r="Y276">
        <v>3.39E-4</v>
      </c>
      <c r="Z276">
        <v>3.9700000000000003E-5</v>
      </c>
      <c r="AA276" t="s">
        <v>44</v>
      </c>
      <c r="AB276">
        <v>3.16</v>
      </c>
      <c r="AC276" t="s">
        <v>45</v>
      </c>
      <c r="AD276" t="s">
        <v>46</v>
      </c>
      <c r="AF276" t="s">
        <v>47</v>
      </c>
      <c r="AG276">
        <v>0.2</v>
      </c>
      <c r="AH276" t="s">
        <v>48</v>
      </c>
      <c r="AI276" t="s">
        <v>49</v>
      </c>
      <c r="AJ276" t="s">
        <v>50</v>
      </c>
      <c r="AK276" t="s">
        <v>51</v>
      </c>
      <c r="AL276">
        <v>8.3800000000000008</v>
      </c>
      <c r="AM276">
        <v>1.18E-4</v>
      </c>
      <c r="AN276">
        <v>2.0599999999999999E-4</v>
      </c>
      <c r="AO276" t="s">
        <v>52</v>
      </c>
      <c r="AP276" t="s">
        <v>53</v>
      </c>
      <c r="AQ276" t="s">
        <v>54</v>
      </c>
    </row>
    <row r="277" spans="1:43" x14ac:dyDescent="0.25">
      <c r="A277" t="s">
        <v>636</v>
      </c>
      <c r="B277" t="s">
        <v>481</v>
      </c>
      <c r="C277">
        <v>106.95</v>
      </c>
      <c r="D277">
        <v>180.46</v>
      </c>
      <c r="E277">
        <v>1.37</v>
      </c>
      <c r="F277">
        <v>5079</v>
      </c>
      <c r="G277">
        <v>1.23E-2</v>
      </c>
      <c r="H277">
        <v>8.6199999999999999E-2</v>
      </c>
      <c r="I277">
        <v>1.17E-5</v>
      </c>
      <c r="J277">
        <v>33.1</v>
      </c>
      <c r="K277">
        <v>21.73</v>
      </c>
      <c r="M277">
        <v>1.62975</v>
      </c>
      <c r="N277">
        <v>0.86920000000000008</v>
      </c>
      <c r="P277">
        <v>1</v>
      </c>
      <c r="U277">
        <v>4.7300000000000004</v>
      </c>
      <c r="V277">
        <v>4.7300000000000004</v>
      </c>
      <c r="W277">
        <v>2.9400000000000001E-7</v>
      </c>
      <c r="X277">
        <v>9.2900000000000002E-7</v>
      </c>
      <c r="AB277">
        <v>4.2140000000000004</v>
      </c>
      <c r="AC277">
        <v>4.2140000000000004</v>
      </c>
      <c r="AG277">
        <v>3.0000000000000001E-3</v>
      </c>
      <c r="AJ277" t="s">
        <v>50</v>
      </c>
    </row>
    <row r="278" spans="1:43" x14ac:dyDescent="0.25">
      <c r="A278" t="s">
        <v>460</v>
      </c>
      <c r="B278" t="s">
        <v>461</v>
      </c>
      <c r="C278">
        <v>62.5</v>
      </c>
      <c r="D278">
        <v>123</v>
      </c>
      <c r="E278">
        <v>3.95</v>
      </c>
      <c r="F278">
        <v>8800</v>
      </c>
      <c r="G278">
        <v>2.7E-2</v>
      </c>
      <c r="H278">
        <v>0.106</v>
      </c>
      <c r="I278">
        <v>1.2300000000000001E-5</v>
      </c>
      <c r="J278">
        <v>25.1</v>
      </c>
      <c r="K278">
        <v>15.4</v>
      </c>
      <c r="L278">
        <v>3.6999999999999998E-2</v>
      </c>
      <c r="M278">
        <v>1.1499999999999999</v>
      </c>
      <c r="N278">
        <v>0.62</v>
      </c>
      <c r="O278">
        <v>1.41</v>
      </c>
      <c r="P278">
        <v>1</v>
      </c>
      <c r="Q278">
        <v>9.09</v>
      </c>
      <c r="R278">
        <v>246</v>
      </c>
      <c r="S278">
        <v>6.01</v>
      </c>
      <c r="T278">
        <v>6.01</v>
      </c>
      <c r="U278">
        <v>6.41E-5</v>
      </c>
      <c r="V278">
        <v>6.41E-5</v>
      </c>
      <c r="W278">
        <v>2.22E-4</v>
      </c>
      <c r="X278">
        <v>1.0499999999999999E-3</v>
      </c>
      <c r="Y278">
        <v>1.2800000000000001E-3</v>
      </c>
      <c r="Z278">
        <v>1.11E-4</v>
      </c>
      <c r="AA278" t="s">
        <v>44</v>
      </c>
      <c r="AB278">
        <v>2.39</v>
      </c>
      <c r="AC278" t="s">
        <v>45</v>
      </c>
      <c r="AD278" t="s">
        <v>46</v>
      </c>
      <c r="AE278">
        <v>3.0000000000000001E-3</v>
      </c>
      <c r="AF278">
        <v>0.72</v>
      </c>
      <c r="AG278">
        <v>0.1</v>
      </c>
      <c r="AH278">
        <v>8.8000000000000004E-6</v>
      </c>
      <c r="AI278" t="s">
        <v>49</v>
      </c>
      <c r="AJ278" t="s">
        <v>50</v>
      </c>
      <c r="AK278" t="s">
        <v>51</v>
      </c>
      <c r="AL278">
        <v>6.01</v>
      </c>
      <c r="AM278">
        <v>4.44E-4</v>
      </c>
      <c r="AN278">
        <v>7.76E-4</v>
      </c>
      <c r="AO278" t="s">
        <v>52</v>
      </c>
      <c r="AP278" t="s">
        <v>53</v>
      </c>
      <c r="AQ278" t="s">
        <v>54</v>
      </c>
    </row>
    <row r="279" spans="1:43" x14ac:dyDescent="0.25">
      <c r="A279" t="s">
        <v>708</v>
      </c>
      <c r="B279" t="s">
        <v>462</v>
      </c>
      <c r="D279" t="s">
        <v>60</v>
      </c>
      <c r="E279" t="s">
        <v>57</v>
      </c>
      <c r="F279" t="s">
        <v>46</v>
      </c>
      <c r="G279" t="s">
        <v>56</v>
      </c>
      <c r="H279" t="s">
        <v>44</v>
      </c>
      <c r="I279" t="s">
        <v>44</v>
      </c>
      <c r="J279" t="s">
        <v>57</v>
      </c>
      <c r="K279" t="s">
        <v>44</v>
      </c>
      <c r="L279" t="s">
        <v>57</v>
      </c>
      <c r="P279">
        <v>1</v>
      </c>
      <c r="Q279" t="s">
        <v>57</v>
      </c>
      <c r="R279" t="s">
        <v>57</v>
      </c>
      <c r="S279" t="s">
        <v>56</v>
      </c>
      <c r="T279" t="s">
        <v>56</v>
      </c>
      <c r="U279" t="s">
        <v>57</v>
      </c>
      <c r="V279" t="s">
        <v>57</v>
      </c>
      <c r="W279" t="s">
        <v>62</v>
      </c>
      <c r="X279" t="s">
        <v>62</v>
      </c>
      <c r="Y279" t="s">
        <v>62</v>
      </c>
      <c r="Z279" t="s">
        <v>44</v>
      </c>
      <c r="AA279" t="s">
        <v>44</v>
      </c>
      <c r="AB279" t="s">
        <v>63</v>
      </c>
      <c r="AC279" t="s">
        <v>45</v>
      </c>
      <c r="AD279" t="s">
        <v>46</v>
      </c>
      <c r="AE279" t="s">
        <v>56</v>
      </c>
      <c r="AF279" t="s">
        <v>47</v>
      </c>
      <c r="AG279" t="s">
        <v>57</v>
      </c>
      <c r="AH279" t="s">
        <v>48</v>
      </c>
      <c r="AI279" t="s">
        <v>49</v>
      </c>
      <c r="AJ279" t="s">
        <v>50</v>
      </c>
      <c r="AK279" t="s">
        <v>51</v>
      </c>
      <c r="AL279" t="s">
        <v>44</v>
      </c>
      <c r="AM279" t="s">
        <v>44</v>
      </c>
      <c r="AN279" t="s">
        <v>44</v>
      </c>
      <c r="AO279" t="s">
        <v>52</v>
      </c>
      <c r="AP279" t="s">
        <v>53</v>
      </c>
      <c r="AQ279" t="s">
        <v>54</v>
      </c>
    </row>
    <row r="280" spans="1:43" x14ac:dyDescent="0.25">
      <c r="A280" t="s">
        <v>764</v>
      </c>
      <c r="B280" t="s">
        <v>765</v>
      </c>
    </row>
    <row r="281" spans="1:43" x14ac:dyDescent="0.25">
      <c r="A281" t="s">
        <v>709</v>
      </c>
      <c r="B281" t="s">
        <v>464</v>
      </c>
      <c r="C281">
        <v>107</v>
      </c>
      <c r="D281">
        <v>256</v>
      </c>
      <c r="E281">
        <v>1.0500000000000001E-2</v>
      </c>
      <c r="F281">
        <v>106</v>
      </c>
      <c r="G281">
        <v>1.06E-2</v>
      </c>
      <c r="H281">
        <v>8.4199999999999997E-2</v>
      </c>
      <c r="I281">
        <v>9.7499999999999998E-6</v>
      </c>
      <c r="J281">
        <v>1450</v>
      </c>
      <c r="K281">
        <v>381</v>
      </c>
      <c r="L281">
        <v>3.81</v>
      </c>
      <c r="M281">
        <v>28.6</v>
      </c>
      <c r="N281">
        <v>15.2</v>
      </c>
      <c r="O281">
        <v>8.43</v>
      </c>
      <c r="P281">
        <v>1</v>
      </c>
      <c r="Q281">
        <v>63</v>
      </c>
      <c r="R281">
        <v>16.5</v>
      </c>
      <c r="S281">
        <v>0.57799999999999996</v>
      </c>
      <c r="T281">
        <v>0.57799999999999996</v>
      </c>
      <c r="U281">
        <v>1.2200000000000001E-2</v>
      </c>
      <c r="V281">
        <v>1.2200000000000001E-2</v>
      </c>
      <c r="W281">
        <v>2.7200000000000002E-3</v>
      </c>
      <c r="X281">
        <v>1.29E-2</v>
      </c>
      <c r="Y281">
        <v>1.5599999999999999E-2</v>
      </c>
      <c r="Z281" t="s">
        <v>44</v>
      </c>
      <c r="AA281" t="s">
        <v>44</v>
      </c>
      <c r="AB281">
        <v>54.1</v>
      </c>
      <c r="AC281" t="s">
        <v>45</v>
      </c>
      <c r="AD281" t="s">
        <v>46</v>
      </c>
      <c r="AE281">
        <v>0.2</v>
      </c>
      <c r="AF281" t="s">
        <v>47</v>
      </c>
      <c r="AG281">
        <v>0.1</v>
      </c>
      <c r="AH281" t="s">
        <v>48</v>
      </c>
      <c r="AI281" t="s">
        <v>49</v>
      </c>
      <c r="AJ281" t="s">
        <v>50</v>
      </c>
      <c r="AK281" t="s">
        <v>51</v>
      </c>
      <c r="AL281">
        <v>0.57799999999999996</v>
      </c>
      <c r="AM281">
        <v>5.4400000000000004E-3</v>
      </c>
      <c r="AN281">
        <v>9.5200000000000007E-3</v>
      </c>
      <c r="AO281" t="s">
        <v>52</v>
      </c>
      <c r="AP281" t="s">
        <v>53</v>
      </c>
      <c r="AQ281" t="s">
        <v>54</v>
      </c>
    </row>
    <row r="282" spans="1:43" x14ac:dyDescent="0.25">
      <c r="A282" t="s">
        <v>551</v>
      </c>
      <c r="B282" t="s">
        <v>756</v>
      </c>
      <c r="C282">
        <v>65.38</v>
      </c>
      <c r="D282">
        <v>693</v>
      </c>
      <c r="P282">
        <v>0</v>
      </c>
      <c r="AE282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82"/>
  <sheetViews>
    <sheetView tabSelected="1" workbookViewId="0">
      <pane xSplit="1" ySplit="1" topLeftCell="AC73" activePane="bottomRight" state="frozen"/>
      <selection pane="topRight" activeCell="B1" sqref="B1"/>
      <selection pane="bottomLeft" activeCell="A2" sqref="A2"/>
      <selection pane="bottomRight" activeCell="AF89" sqref="C1:AQ1048576"/>
    </sheetView>
  </sheetViews>
  <sheetFormatPr defaultRowHeight="15" x14ac:dyDescent="0.25"/>
  <cols>
    <col min="1" max="1" width="52.28515625" bestFit="1" customWidth="1"/>
    <col min="2" max="2" width="15.28515625" bestFit="1" customWidth="1"/>
    <col min="3" max="3" width="12.85546875" bestFit="1" customWidth="1"/>
    <col min="4" max="4" width="7.140625" bestFit="1" customWidth="1"/>
    <col min="5" max="6" width="12" bestFit="1" customWidth="1"/>
    <col min="7" max="7" width="16.7109375" bestFit="1" customWidth="1"/>
    <col min="8" max="11" width="12" bestFit="1" customWidth="1"/>
    <col min="12" max="12" width="12.42578125" bestFit="1" customWidth="1"/>
    <col min="13" max="13" width="12" bestFit="1" customWidth="1"/>
    <col min="14" max="14" width="13.7109375" bestFit="1" customWidth="1"/>
    <col min="15" max="15" width="11.5703125" bestFit="1" customWidth="1"/>
    <col min="16" max="18" width="12" bestFit="1" customWidth="1"/>
    <col min="19" max="19" width="12.5703125" bestFit="1" customWidth="1"/>
    <col min="20" max="22" width="12" bestFit="1" customWidth="1"/>
    <col min="23" max="23" width="18.85546875" bestFit="1" customWidth="1"/>
    <col min="24" max="24" width="19.140625" bestFit="1" customWidth="1"/>
    <col min="25" max="25" width="19" bestFit="1" customWidth="1"/>
    <col min="26" max="26" width="12" bestFit="1" customWidth="1"/>
    <col min="27" max="27" width="11.42578125" bestFit="1" customWidth="1"/>
    <col min="28" max="28" width="23.28515625" bestFit="1" customWidth="1"/>
    <col min="29" max="29" width="17.28515625" bestFit="1" customWidth="1"/>
    <col min="31" max="31" width="15.7109375" bestFit="1" customWidth="1"/>
    <col min="32" max="32" width="21.85546875" bestFit="1" customWidth="1"/>
    <col min="33" max="33" width="13.5703125" bestFit="1" customWidth="1"/>
    <col min="34" max="34" width="26.28515625" bestFit="1" customWidth="1"/>
    <col min="35" max="35" width="29.85546875" bestFit="1" customWidth="1"/>
    <col min="36" max="36" width="13.7109375" bestFit="1" customWidth="1"/>
    <col min="37" max="37" width="17" bestFit="1" customWidth="1"/>
    <col min="38" max="40" width="12" bestFit="1" customWidth="1"/>
    <col min="41" max="41" width="14" bestFit="1" customWidth="1"/>
    <col min="42" max="42" width="4" bestFit="1" customWidth="1"/>
    <col min="43" max="43" width="8.28515625" bestFit="1" customWidth="1"/>
  </cols>
  <sheetData>
    <row r="1" spans="1:43" x14ac:dyDescent="0.25">
      <c r="A1" t="s">
        <v>0</v>
      </c>
      <c r="B1" t="s">
        <v>1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9</v>
      </c>
      <c r="K1" t="s">
        <v>775</v>
      </c>
      <c r="L1" t="s">
        <v>776</v>
      </c>
      <c r="M1" t="s">
        <v>777</v>
      </c>
      <c r="N1" t="s">
        <v>778</v>
      </c>
      <c r="O1" t="s">
        <v>779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780</v>
      </c>
      <c r="X1" t="s">
        <v>781</v>
      </c>
      <c r="Y1" t="s">
        <v>782</v>
      </c>
      <c r="Z1" t="s">
        <v>25</v>
      </c>
      <c r="AA1" t="s">
        <v>26</v>
      </c>
      <c r="AB1" t="s">
        <v>783</v>
      </c>
      <c r="AC1" t="s">
        <v>784</v>
      </c>
      <c r="AD1" t="s">
        <v>29</v>
      </c>
      <c r="AE1" t="s">
        <v>785</v>
      </c>
      <c r="AF1" t="s">
        <v>786</v>
      </c>
      <c r="AG1" t="s">
        <v>787</v>
      </c>
      <c r="AH1" t="s">
        <v>788</v>
      </c>
      <c r="AI1" t="s">
        <v>789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81</v>
      </c>
      <c r="B2" t="s">
        <v>82</v>
      </c>
      <c r="C2">
        <v>154</v>
      </c>
      <c r="D2">
        <v>366</v>
      </c>
      <c r="E2">
        <v>3.2899999999999998E-6</v>
      </c>
      <c r="F2">
        <v>3.6</v>
      </c>
      <c r="G2">
        <v>1.6000000000000001E-4</v>
      </c>
      <c r="H2">
        <v>1E-3</v>
      </c>
      <c r="I2">
        <v>1.0000000000000001E-5</v>
      </c>
      <c r="J2">
        <v>7940</v>
      </c>
      <c r="K2">
        <v>4900</v>
      </c>
      <c r="L2">
        <v>3.9</v>
      </c>
      <c r="M2">
        <v>368</v>
      </c>
      <c r="N2">
        <v>196</v>
      </c>
      <c r="O2">
        <v>2.48</v>
      </c>
      <c r="P2">
        <v>1</v>
      </c>
      <c r="Q2">
        <v>234</v>
      </c>
      <c r="R2">
        <v>0.21299999999999999</v>
      </c>
      <c r="S2">
        <v>0.216</v>
      </c>
      <c r="T2">
        <v>0.216</v>
      </c>
      <c r="U2">
        <v>4.97</v>
      </c>
      <c r="V2">
        <v>4.97</v>
      </c>
      <c r="W2">
        <v>5.1200000000000004E-3</v>
      </c>
      <c r="X2">
        <v>2.4299999999999999E-2</v>
      </c>
      <c r="Y2">
        <v>2.9399999999999999E-2</v>
      </c>
      <c r="Z2">
        <v>7.3200000000000001E-2</v>
      </c>
      <c r="AB2">
        <v>201</v>
      </c>
      <c r="AC2">
        <v>201</v>
      </c>
      <c r="AE2">
        <v>0.06</v>
      </c>
      <c r="AH2" t="s">
        <v>48</v>
      </c>
      <c r="AI2" t="s">
        <v>49</v>
      </c>
      <c r="AJ2" t="s">
        <v>50</v>
      </c>
      <c r="AK2" t="s">
        <v>72</v>
      </c>
      <c r="AL2">
        <v>0.216</v>
      </c>
      <c r="AM2">
        <v>1.0200000000000001E-2</v>
      </c>
      <c r="AN2">
        <v>1.7899999999999999E-2</v>
      </c>
      <c r="AQ2" t="s">
        <v>54</v>
      </c>
    </row>
    <row r="3" spans="1:43" x14ac:dyDescent="0.25">
      <c r="A3" t="s">
        <v>572</v>
      </c>
      <c r="B3" t="s">
        <v>84</v>
      </c>
      <c r="C3">
        <v>152.19</v>
      </c>
      <c r="D3">
        <v>364.9</v>
      </c>
      <c r="E3">
        <v>8.7499999999999992E-6</v>
      </c>
      <c r="F3">
        <v>3.9</v>
      </c>
      <c r="G3">
        <v>1.11E-4</v>
      </c>
      <c r="H3">
        <v>4.3999999999999997E-2</v>
      </c>
      <c r="I3">
        <v>7.5000000000000002E-6</v>
      </c>
      <c r="J3">
        <v>8709</v>
      </c>
      <c r="K3">
        <v>2760</v>
      </c>
      <c r="L3">
        <v>3.9</v>
      </c>
      <c r="M3">
        <v>207</v>
      </c>
      <c r="N3">
        <v>110.4</v>
      </c>
      <c r="O3">
        <v>4.22</v>
      </c>
      <c r="P3">
        <v>1</v>
      </c>
      <c r="Q3">
        <v>32.6</v>
      </c>
      <c r="R3">
        <v>2.18E-2</v>
      </c>
      <c r="S3">
        <v>0.27</v>
      </c>
      <c r="T3">
        <v>0.27</v>
      </c>
      <c r="U3">
        <v>125000</v>
      </c>
      <c r="V3">
        <v>125000</v>
      </c>
      <c r="W3">
        <v>5.1200000000000004E-3</v>
      </c>
      <c r="X3">
        <v>2.4299999999999999E-2</v>
      </c>
      <c r="Y3">
        <v>2.9399999999999999E-2</v>
      </c>
      <c r="Z3">
        <v>7.3200000000000001E-2</v>
      </c>
      <c r="AB3">
        <v>549</v>
      </c>
      <c r="AC3">
        <v>549</v>
      </c>
      <c r="AH3" t="s">
        <v>48</v>
      </c>
      <c r="AI3" t="s">
        <v>49</v>
      </c>
      <c r="AJ3" t="s">
        <v>50</v>
      </c>
      <c r="AK3" t="s">
        <v>72</v>
      </c>
      <c r="AL3">
        <v>0.216</v>
      </c>
      <c r="AM3">
        <v>1.0200000000000001E-2</v>
      </c>
      <c r="AN3">
        <v>1.7899999999999999E-2</v>
      </c>
      <c r="AQ3" t="s">
        <v>54</v>
      </c>
    </row>
    <row r="4" spans="1:43" x14ac:dyDescent="0.25">
      <c r="A4" t="s">
        <v>85</v>
      </c>
      <c r="B4" t="s">
        <v>86</v>
      </c>
      <c r="C4">
        <v>44.1</v>
      </c>
      <c r="D4">
        <v>150</v>
      </c>
      <c r="E4">
        <v>1.19</v>
      </c>
      <c r="F4">
        <v>1000000</v>
      </c>
      <c r="G4">
        <v>7.8899999999999993E-5</v>
      </c>
      <c r="H4">
        <v>0.124</v>
      </c>
      <c r="I4">
        <v>1.4100000000000001E-5</v>
      </c>
      <c r="J4">
        <v>0.60299999999999998</v>
      </c>
      <c r="K4">
        <v>0.61</v>
      </c>
      <c r="L4">
        <v>6.0000000000000001E-3</v>
      </c>
      <c r="M4">
        <v>0.05</v>
      </c>
      <c r="N4">
        <v>0.02</v>
      </c>
      <c r="P4">
        <v>1</v>
      </c>
      <c r="Q4">
        <v>6.46</v>
      </c>
      <c r="R4">
        <v>1060</v>
      </c>
      <c r="S4">
        <v>8.3800000000000008</v>
      </c>
      <c r="T4">
        <v>8.3800000000000008</v>
      </c>
      <c r="U4">
        <v>4.1300000000000001E-4</v>
      </c>
      <c r="V4">
        <v>4.1300000000000001E-4</v>
      </c>
      <c r="W4">
        <v>6.3400000000000003E-6</v>
      </c>
      <c r="X4">
        <v>3.01E-5</v>
      </c>
      <c r="Y4">
        <v>3.6399999999999997E-5</v>
      </c>
      <c r="Z4">
        <v>4.78E-6</v>
      </c>
      <c r="AB4">
        <v>3.16</v>
      </c>
      <c r="AG4">
        <v>8.9999999999999993E-3</v>
      </c>
      <c r="AH4">
        <v>2.2000000000000001E-6</v>
      </c>
      <c r="AI4" t="s">
        <v>49</v>
      </c>
      <c r="AJ4" t="s">
        <v>50</v>
      </c>
      <c r="AL4">
        <v>8.3800000000000008</v>
      </c>
      <c r="AM4">
        <v>1.27E-5</v>
      </c>
      <c r="AN4">
        <v>2.2200000000000001E-5</v>
      </c>
      <c r="AQ4" t="s">
        <v>54</v>
      </c>
    </row>
    <row r="5" spans="1:43" x14ac:dyDescent="0.25">
      <c r="A5" t="s">
        <v>585</v>
      </c>
      <c r="B5" t="s">
        <v>87</v>
      </c>
      <c r="C5">
        <v>59.1</v>
      </c>
      <c r="D5">
        <v>354</v>
      </c>
      <c r="E5">
        <v>1.32E-3</v>
      </c>
      <c r="F5">
        <v>2250000</v>
      </c>
      <c r="G5">
        <v>3.4499999999999998E-8</v>
      </c>
      <c r="H5">
        <v>0.125</v>
      </c>
      <c r="I5">
        <v>1.45E-5</v>
      </c>
      <c r="J5">
        <v>5.5E-2</v>
      </c>
      <c r="K5">
        <v>5.7799999999999997E-2</v>
      </c>
      <c r="L5">
        <v>5.7799999999999995E-4</v>
      </c>
      <c r="M5">
        <v>4.3299999999999996E-3</v>
      </c>
      <c r="N5">
        <v>2.31E-3</v>
      </c>
      <c r="O5">
        <v>8.43</v>
      </c>
      <c r="P5">
        <v>1</v>
      </c>
      <c r="Q5">
        <v>6.39</v>
      </c>
      <c r="R5">
        <v>11100</v>
      </c>
      <c r="S5">
        <v>207</v>
      </c>
      <c r="T5">
        <v>207</v>
      </c>
      <c r="U5">
        <v>7.3599999999999999E-2</v>
      </c>
      <c r="V5">
        <v>7.3599999999999999E-2</v>
      </c>
      <c r="W5">
        <v>1.9099999999999999E-6</v>
      </c>
      <c r="X5">
        <v>9.0699999999999996E-6</v>
      </c>
      <c r="Y5">
        <v>1.1E-5</v>
      </c>
      <c r="AB5">
        <v>3.16</v>
      </c>
      <c r="AF5">
        <v>7.0000000000000007E-2</v>
      </c>
      <c r="AH5">
        <v>2.0000000000000002E-5</v>
      </c>
      <c r="AI5" t="s">
        <v>49</v>
      </c>
      <c r="AJ5" t="s">
        <v>50</v>
      </c>
      <c r="AL5">
        <v>207</v>
      </c>
      <c r="AM5">
        <v>3.8199999999999998E-6</v>
      </c>
      <c r="AN5">
        <v>6.6800000000000004E-6</v>
      </c>
      <c r="AQ5" t="s">
        <v>54</v>
      </c>
    </row>
    <row r="6" spans="1:43" x14ac:dyDescent="0.25">
      <c r="A6" t="s">
        <v>88</v>
      </c>
      <c r="B6" t="s">
        <v>89</v>
      </c>
      <c r="C6">
        <v>58.1</v>
      </c>
      <c r="D6">
        <v>178</v>
      </c>
      <c r="E6">
        <v>0.30299999999999999</v>
      </c>
      <c r="F6">
        <v>1000000</v>
      </c>
      <c r="G6">
        <v>3.8999999999999999E-5</v>
      </c>
      <c r="H6">
        <v>0.124</v>
      </c>
      <c r="I6">
        <v>1.1399999999999999E-5</v>
      </c>
      <c r="J6">
        <v>0.57499999999999996</v>
      </c>
      <c r="K6">
        <v>0.57999999999999996</v>
      </c>
      <c r="L6">
        <v>8.6999999999999994E-2</v>
      </c>
      <c r="M6">
        <v>0.04</v>
      </c>
      <c r="N6">
        <v>0.02</v>
      </c>
      <c r="O6">
        <v>36.1</v>
      </c>
      <c r="P6">
        <v>1</v>
      </c>
      <c r="Q6">
        <v>6.46</v>
      </c>
      <c r="R6">
        <v>74.2</v>
      </c>
      <c r="S6">
        <v>8.3800000000000008</v>
      </c>
      <c r="T6">
        <v>8.3800000000000008</v>
      </c>
      <c r="U6">
        <v>7.9600000000000005E-4</v>
      </c>
      <c r="V6">
        <v>7.9600000000000005E-4</v>
      </c>
      <c r="W6">
        <v>6.02E-6</v>
      </c>
      <c r="X6">
        <v>2.8600000000000001E-5</v>
      </c>
      <c r="Y6">
        <v>3.4600000000000001E-5</v>
      </c>
      <c r="Z6">
        <v>4.7700000000000001E-6</v>
      </c>
      <c r="AB6">
        <v>3.16</v>
      </c>
      <c r="AE6">
        <v>0.9</v>
      </c>
      <c r="AH6" t="s">
        <v>48</v>
      </c>
      <c r="AI6" t="s">
        <v>49</v>
      </c>
      <c r="AJ6" t="s">
        <v>50</v>
      </c>
      <c r="AL6">
        <v>8.3800000000000008</v>
      </c>
      <c r="AM6">
        <v>1.2E-5</v>
      </c>
      <c r="AN6">
        <v>2.1100000000000001E-5</v>
      </c>
      <c r="AQ6" t="s">
        <v>54</v>
      </c>
    </row>
    <row r="7" spans="1:43" x14ac:dyDescent="0.25">
      <c r="A7" t="s">
        <v>90</v>
      </c>
      <c r="B7" t="s">
        <v>91</v>
      </c>
      <c r="C7">
        <v>41.1</v>
      </c>
      <c r="D7">
        <v>228</v>
      </c>
      <c r="E7">
        <v>0.12</v>
      </c>
      <c r="F7">
        <v>74000</v>
      </c>
      <c r="G7">
        <v>3.4600000000000001E-5</v>
      </c>
      <c r="H7">
        <v>0.128</v>
      </c>
      <c r="I7">
        <v>1.66E-5</v>
      </c>
      <c r="J7">
        <v>0.45700000000000002</v>
      </c>
      <c r="K7">
        <v>0.46</v>
      </c>
      <c r="L7">
        <v>5.0000000000000001E-3</v>
      </c>
      <c r="M7">
        <v>0.03</v>
      </c>
      <c r="N7">
        <v>0.02</v>
      </c>
      <c r="O7">
        <v>9.0299999999999994</v>
      </c>
      <c r="P7">
        <v>1</v>
      </c>
      <c r="Q7">
        <v>6.43</v>
      </c>
      <c r="R7">
        <v>1390</v>
      </c>
      <c r="S7">
        <v>8.3800000000000008</v>
      </c>
      <c r="T7">
        <v>8.3800000000000008</v>
      </c>
      <c r="U7">
        <v>7.0200000000000004E-4</v>
      </c>
      <c r="V7">
        <v>7.0200000000000004E-4</v>
      </c>
      <c r="W7">
        <v>4.6399999999999996E-6</v>
      </c>
      <c r="X7">
        <v>2.2099999999999998E-5</v>
      </c>
      <c r="Y7">
        <v>2.6699999999999998E-5</v>
      </c>
      <c r="Z7">
        <v>3.63E-6</v>
      </c>
      <c r="AB7">
        <v>3.16</v>
      </c>
      <c r="AE7">
        <v>6.0000000000000001E-3</v>
      </c>
      <c r="AG7">
        <v>0.06</v>
      </c>
      <c r="AH7" t="s">
        <v>48</v>
      </c>
      <c r="AI7" t="s">
        <v>49</v>
      </c>
      <c r="AJ7" t="s">
        <v>50</v>
      </c>
      <c r="AL7">
        <v>8.3800000000000008</v>
      </c>
      <c r="AM7">
        <v>9.2900000000000008E-6</v>
      </c>
      <c r="AN7">
        <v>1.63E-5</v>
      </c>
      <c r="AQ7" t="s">
        <v>54</v>
      </c>
    </row>
    <row r="8" spans="1:43" x14ac:dyDescent="0.25">
      <c r="A8" t="s">
        <v>92</v>
      </c>
      <c r="B8" t="s">
        <v>93</v>
      </c>
      <c r="C8">
        <v>120</v>
      </c>
      <c r="D8">
        <v>293</v>
      </c>
      <c r="E8">
        <v>5.22E-4</v>
      </c>
      <c r="F8">
        <v>6130</v>
      </c>
      <c r="G8">
        <v>1.0699999999999999E-5</v>
      </c>
      <c r="H8">
        <v>0.06</v>
      </c>
      <c r="I8">
        <v>8.7299999999999994E-6</v>
      </c>
      <c r="J8">
        <v>38</v>
      </c>
      <c r="K8">
        <v>35.799999999999997</v>
      </c>
      <c r="L8">
        <v>0.36</v>
      </c>
      <c r="M8">
        <v>2.68</v>
      </c>
      <c r="N8">
        <v>1.43</v>
      </c>
      <c r="P8">
        <v>1</v>
      </c>
      <c r="Q8">
        <v>10.1</v>
      </c>
      <c r="R8">
        <v>28.3</v>
      </c>
      <c r="S8">
        <v>4.7300000000000004</v>
      </c>
      <c r="T8">
        <v>4.7300000000000004</v>
      </c>
      <c r="U8">
        <v>0.252</v>
      </c>
      <c r="V8">
        <v>0.252</v>
      </c>
      <c r="W8">
        <v>3.0600000000000001E-4</v>
      </c>
      <c r="X8">
        <v>1.4499999999999999E-3</v>
      </c>
      <c r="Y8">
        <v>1.7600000000000001E-3</v>
      </c>
      <c r="Z8">
        <v>3.4699999999999998E-4</v>
      </c>
      <c r="AB8">
        <v>0.47499999999999998</v>
      </c>
      <c r="AE8">
        <v>0.1</v>
      </c>
      <c r="AH8" t="s">
        <v>48</v>
      </c>
      <c r="AI8" t="s">
        <v>49</v>
      </c>
      <c r="AJ8" t="s">
        <v>50</v>
      </c>
      <c r="AL8">
        <v>4.7300000000000004</v>
      </c>
      <c r="AM8">
        <v>6.1200000000000002E-4</v>
      </c>
      <c r="AN8">
        <v>1.07E-3</v>
      </c>
      <c r="AQ8" t="s">
        <v>54</v>
      </c>
    </row>
    <row r="9" spans="1:43" x14ac:dyDescent="0.25">
      <c r="A9" t="s">
        <v>94</v>
      </c>
      <c r="B9" t="s">
        <v>95</v>
      </c>
      <c r="C9">
        <v>56.1</v>
      </c>
      <c r="D9">
        <v>185</v>
      </c>
      <c r="E9">
        <v>0.35499999999999998</v>
      </c>
      <c r="F9">
        <v>210000</v>
      </c>
      <c r="G9">
        <v>1.2E-4</v>
      </c>
      <c r="H9">
        <v>0.105</v>
      </c>
      <c r="I9">
        <v>1.22E-5</v>
      </c>
      <c r="J9">
        <v>0.97699999999999998</v>
      </c>
      <c r="K9">
        <v>0.98</v>
      </c>
      <c r="L9">
        <v>0.15</v>
      </c>
      <c r="M9">
        <v>7.0000000000000007E-2</v>
      </c>
      <c r="N9">
        <v>0.04</v>
      </c>
      <c r="O9">
        <v>9.0299999999999994</v>
      </c>
      <c r="P9">
        <v>1</v>
      </c>
      <c r="Q9">
        <v>6.54</v>
      </c>
      <c r="R9">
        <v>43.6</v>
      </c>
      <c r="S9">
        <v>8.3800000000000008</v>
      </c>
      <c r="T9">
        <v>8.3800000000000008</v>
      </c>
      <c r="U9">
        <v>4.55E-4</v>
      </c>
      <c r="V9">
        <v>4.55E-4</v>
      </c>
      <c r="W9">
        <v>1.0699999999999999E-5</v>
      </c>
      <c r="X9">
        <v>5.1100000000000002E-5</v>
      </c>
      <c r="Y9">
        <v>6.1799999999999998E-5</v>
      </c>
      <c r="Z9">
        <v>7.7800000000000001E-6</v>
      </c>
      <c r="AB9">
        <v>3.16</v>
      </c>
      <c r="AE9">
        <v>5.0000000000000001E-4</v>
      </c>
      <c r="AG9">
        <v>4.0000000000000002E-4</v>
      </c>
      <c r="AH9" t="s">
        <v>48</v>
      </c>
      <c r="AI9" t="s">
        <v>49</v>
      </c>
      <c r="AJ9" t="s">
        <v>50</v>
      </c>
      <c r="AL9">
        <v>8.3800000000000008</v>
      </c>
      <c r="AM9">
        <v>2.1500000000000001E-5</v>
      </c>
      <c r="AN9">
        <v>3.7599999999999999E-5</v>
      </c>
      <c r="AQ9" t="s">
        <v>54</v>
      </c>
    </row>
    <row r="10" spans="1:43" x14ac:dyDescent="0.25">
      <c r="A10" t="s">
        <v>570</v>
      </c>
      <c r="B10" t="s">
        <v>96</v>
      </c>
      <c r="C10">
        <v>71.099999999999994</v>
      </c>
      <c r="D10">
        <v>358</v>
      </c>
      <c r="E10">
        <v>9.2099999999999999E-6</v>
      </c>
      <c r="F10">
        <v>640000</v>
      </c>
      <c r="G10">
        <v>1.02E-9</v>
      </c>
      <c r="H10">
        <v>0.111</v>
      </c>
      <c r="I10">
        <v>1.2799999999999999E-5</v>
      </c>
      <c r="J10">
        <v>0.214</v>
      </c>
      <c r="K10">
        <v>0.22</v>
      </c>
      <c r="L10">
        <v>2.2000000000000001E-3</v>
      </c>
      <c r="M10">
        <v>1.6500000000000001E-2</v>
      </c>
      <c r="N10">
        <v>8.7899999999999992E-3</v>
      </c>
      <c r="O10">
        <v>8.43</v>
      </c>
      <c r="P10">
        <v>1</v>
      </c>
      <c r="Q10">
        <v>6.39</v>
      </c>
      <c r="R10">
        <v>2910</v>
      </c>
      <c r="S10">
        <v>94.5</v>
      </c>
      <c r="T10">
        <v>94.5</v>
      </c>
      <c r="U10">
        <v>10.6</v>
      </c>
      <c r="V10">
        <v>10.6</v>
      </c>
      <c r="W10">
        <v>1.9099999999999999E-6</v>
      </c>
      <c r="X10">
        <v>9.0699999999999996E-6</v>
      </c>
      <c r="Y10">
        <v>1.1E-5</v>
      </c>
      <c r="AB10">
        <v>3.16</v>
      </c>
      <c r="AE10">
        <v>2E-3</v>
      </c>
      <c r="AF10">
        <v>0.5</v>
      </c>
      <c r="AG10">
        <v>6.0000000000000001E-3</v>
      </c>
      <c r="AH10">
        <v>1E-4</v>
      </c>
      <c r="AI10" t="s">
        <v>49</v>
      </c>
      <c r="AJ10" t="s">
        <v>50</v>
      </c>
      <c r="AL10">
        <v>94.5</v>
      </c>
      <c r="AM10">
        <v>3.8199999999999998E-6</v>
      </c>
      <c r="AN10">
        <v>6.6800000000000004E-6</v>
      </c>
      <c r="AQ10" t="s">
        <v>54</v>
      </c>
    </row>
    <row r="11" spans="1:43" x14ac:dyDescent="0.25">
      <c r="A11" t="s">
        <v>571</v>
      </c>
      <c r="B11" t="s">
        <v>97</v>
      </c>
      <c r="C11">
        <v>72.099999999999994</v>
      </c>
      <c r="D11">
        <v>287</v>
      </c>
      <c r="E11">
        <v>5.2300000000000003E-3</v>
      </c>
      <c r="F11">
        <v>1000000</v>
      </c>
      <c r="G11">
        <v>3.7599999999999998E-7</v>
      </c>
      <c r="H11">
        <v>0.11</v>
      </c>
      <c r="I11">
        <v>1.27E-5</v>
      </c>
      <c r="J11">
        <v>2.2400000000000002</v>
      </c>
      <c r="K11">
        <v>2.21</v>
      </c>
      <c r="L11">
        <v>2.2100000000000002E-2</v>
      </c>
      <c r="M11">
        <v>0.16600000000000001</v>
      </c>
      <c r="N11">
        <v>8.8400000000000006E-2</v>
      </c>
      <c r="O11">
        <v>14.9</v>
      </c>
      <c r="P11">
        <v>1</v>
      </c>
      <c r="Q11">
        <v>6.74</v>
      </c>
      <c r="R11">
        <v>305</v>
      </c>
      <c r="S11">
        <v>24.3</v>
      </c>
      <c r="T11">
        <v>24.3</v>
      </c>
      <c r="U11">
        <v>0.35</v>
      </c>
      <c r="V11">
        <v>0.35</v>
      </c>
      <c r="W11">
        <v>2.5400000000000001E-5</v>
      </c>
      <c r="X11">
        <v>1.21E-4</v>
      </c>
      <c r="Y11">
        <v>1.46E-4</v>
      </c>
      <c r="AB11">
        <v>3.16</v>
      </c>
      <c r="AE11">
        <v>0.5</v>
      </c>
      <c r="AG11">
        <v>1E-3</v>
      </c>
      <c r="AH11" t="s">
        <v>48</v>
      </c>
      <c r="AI11" t="s">
        <v>49</v>
      </c>
      <c r="AJ11" t="s">
        <v>50</v>
      </c>
      <c r="AL11">
        <v>24.3</v>
      </c>
      <c r="AM11">
        <v>5.0800000000000002E-5</v>
      </c>
      <c r="AN11">
        <v>8.8800000000000004E-5</v>
      </c>
      <c r="AQ11" t="s">
        <v>54</v>
      </c>
    </row>
    <row r="12" spans="1:43" x14ac:dyDescent="0.25">
      <c r="A12" t="s">
        <v>98</v>
      </c>
      <c r="B12" t="s">
        <v>99</v>
      </c>
      <c r="C12">
        <v>53.1</v>
      </c>
      <c r="D12">
        <v>190</v>
      </c>
      <c r="E12">
        <v>0.14299999999999999</v>
      </c>
      <c r="F12">
        <v>74000</v>
      </c>
      <c r="G12">
        <v>1.03E-4</v>
      </c>
      <c r="H12">
        <v>0.122</v>
      </c>
      <c r="I12">
        <v>1.34E-5</v>
      </c>
      <c r="J12">
        <v>1.78</v>
      </c>
      <c r="K12">
        <v>1.76</v>
      </c>
      <c r="L12">
        <v>0.02</v>
      </c>
      <c r="M12">
        <v>0.13</v>
      </c>
      <c r="N12">
        <v>7.0000000000000007E-2</v>
      </c>
      <c r="O12">
        <v>11</v>
      </c>
      <c r="P12">
        <v>1</v>
      </c>
      <c r="Q12">
        <v>6.67</v>
      </c>
      <c r="R12">
        <v>379</v>
      </c>
      <c r="S12">
        <v>8.3800000000000008</v>
      </c>
      <c r="T12">
        <v>8.3800000000000008</v>
      </c>
      <c r="U12">
        <v>1E-3</v>
      </c>
      <c r="V12">
        <v>1E-3</v>
      </c>
      <c r="W12">
        <v>2.0100000000000001E-5</v>
      </c>
      <c r="X12">
        <v>9.5500000000000004E-5</v>
      </c>
      <c r="Y12">
        <v>1.16E-4</v>
      </c>
      <c r="Z12">
        <v>1.4100000000000001E-5</v>
      </c>
      <c r="AB12">
        <v>3.16</v>
      </c>
      <c r="AE12">
        <v>0.04</v>
      </c>
      <c r="AF12">
        <v>0.54</v>
      </c>
      <c r="AG12">
        <v>2E-3</v>
      </c>
      <c r="AH12">
        <v>6.7999999999999999E-5</v>
      </c>
      <c r="AI12" t="s">
        <v>49</v>
      </c>
      <c r="AJ12" t="s">
        <v>50</v>
      </c>
      <c r="AL12">
        <v>8.3800000000000008</v>
      </c>
      <c r="AM12">
        <v>4.0200000000000001E-5</v>
      </c>
      <c r="AN12">
        <v>7.0400000000000004E-5</v>
      </c>
      <c r="AQ12" t="s">
        <v>54</v>
      </c>
    </row>
    <row r="13" spans="1:43" x14ac:dyDescent="0.25">
      <c r="A13" t="s">
        <v>687</v>
      </c>
      <c r="B13" t="s">
        <v>101</v>
      </c>
      <c r="C13">
        <v>30</v>
      </c>
      <c r="D13">
        <v>181</v>
      </c>
      <c r="E13">
        <v>6.89</v>
      </c>
      <c r="F13">
        <v>550000</v>
      </c>
      <c r="G13">
        <v>3.3599999999999999E-7</v>
      </c>
      <c r="H13">
        <v>0.17799999999999999</v>
      </c>
      <c r="I13">
        <v>1.98E-5</v>
      </c>
      <c r="J13">
        <v>2.2400000000000002</v>
      </c>
      <c r="K13">
        <v>2.21</v>
      </c>
      <c r="L13">
        <v>0.02</v>
      </c>
      <c r="M13">
        <v>0.17</v>
      </c>
      <c r="N13">
        <v>0.09</v>
      </c>
      <c r="O13">
        <v>36.1</v>
      </c>
      <c r="P13">
        <v>1</v>
      </c>
      <c r="Q13">
        <v>6.74</v>
      </c>
      <c r="R13">
        <v>305</v>
      </c>
      <c r="S13">
        <v>8.3800000000000008</v>
      </c>
      <c r="T13">
        <v>8.3800000000000008</v>
      </c>
      <c r="U13">
        <v>0.39200000000000002</v>
      </c>
      <c r="V13">
        <v>0.39200000000000002</v>
      </c>
      <c r="W13">
        <v>2.5400000000000001E-5</v>
      </c>
      <c r="X13">
        <v>1.21E-4</v>
      </c>
      <c r="Y13">
        <v>1.46E-4</v>
      </c>
      <c r="Z13">
        <v>1.7499999999999998E-5</v>
      </c>
      <c r="AB13">
        <v>3.16</v>
      </c>
      <c r="AE13">
        <v>0.2</v>
      </c>
      <c r="AG13">
        <v>8.9999999999999993E-3</v>
      </c>
      <c r="AH13">
        <v>5.0000000000000004E-6</v>
      </c>
      <c r="AI13" t="s">
        <v>49</v>
      </c>
      <c r="AJ13" t="s">
        <v>50</v>
      </c>
      <c r="AL13">
        <v>8.3800000000000008</v>
      </c>
      <c r="AM13">
        <v>5.0800000000000002E-5</v>
      </c>
      <c r="AN13">
        <v>8.8800000000000004E-5</v>
      </c>
      <c r="AQ13" t="s">
        <v>54</v>
      </c>
    </row>
    <row r="14" spans="1:43" x14ac:dyDescent="0.25">
      <c r="A14" t="s">
        <v>568</v>
      </c>
      <c r="B14" t="s">
        <v>102</v>
      </c>
      <c r="C14">
        <v>76.53</v>
      </c>
      <c r="D14">
        <v>139</v>
      </c>
      <c r="E14">
        <v>0.48199999999999998</v>
      </c>
      <c r="F14">
        <v>2968</v>
      </c>
      <c r="G14">
        <v>1.0999999999999999E-2</v>
      </c>
      <c r="H14">
        <v>9.3600000000000003E-2</v>
      </c>
      <c r="I14">
        <v>1.08E-5</v>
      </c>
      <c r="J14">
        <v>85.11</v>
      </c>
      <c r="K14">
        <v>39.6</v>
      </c>
      <c r="M14">
        <v>2.97</v>
      </c>
      <c r="N14">
        <v>1.5840000000000001</v>
      </c>
      <c r="O14">
        <v>18</v>
      </c>
      <c r="P14">
        <v>1</v>
      </c>
      <c r="Q14">
        <v>1.2</v>
      </c>
      <c r="R14">
        <v>5.6</v>
      </c>
      <c r="S14">
        <v>5.6</v>
      </c>
      <c r="T14">
        <v>5.6</v>
      </c>
      <c r="U14">
        <v>1.7999999999999999E-2</v>
      </c>
      <c r="V14">
        <v>1.7999999999999999E-2</v>
      </c>
      <c r="W14">
        <v>6.7199999999999998E-7</v>
      </c>
      <c r="X14">
        <v>2.1299999999999999E-6</v>
      </c>
      <c r="AB14">
        <v>3.66</v>
      </c>
      <c r="AF14">
        <v>2.1000000000000001E-2</v>
      </c>
      <c r="AG14">
        <v>1E-3</v>
      </c>
      <c r="AH14">
        <v>6.0000000000000002E-6</v>
      </c>
      <c r="AI14" t="s">
        <v>49</v>
      </c>
      <c r="AJ14" t="s">
        <v>50</v>
      </c>
      <c r="AQ14" t="s">
        <v>54</v>
      </c>
    </row>
    <row r="15" spans="1:43" x14ac:dyDescent="0.25">
      <c r="A15" t="s">
        <v>561</v>
      </c>
      <c r="B15" t="s">
        <v>482</v>
      </c>
      <c r="C15">
        <v>169.23</v>
      </c>
      <c r="D15">
        <v>327</v>
      </c>
      <c r="E15">
        <v>1.24E-6</v>
      </c>
      <c r="F15">
        <v>223.9</v>
      </c>
      <c r="G15">
        <v>1.4600000000000001E-7</v>
      </c>
      <c r="H15">
        <v>6.2100000000000002E-2</v>
      </c>
      <c r="I15">
        <v>7.2599999999999999E-6</v>
      </c>
      <c r="J15">
        <v>724</v>
      </c>
      <c r="K15">
        <v>305.8</v>
      </c>
      <c r="M15">
        <v>22.934999999999999</v>
      </c>
      <c r="N15">
        <v>12.232000000000001</v>
      </c>
      <c r="P15">
        <v>1</v>
      </c>
      <c r="U15">
        <v>0.84499999999999997</v>
      </c>
      <c r="V15">
        <v>0.84499999999999997</v>
      </c>
      <c r="W15">
        <v>5.7200000000000003E-6</v>
      </c>
      <c r="X15">
        <v>1.8099999999999999E-5</v>
      </c>
      <c r="AB15">
        <v>35.799999999999997</v>
      </c>
      <c r="AF15">
        <v>21</v>
      </c>
      <c r="AH15">
        <v>6.0000000000000001E-3</v>
      </c>
      <c r="AJ15" t="s">
        <v>50</v>
      </c>
    </row>
    <row r="16" spans="1:43" x14ac:dyDescent="0.25">
      <c r="A16" t="s">
        <v>569</v>
      </c>
      <c r="B16" t="s">
        <v>103</v>
      </c>
      <c r="C16">
        <v>17</v>
      </c>
      <c r="D16">
        <v>196</v>
      </c>
      <c r="E16">
        <v>8.5</v>
      </c>
      <c r="F16">
        <v>480000</v>
      </c>
      <c r="G16">
        <v>3.01E-4</v>
      </c>
      <c r="H16">
        <v>0.28699999999999998</v>
      </c>
      <c r="I16">
        <v>3.3300000000000003E-5</v>
      </c>
      <c r="J16">
        <v>1.7</v>
      </c>
      <c r="K16">
        <v>1.69</v>
      </c>
      <c r="L16">
        <v>1.6899999999999998E-2</v>
      </c>
      <c r="M16">
        <v>0.126</v>
      </c>
      <c r="N16">
        <v>6.7400000000000002E-2</v>
      </c>
      <c r="O16">
        <v>253</v>
      </c>
      <c r="P16">
        <v>1</v>
      </c>
      <c r="Q16">
        <v>0.35</v>
      </c>
      <c r="R16">
        <v>20.7</v>
      </c>
      <c r="S16">
        <v>28.5</v>
      </c>
      <c r="T16">
        <v>28.5</v>
      </c>
      <c r="U16">
        <v>3.2699999999999998E-4</v>
      </c>
      <c r="V16">
        <v>3.2699999999999998E-4</v>
      </c>
      <c r="W16">
        <v>1.9199999999999999E-5</v>
      </c>
      <c r="X16">
        <v>9.1199999999999994E-5</v>
      </c>
      <c r="Y16">
        <v>1.1E-4</v>
      </c>
      <c r="AB16">
        <v>0.3</v>
      </c>
      <c r="AG16">
        <v>0.08</v>
      </c>
      <c r="AH16" t="s">
        <v>48</v>
      </c>
      <c r="AI16" t="s">
        <v>49</v>
      </c>
      <c r="AJ16" t="s">
        <v>50</v>
      </c>
      <c r="AL16">
        <v>28.5</v>
      </c>
      <c r="AM16">
        <v>3.8399999999999998E-5</v>
      </c>
      <c r="AN16">
        <v>6.7199999999999994E-5</v>
      </c>
      <c r="AQ16" t="s">
        <v>54</v>
      </c>
    </row>
    <row r="17" spans="1:43" x14ac:dyDescent="0.25">
      <c r="A17" t="s">
        <v>104</v>
      </c>
      <c r="B17" t="s">
        <v>105</v>
      </c>
      <c r="C17">
        <v>93.6</v>
      </c>
      <c r="D17">
        <v>267</v>
      </c>
      <c r="E17">
        <v>6.4499999999999996E-4</v>
      </c>
      <c r="F17">
        <v>36000</v>
      </c>
      <c r="G17">
        <v>1.9E-6</v>
      </c>
      <c r="H17">
        <v>7.0000000000000007E-2</v>
      </c>
      <c r="I17">
        <v>8.3000000000000002E-6</v>
      </c>
      <c r="J17">
        <v>7.94</v>
      </c>
      <c r="K17">
        <v>7.67</v>
      </c>
      <c r="L17">
        <v>1.2</v>
      </c>
      <c r="M17">
        <v>0.57999999999999996</v>
      </c>
      <c r="N17">
        <v>0.31</v>
      </c>
      <c r="P17">
        <v>1</v>
      </c>
      <c r="Q17">
        <v>7.45</v>
      </c>
      <c r="R17">
        <v>6.21</v>
      </c>
      <c r="S17">
        <v>8.3800000000000008</v>
      </c>
      <c r="T17">
        <v>8.3800000000000008</v>
      </c>
      <c r="U17">
        <v>0.26700000000000002</v>
      </c>
      <c r="V17">
        <v>0.26700000000000002</v>
      </c>
      <c r="W17">
        <v>8.4099999999999998E-5</v>
      </c>
      <c r="X17">
        <v>4.0000000000000002E-4</v>
      </c>
      <c r="Y17">
        <v>4.84E-4</v>
      </c>
      <c r="Z17">
        <v>7.5900000000000002E-5</v>
      </c>
      <c r="AB17">
        <v>3.16</v>
      </c>
      <c r="AE17">
        <v>7.0000000000000001E-3</v>
      </c>
      <c r="AF17">
        <v>5.7000000000000002E-3</v>
      </c>
      <c r="AG17">
        <v>1E-3</v>
      </c>
      <c r="AH17">
        <v>1.5999999999999999E-6</v>
      </c>
      <c r="AI17" t="s">
        <v>49</v>
      </c>
      <c r="AJ17" t="s">
        <v>50</v>
      </c>
      <c r="AL17">
        <v>8.3800000000000008</v>
      </c>
      <c r="AM17">
        <v>1.6799999999999999E-4</v>
      </c>
      <c r="AN17">
        <v>2.9399999999999999E-4</v>
      </c>
      <c r="AQ17" t="s">
        <v>54</v>
      </c>
    </row>
    <row r="18" spans="1:43" x14ac:dyDescent="0.25">
      <c r="A18" t="s">
        <v>483</v>
      </c>
      <c r="B18" t="s">
        <v>486</v>
      </c>
      <c r="C18">
        <v>123.16</v>
      </c>
      <c r="D18">
        <v>280</v>
      </c>
      <c r="E18">
        <v>2.2000000000000001E-4</v>
      </c>
      <c r="F18">
        <v>9598</v>
      </c>
      <c r="G18">
        <v>9.2600000000000001E-7</v>
      </c>
      <c r="H18">
        <v>6.5199999999999994E-2</v>
      </c>
      <c r="I18">
        <v>8.9099999999999994E-6</v>
      </c>
      <c r="J18">
        <v>14</v>
      </c>
      <c r="K18">
        <v>45.92</v>
      </c>
      <c r="M18">
        <v>3.444</v>
      </c>
      <c r="N18">
        <v>1.8368000000000002</v>
      </c>
      <c r="P18">
        <v>1</v>
      </c>
      <c r="U18">
        <v>7.96</v>
      </c>
      <c r="V18">
        <v>7.96</v>
      </c>
      <c r="W18">
        <v>1.2700000000000001E-7</v>
      </c>
      <c r="X18">
        <v>3.7800000000000002E-7</v>
      </c>
      <c r="AB18">
        <v>2.79</v>
      </c>
      <c r="AF18">
        <v>0.14000000000000001</v>
      </c>
    </row>
    <row r="19" spans="1:43" x14ac:dyDescent="0.25">
      <c r="A19" t="s">
        <v>106</v>
      </c>
      <c r="B19" t="s">
        <v>107</v>
      </c>
      <c r="C19">
        <v>178</v>
      </c>
      <c r="D19">
        <v>493</v>
      </c>
      <c r="E19">
        <v>3.5499999999999999E-9</v>
      </c>
      <c r="F19">
        <v>4.2999999999999997E-2</v>
      </c>
      <c r="G19">
        <v>6.4999999999999994E-5</v>
      </c>
      <c r="H19">
        <v>1E-3</v>
      </c>
      <c r="I19">
        <v>1.0000000000000001E-5</v>
      </c>
      <c r="J19">
        <v>31600</v>
      </c>
      <c r="K19">
        <v>23500</v>
      </c>
      <c r="L19">
        <v>4500</v>
      </c>
      <c r="M19">
        <v>1760</v>
      </c>
      <c r="N19">
        <v>940</v>
      </c>
      <c r="O19">
        <v>0.55000000000000004</v>
      </c>
      <c r="P19">
        <v>0.998</v>
      </c>
      <c r="Q19">
        <v>678</v>
      </c>
      <c r="R19">
        <v>0.151</v>
      </c>
      <c r="S19">
        <v>9.7100000000000006E-2</v>
      </c>
      <c r="T19">
        <v>9.7100000000000006E-2</v>
      </c>
      <c r="U19">
        <v>53.3</v>
      </c>
      <c r="V19">
        <v>53.3</v>
      </c>
      <c r="W19">
        <v>7.1199999999999996E-3</v>
      </c>
      <c r="X19">
        <v>3.3799999999999997E-2</v>
      </c>
      <c r="Y19">
        <v>4.0899999999999999E-2</v>
      </c>
      <c r="Z19">
        <v>0.23499999999999999</v>
      </c>
      <c r="AB19">
        <v>582</v>
      </c>
      <c r="AC19">
        <v>1030</v>
      </c>
      <c r="AE19">
        <v>0.3</v>
      </c>
      <c r="AH19">
        <v>7.2000000000000005E-4</v>
      </c>
      <c r="AI19" t="s">
        <v>49</v>
      </c>
      <c r="AJ19" t="s">
        <v>50</v>
      </c>
      <c r="AK19" t="s">
        <v>72</v>
      </c>
      <c r="AL19">
        <v>9.7100000000000006E-2</v>
      </c>
      <c r="AM19">
        <v>1.4200000000000001E-2</v>
      </c>
      <c r="AN19">
        <v>2.4899999999999999E-2</v>
      </c>
      <c r="AQ19" t="s">
        <v>54</v>
      </c>
    </row>
    <row r="20" spans="1:43" x14ac:dyDescent="0.25">
      <c r="A20" t="s">
        <v>108</v>
      </c>
      <c r="B20" t="s">
        <v>109</v>
      </c>
      <c r="C20">
        <v>125</v>
      </c>
      <c r="D20">
        <v>903</v>
      </c>
      <c r="E20">
        <v>0</v>
      </c>
      <c r="F20">
        <v>23000</v>
      </c>
      <c r="G20">
        <v>2.5000000000000001E-2</v>
      </c>
      <c r="H20">
        <v>7.7200000000000005E-2</v>
      </c>
      <c r="I20">
        <v>9.5699999999999999E-6</v>
      </c>
      <c r="J20">
        <v>5.37</v>
      </c>
      <c r="L20">
        <v>45</v>
      </c>
      <c r="M20">
        <v>45</v>
      </c>
      <c r="N20">
        <v>45</v>
      </c>
      <c r="P20">
        <v>0</v>
      </c>
      <c r="R20">
        <v>0.03</v>
      </c>
      <c r="S20">
        <v>3.1899999999999998E-2</v>
      </c>
      <c r="T20">
        <v>0.2</v>
      </c>
      <c r="W20">
        <v>1E-4</v>
      </c>
      <c r="X20">
        <v>1E-3</v>
      </c>
      <c r="AB20">
        <v>40</v>
      </c>
      <c r="AE20">
        <v>4.0000000000000002E-4</v>
      </c>
      <c r="AG20">
        <v>2.0000000000000001E-4</v>
      </c>
      <c r="AH20" t="s">
        <v>48</v>
      </c>
      <c r="AI20" t="s">
        <v>49</v>
      </c>
      <c r="AJ20" t="s">
        <v>110</v>
      </c>
      <c r="AK20" t="s">
        <v>111</v>
      </c>
      <c r="AL20">
        <v>0.03</v>
      </c>
      <c r="AQ20" t="s">
        <v>54</v>
      </c>
    </row>
    <row r="21" spans="1:43" x14ac:dyDescent="0.25">
      <c r="A21" t="s">
        <v>112</v>
      </c>
      <c r="B21" t="s">
        <v>113</v>
      </c>
      <c r="C21">
        <v>78</v>
      </c>
      <c r="D21">
        <v>1090</v>
      </c>
      <c r="E21">
        <v>0</v>
      </c>
      <c r="F21">
        <v>34700</v>
      </c>
      <c r="G21">
        <v>0.77</v>
      </c>
      <c r="H21">
        <v>7.7200000000000005E-2</v>
      </c>
      <c r="I21">
        <v>9.5699999999999999E-6</v>
      </c>
      <c r="J21">
        <v>4.79</v>
      </c>
      <c r="L21">
        <v>29</v>
      </c>
      <c r="M21">
        <v>29</v>
      </c>
      <c r="N21">
        <v>29</v>
      </c>
      <c r="P21">
        <v>0</v>
      </c>
      <c r="R21">
        <v>8.0000000000000002E-3</v>
      </c>
      <c r="S21">
        <v>6.3299999999999997E-3</v>
      </c>
      <c r="T21">
        <v>3.5999999999999997E-2</v>
      </c>
      <c r="W21">
        <v>6.0000000000000002E-5</v>
      </c>
      <c r="X21">
        <v>2E-3</v>
      </c>
      <c r="AB21">
        <v>114</v>
      </c>
      <c r="AE21">
        <v>2.9999999999999997E-4</v>
      </c>
      <c r="AF21">
        <v>1.5</v>
      </c>
      <c r="AG21">
        <v>1.5E-5</v>
      </c>
      <c r="AH21">
        <v>4.3E-3</v>
      </c>
      <c r="AI21" t="s">
        <v>49</v>
      </c>
      <c r="AJ21" t="s">
        <v>110</v>
      </c>
      <c r="AK21" t="s">
        <v>111</v>
      </c>
      <c r="AL21">
        <v>4.0000000000000001E-3</v>
      </c>
      <c r="AQ21" t="s">
        <v>54</v>
      </c>
    </row>
    <row r="22" spans="1:43" x14ac:dyDescent="0.25">
      <c r="A22" t="s">
        <v>723</v>
      </c>
      <c r="B22" t="s">
        <v>724</v>
      </c>
      <c r="C22">
        <v>137.33000000000001</v>
      </c>
      <c r="D22">
        <v>984</v>
      </c>
      <c r="E22">
        <v>2.4999999999999998E-40</v>
      </c>
      <c r="F22">
        <v>54700</v>
      </c>
      <c r="G22">
        <v>2.4500000000000001E-2</v>
      </c>
      <c r="J22">
        <v>1.7</v>
      </c>
      <c r="K22">
        <v>13.2</v>
      </c>
      <c r="L22">
        <v>41</v>
      </c>
      <c r="P22">
        <v>1</v>
      </c>
      <c r="U22">
        <v>0.15</v>
      </c>
      <c r="V22">
        <v>0.15</v>
      </c>
      <c r="W22">
        <v>3.5E-4</v>
      </c>
      <c r="X22">
        <v>1.4999999999999999E-4</v>
      </c>
      <c r="AB22">
        <v>0.96079999999999999</v>
      </c>
      <c r="AC22">
        <v>0.96079999999999999</v>
      </c>
      <c r="AE22">
        <v>0.2</v>
      </c>
      <c r="AJ22" t="s">
        <v>110</v>
      </c>
      <c r="AK22" t="s">
        <v>111</v>
      </c>
    </row>
    <row r="23" spans="1:43" x14ac:dyDescent="0.25">
      <c r="A23" t="s">
        <v>120</v>
      </c>
      <c r="B23" t="s">
        <v>121</v>
      </c>
      <c r="C23">
        <v>78.099999999999994</v>
      </c>
      <c r="D23">
        <v>279</v>
      </c>
      <c r="E23">
        <v>0.125</v>
      </c>
      <c r="F23">
        <v>1800</v>
      </c>
      <c r="G23">
        <v>5.5999999999999999E-3</v>
      </c>
      <c r="H23">
        <v>8.7999999999999995E-2</v>
      </c>
      <c r="I23">
        <v>1.0200000000000001E-5</v>
      </c>
      <c r="J23">
        <v>126</v>
      </c>
      <c r="K23">
        <v>61.7</v>
      </c>
      <c r="L23">
        <v>0.12</v>
      </c>
      <c r="M23">
        <v>4.63</v>
      </c>
      <c r="N23">
        <v>2.4700000000000002</v>
      </c>
      <c r="O23">
        <v>15.8</v>
      </c>
      <c r="P23">
        <v>1</v>
      </c>
      <c r="Q23">
        <v>9.6199999999999992</v>
      </c>
      <c r="R23">
        <v>80.099999999999994</v>
      </c>
      <c r="S23">
        <v>2.37</v>
      </c>
      <c r="T23">
        <v>2.37</v>
      </c>
      <c r="U23">
        <v>1.72E-3</v>
      </c>
      <c r="V23">
        <v>1.72E-3</v>
      </c>
      <c r="W23">
        <v>7.1199999999999996E-4</v>
      </c>
      <c r="X23">
        <v>3.3800000000000002E-3</v>
      </c>
      <c r="Y23">
        <v>4.0899999999999999E-3</v>
      </c>
      <c r="Z23">
        <v>1.09E-3</v>
      </c>
      <c r="AB23">
        <v>8.26</v>
      </c>
      <c r="AE23">
        <v>4.0000000000000001E-3</v>
      </c>
      <c r="AF23">
        <v>5.5E-2</v>
      </c>
      <c r="AG23">
        <v>0.03</v>
      </c>
      <c r="AH23">
        <v>7.7999999999999999E-6</v>
      </c>
      <c r="AI23" t="s">
        <v>49</v>
      </c>
      <c r="AJ23" t="s">
        <v>50</v>
      </c>
      <c r="AL23">
        <v>2.37</v>
      </c>
      <c r="AM23">
        <v>1.42E-3</v>
      </c>
      <c r="AN23">
        <v>2.49E-3</v>
      </c>
      <c r="AQ23" t="s">
        <v>54</v>
      </c>
    </row>
    <row r="24" spans="1:43" x14ac:dyDescent="0.25">
      <c r="A24" t="s">
        <v>484</v>
      </c>
      <c r="B24" t="s">
        <v>485</v>
      </c>
      <c r="C24">
        <v>184.24</v>
      </c>
      <c r="D24">
        <v>394</v>
      </c>
      <c r="E24">
        <v>7.8599999999999993E-6</v>
      </c>
      <c r="F24">
        <v>3765</v>
      </c>
      <c r="G24">
        <v>5.7799999999999997E-11</v>
      </c>
      <c r="H24">
        <v>3.5099999999999999E-2</v>
      </c>
      <c r="I24">
        <v>7.4800000000000004E-6</v>
      </c>
      <c r="J24">
        <v>22</v>
      </c>
      <c r="K24">
        <v>1190</v>
      </c>
      <c r="M24">
        <v>89.25</v>
      </c>
      <c r="N24">
        <v>47.6</v>
      </c>
      <c r="P24">
        <v>1</v>
      </c>
      <c r="U24">
        <v>6.43</v>
      </c>
      <c r="V24">
        <v>6.43</v>
      </c>
      <c r="W24">
        <v>1.73E-7</v>
      </c>
      <c r="X24">
        <v>5.4700000000000001E-7</v>
      </c>
      <c r="AB24">
        <v>3.56</v>
      </c>
      <c r="AE24">
        <v>3.0000000000000001E-3</v>
      </c>
      <c r="AF24">
        <v>230</v>
      </c>
    </row>
    <row r="25" spans="1:43" x14ac:dyDescent="0.25">
      <c r="A25" t="s">
        <v>716</v>
      </c>
      <c r="B25" t="s">
        <v>123</v>
      </c>
      <c r="C25">
        <v>228</v>
      </c>
      <c r="D25">
        <v>357</v>
      </c>
      <c r="E25">
        <v>1.4499999999999999E-10</v>
      </c>
      <c r="F25">
        <v>9.4000000000000004E-3</v>
      </c>
      <c r="G25">
        <v>3.4000000000000001E-6</v>
      </c>
      <c r="H25">
        <v>5.0999999999999997E-2</v>
      </c>
      <c r="I25">
        <v>9.0000000000000002E-6</v>
      </c>
      <c r="J25">
        <v>501000</v>
      </c>
      <c r="K25">
        <v>358000</v>
      </c>
      <c r="L25">
        <v>60000</v>
      </c>
      <c r="M25">
        <v>26900</v>
      </c>
      <c r="N25">
        <v>14300</v>
      </c>
      <c r="O25">
        <v>0.37</v>
      </c>
      <c r="P25">
        <v>0.48299999999999998</v>
      </c>
      <c r="Q25">
        <v>5690</v>
      </c>
      <c r="R25">
        <v>9.4799999999999995E-2</v>
      </c>
      <c r="S25">
        <v>1.9699999999999999E-2</v>
      </c>
      <c r="T25">
        <v>1.9699999999999999E-2</v>
      </c>
      <c r="U25">
        <v>19300</v>
      </c>
      <c r="V25">
        <v>19300</v>
      </c>
      <c r="W25">
        <v>8.4100000000000008E-3</v>
      </c>
      <c r="X25">
        <v>3.9899999999999998E-2</v>
      </c>
      <c r="Y25">
        <v>4.8300000000000003E-2</v>
      </c>
      <c r="Z25">
        <v>3.79</v>
      </c>
      <c r="AB25">
        <v>4890</v>
      </c>
      <c r="AC25">
        <v>49900</v>
      </c>
      <c r="AF25">
        <v>0.34</v>
      </c>
      <c r="AH25">
        <v>3.6000000000000002E-4</v>
      </c>
      <c r="AI25" t="s">
        <v>49</v>
      </c>
      <c r="AJ25" t="s">
        <v>50</v>
      </c>
      <c r="AK25" t="s">
        <v>72</v>
      </c>
      <c r="AL25">
        <v>1.9699999999999999E-2</v>
      </c>
      <c r="AM25">
        <v>1.6799999999999999E-2</v>
      </c>
      <c r="AN25">
        <v>2.9399999999999999E-2</v>
      </c>
      <c r="AQ25" t="s">
        <v>54</v>
      </c>
    </row>
    <row r="26" spans="1:43" x14ac:dyDescent="0.25">
      <c r="A26" t="s">
        <v>727</v>
      </c>
      <c r="B26" t="s">
        <v>728</v>
      </c>
      <c r="C26">
        <v>252</v>
      </c>
      <c r="D26">
        <v>441</v>
      </c>
      <c r="E26">
        <v>1.06E-10</v>
      </c>
      <c r="F26">
        <v>2E-3</v>
      </c>
      <c r="G26">
        <v>8.0999999999999997E-7</v>
      </c>
      <c r="H26">
        <v>2.2800000000000001E-2</v>
      </c>
      <c r="I26">
        <v>5.49E-6</v>
      </c>
      <c r="J26">
        <v>1290000</v>
      </c>
      <c r="K26">
        <v>600000</v>
      </c>
      <c r="L26">
        <v>8360</v>
      </c>
      <c r="M26">
        <v>62700</v>
      </c>
      <c r="N26">
        <v>33400</v>
      </c>
      <c r="O26">
        <v>0.41499999999999998</v>
      </c>
      <c r="P26">
        <v>0.94120000000000004</v>
      </c>
      <c r="Q26">
        <v>13900</v>
      </c>
      <c r="R26">
        <v>1.66</v>
      </c>
      <c r="S26">
        <v>1.01E-2</v>
      </c>
      <c r="T26">
        <v>1.01E-2</v>
      </c>
      <c r="U26">
        <v>36500</v>
      </c>
      <c r="V26">
        <v>36500</v>
      </c>
      <c r="W26">
        <v>1.2699999999999999E-2</v>
      </c>
      <c r="X26">
        <v>0.04</v>
      </c>
      <c r="Y26">
        <v>4.8399999999999999E-2</v>
      </c>
      <c r="Z26">
        <v>12.7</v>
      </c>
      <c r="AB26">
        <v>9930</v>
      </c>
      <c r="AC26">
        <v>9950</v>
      </c>
      <c r="AF26">
        <v>0.28000000000000003</v>
      </c>
      <c r="AH26">
        <v>5.4000000000000001E-4</v>
      </c>
      <c r="AI26" t="s">
        <v>49</v>
      </c>
      <c r="AJ26" t="s">
        <v>50</v>
      </c>
      <c r="AK26" t="s">
        <v>72</v>
      </c>
      <c r="AL26">
        <v>1.15E-2</v>
      </c>
      <c r="AM26">
        <v>1.54E-2</v>
      </c>
      <c r="AN26">
        <v>2.69E-2</v>
      </c>
      <c r="AQ26" t="s">
        <v>54</v>
      </c>
    </row>
    <row r="27" spans="1:43" x14ac:dyDescent="0.25">
      <c r="A27" t="s">
        <v>717</v>
      </c>
      <c r="B27" t="s">
        <v>125</v>
      </c>
      <c r="C27">
        <v>252</v>
      </c>
      <c r="D27">
        <v>453</v>
      </c>
      <c r="E27">
        <v>7.2399999999999998E-12</v>
      </c>
      <c r="F27">
        <v>1.6000000000000001E-3</v>
      </c>
      <c r="G27">
        <v>1.1000000000000001E-6</v>
      </c>
      <c r="H27">
        <v>4.2999999999999997E-2</v>
      </c>
      <c r="I27">
        <v>9.0000000000000002E-6</v>
      </c>
      <c r="J27">
        <v>1000000</v>
      </c>
      <c r="K27">
        <v>969000</v>
      </c>
      <c r="L27">
        <v>160000</v>
      </c>
      <c r="M27">
        <v>72700</v>
      </c>
      <c r="N27">
        <v>38800</v>
      </c>
      <c r="O27">
        <v>0.48</v>
      </c>
      <c r="P27">
        <v>0.29399999999999998</v>
      </c>
      <c r="Q27">
        <v>9680</v>
      </c>
      <c r="R27">
        <v>6.0499999999999998E-2</v>
      </c>
      <c r="S27">
        <v>1.32E-2</v>
      </c>
      <c r="T27">
        <v>1.32E-2</v>
      </c>
      <c r="U27">
        <v>125000</v>
      </c>
      <c r="V27">
        <v>125000</v>
      </c>
      <c r="W27">
        <v>7.9100000000000004E-3</v>
      </c>
      <c r="X27">
        <v>3.7600000000000001E-2</v>
      </c>
      <c r="Y27">
        <v>4.5499999999999999E-2</v>
      </c>
      <c r="Z27">
        <v>10.7</v>
      </c>
      <c r="AB27">
        <v>961.6</v>
      </c>
      <c r="AC27">
        <v>1165</v>
      </c>
      <c r="AF27">
        <v>1.7</v>
      </c>
      <c r="AH27">
        <v>1.8E-3</v>
      </c>
      <c r="AI27" t="s">
        <v>49</v>
      </c>
      <c r="AJ27" t="s">
        <v>50</v>
      </c>
      <c r="AK27" t="s">
        <v>72</v>
      </c>
      <c r="AL27">
        <v>1.32E-2</v>
      </c>
      <c r="AM27">
        <v>1.5800000000000002E-2</v>
      </c>
      <c r="AN27">
        <v>2.7699999999999999E-2</v>
      </c>
      <c r="AQ27" t="s">
        <v>54</v>
      </c>
    </row>
    <row r="28" spans="1:43" x14ac:dyDescent="0.25">
      <c r="A28" t="s">
        <v>729</v>
      </c>
      <c r="B28" t="s">
        <v>730</v>
      </c>
      <c r="C28">
        <v>228</v>
      </c>
      <c r="D28">
        <v>409</v>
      </c>
      <c r="E28">
        <v>2E-12</v>
      </c>
      <c r="F28">
        <v>2.6349999999999998E-2</v>
      </c>
      <c r="G28">
        <v>5.0000000000000004E-6</v>
      </c>
      <c r="J28">
        <v>330000</v>
      </c>
      <c r="K28">
        <v>180000</v>
      </c>
      <c r="L28">
        <v>8360</v>
      </c>
      <c r="M28">
        <v>62700</v>
      </c>
      <c r="N28">
        <v>33400</v>
      </c>
      <c r="O28">
        <v>0.41499999999999998</v>
      </c>
      <c r="P28">
        <v>0.60799999999999998</v>
      </c>
      <c r="Q28">
        <v>13900</v>
      </c>
      <c r="R28">
        <v>1.66</v>
      </c>
      <c r="S28">
        <v>1.01E-2</v>
      </c>
      <c r="T28">
        <v>1.01E-2</v>
      </c>
      <c r="U28">
        <v>36500</v>
      </c>
      <c r="V28">
        <v>36500</v>
      </c>
      <c r="W28">
        <v>1.2699999999999999E-2</v>
      </c>
      <c r="X28">
        <v>0.04</v>
      </c>
      <c r="Y28">
        <v>4.8399999999999999E-2</v>
      </c>
      <c r="Z28">
        <v>12.7</v>
      </c>
      <c r="AB28">
        <v>1364</v>
      </c>
      <c r="AC28">
        <v>1993</v>
      </c>
    </row>
    <row r="29" spans="1:43" x14ac:dyDescent="0.25">
      <c r="A29" t="s">
        <v>718</v>
      </c>
      <c r="B29" t="s">
        <v>127</v>
      </c>
      <c r="C29">
        <v>252</v>
      </c>
      <c r="D29">
        <v>441</v>
      </c>
      <c r="E29">
        <v>6.58E-10</v>
      </c>
      <c r="F29">
        <v>1.5E-3</v>
      </c>
      <c r="G29">
        <v>1.11E-4</v>
      </c>
      <c r="H29">
        <v>1E-3</v>
      </c>
      <c r="I29">
        <v>1.0000000000000001E-5</v>
      </c>
      <c r="J29">
        <v>1330000</v>
      </c>
      <c r="K29">
        <v>1050000</v>
      </c>
      <c r="L29">
        <v>10500</v>
      </c>
      <c r="M29">
        <v>78600</v>
      </c>
      <c r="N29">
        <v>41900</v>
      </c>
      <c r="O29">
        <v>0.41</v>
      </c>
      <c r="P29">
        <v>0.96599999999999997</v>
      </c>
      <c r="Q29">
        <v>12100</v>
      </c>
      <c r="R29">
        <v>1.1499999999999999</v>
      </c>
      <c r="S29">
        <v>1.12E-2</v>
      </c>
      <c r="T29">
        <v>1.12E-2</v>
      </c>
      <c r="U29">
        <v>1680</v>
      </c>
      <c r="V29">
        <v>1680</v>
      </c>
      <c r="W29">
        <v>7.62E-3</v>
      </c>
      <c r="X29">
        <v>3.6200000000000003E-2</v>
      </c>
      <c r="Y29">
        <v>4.3799999999999999E-2</v>
      </c>
      <c r="Z29">
        <v>12.7</v>
      </c>
      <c r="AB29">
        <v>10400</v>
      </c>
      <c r="AC29">
        <v>206000</v>
      </c>
      <c r="AF29">
        <v>1.4</v>
      </c>
      <c r="AH29">
        <v>1.4E-3</v>
      </c>
      <c r="AI29" t="s">
        <v>49</v>
      </c>
      <c r="AJ29" t="s">
        <v>50</v>
      </c>
      <c r="AK29" t="s">
        <v>72</v>
      </c>
      <c r="AL29">
        <v>1.12E-2</v>
      </c>
      <c r="AM29">
        <v>1.52E-2</v>
      </c>
      <c r="AN29">
        <v>2.6700000000000002E-2</v>
      </c>
      <c r="AQ29" t="s">
        <v>54</v>
      </c>
    </row>
    <row r="30" spans="1:43" x14ac:dyDescent="0.25">
      <c r="A30" t="s">
        <v>586</v>
      </c>
      <c r="B30" t="s">
        <v>129</v>
      </c>
      <c r="C30">
        <v>252</v>
      </c>
      <c r="D30">
        <v>451</v>
      </c>
      <c r="E30">
        <v>2.5400000000000001E-11</v>
      </c>
      <c r="F30">
        <v>5.64E-3</v>
      </c>
      <c r="G30">
        <v>8.0999999999999997E-7</v>
      </c>
      <c r="H30">
        <v>4.2999999999999997E-2</v>
      </c>
      <c r="I30">
        <v>9.0000000000000002E-6</v>
      </c>
      <c r="J30">
        <v>2800000</v>
      </c>
      <c r="K30">
        <v>599000</v>
      </c>
      <c r="L30">
        <v>160000</v>
      </c>
      <c r="M30">
        <v>44925</v>
      </c>
      <c r="N30">
        <v>23960</v>
      </c>
      <c r="O30">
        <v>0.48</v>
      </c>
      <c r="P30">
        <v>0.29399999999999998</v>
      </c>
      <c r="Q30">
        <v>9680</v>
      </c>
      <c r="R30">
        <v>6.0499999999999998E-2</v>
      </c>
      <c r="S30">
        <v>1.32E-2</v>
      </c>
      <c r="T30">
        <v>1.32E-2</v>
      </c>
      <c r="U30">
        <v>125000</v>
      </c>
      <c r="V30">
        <v>125000</v>
      </c>
      <c r="W30">
        <v>7.9100000000000004E-3</v>
      </c>
      <c r="X30">
        <v>3.7600000000000001E-2</v>
      </c>
      <c r="Y30">
        <v>4.5499999999999999E-2</v>
      </c>
      <c r="Z30">
        <v>10.7</v>
      </c>
      <c r="AB30">
        <v>8320</v>
      </c>
      <c r="AC30">
        <v>133000</v>
      </c>
      <c r="AH30" t="s">
        <v>48</v>
      </c>
      <c r="AI30" t="s">
        <v>49</v>
      </c>
      <c r="AJ30" t="s">
        <v>50</v>
      </c>
      <c r="AK30" t="s">
        <v>72</v>
      </c>
      <c r="AL30">
        <v>1.32E-2</v>
      </c>
      <c r="AM30">
        <v>1.5800000000000002E-2</v>
      </c>
      <c r="AN30">
        <v>2.7699999999999999E-2</v>
      </c>
      <c r="AQ30" t="s">
        <v>54</v>
      </c>
    </row>
    <row r="31" spans="1:43" x14ac:dyDescent="0.25">
      <c r="A31" t="s">
        <v>587</v>
      </c>
      <c r="B31" t="s">
        <v>131</v>
      </c>
      <c r="C31">
        <v>226.28</v>
      </c>
      <c r="D31">
        <v>427</v>
      </c>
      <c r="E31">
        <v>1.8465000000000001E-11</v>
      </c>
      <c r="F31">
        <v>5.8050000000000003E-3</v>
      </c>
      <c r="G31">
        <v>8.1500000000000003E-7</v>
      </c>
      <c r="H31">
        <v>2.4300000000000002E-2</v>
      </c>
      <c r="I31">
        <v>7.7800000000000001E-6</v>
      </c>
      <c r="J31">
        <v>1275000</v>
      </c>
      <c r="K31">
        <v>795500</v>
      </c>
      <c r="L31">
        <v>10500</v>
      </c>
      <c r="M31">
        <v>59662.5</v>
      </c>
      <c r="N31">
        <v>31830</v>
      </c>
      <c r="O31">
        <v>0.12</v>
      </c>
      <c r="P31">
        <v>0.3755</v>
      </c>
      <c r="Q31">
        <v>12100</v>
      </c>
      <c r="R31">
        <v>1.1499999999999999</v>
      </c>
      <c r="S31">
        <v>1.12E-2</v>
      </c>
      <c r="T31">
        <v>1.12E-2</v>
      </c>
      <c r="U31">
        <v>105500.0055</v>
      </c>
      <c r="V31">
        <v>105500.0055</v>
      </c>
      <c r="W31">
        <v>8.94E-3</v>
      </c>
      <c r="X31">
        <v>3.4349999999999999E-2</v>
      </c>
      <c r="Y31">
        <v>4.3799999999999999E-2</v>
      </c>
      <c r="Z31">
        <v>12.7</v>
      </c>
      <c r="AB31">
        <v>7460</v>
      </c>
      <c r="AC31">
        <v>177000</v>
      </c>
      <c r="AH31" t="s">
        <v>48</v>
      </c>
      <c r="AI31" t="s">
        <v>49</v>
      </c>
      <c r="AJ31" t="s">
        <v>50</v>
      </c>
      <c r="AK31" t="s">
        <v>72</v>
      </c>
      <c r="AL31">
        <v>1.15E-2</v>
      </c>
      <c r="AM31">
        <v>1.54E-2</v>
      </c>
      <c r="AN31">
        <v>2.69E-2</v>
      </c>
      <c r="AQ31" t="s">
        <v>54</v>
      </c>
    </row>
    <row r="32" spans="1:43" x14ac:dyDescent="0.25">
      <c r="A32" t="s">
        <v>588</v>
      </c>
      <c r="B32" t="s">
        <v>133</v>
      </c>
      <c r="C32">
        <v>276.33</v>
      </c>
      <c r="D32">
        <v>551</v>
      </c>
      <c r="E32">
        <v>1.31E-13</v>
      </c>
      <c r="F32">
        <v>2.5999999999999998E-4</v>
      </c>
      <c r="G32">
        <v>2.6600000000000003E-7</v>
      </c>
      <c r="H32">
        <v>4.48E-2</v>
      </c>
      <c r="I32">
        <v>5.2299999999999999E-6</v>
      </c>
      <c r="J32">
        <v>4270000</v>
      </c>
      <c r="K32">
        <v>1950000</v>
      </c>
      <c r="L32">
        <v>160000</v>
      </c>
      <c r="M32">
        <v>146250</v>
      </c>
      <c r="N32">
        <v>78000</v>
      </c>
      <c r="O32">
        <v>0.48</v>
      </c>
      <c r="P32">
        <v>0.29399999999999998</v>
      </c>
      <c r="Q32">
        <v>9680</v>
      </c>
      <c r="R32">
        <v>6.0499999999999998E-2</v>
      </c>
      <c r="S32">
        <v>1.32E-2</v>
      </c>
      <c r="T32">
        <v>1.32E-2</v>
      </c>
      <c r="U32">
        <v>5.4999999999999997E-3</v>
      </c>
      <c r="V32">
        <v>5.4999999999999997E-3</v>
      </c>
      <c r="W32">
        <v>3.3700000000000001E-2</v>
      </c>
      <c r="X32">
        <v>0.10100000000000001</v>
      </c>
      <c r="Y32">
        <v>4.5499999999999999E-2</v>
      </c>
      <c r="Z32">
        <v>10.7</v>
      </c>
      <c r="AB32">
        <v>11000</v>
      </c>
      <c r="AC32">
        <v>133000</v>
      </c>
      <c r="AF32">
        <v>1.4999999999999999E-2</v>
      </c>
      <c r="AH32">
        <v>1.5999999999999999E-5</v>
      </c>
      <c r="AI32" t="s">
        <v>49</v>
      </c>
      <c r="AJ32" t="s">
        <v>50</v>
      </c>
      <c r="AK32" t="s">
        <v>72</v>
      </c>
      <c r="AL32">
        <v>1.32E-2</v>
      </c>
      <c r="AM32">
        <v>1.5800000000000002E-2</v>
      </c>
      <c r="AN32">
        <v>2.7699999999999999E-2</v>
      </c>
      <c r="AQ32" t="s">
        <v>54</v>
      </c>
    </row>
    <row r="33" spans="1:43" x14ac:dyDescent="0.25">
      <c r="A33" t="s">
        <v>725</v>
      </c>
      <c r="B33" t="s">
        <v>726</v>
      </c>
      <c r="C33">
        <v>252</v>
      </c>
      <c r="D33">
        <v>441</v>
      </c>
      <c r="E33">
        <v>1.06E-10</v>
      </c>
      <c r="F33">
        <v>4.3299999999999996E-3</v>
      </c>
      <c r="G33">
        <v>6.1800000000000001E-6</v>
      </c>
      <c r="H33">
        <v>2.2800000000000001E-2</v>
      </c>
      <c r="I33">
        <v>5.49E-6</v>
      </c>
      <c r="J33">
        <v>1590000</v>
      </c>
      <c r="K33">
        <v>836000</v>
      </c>
      <c r="L33">
        <v>8360</v>
      </c>
      <c r="M33">
        <v>62700</v>
      </c>
      <c r="N33">
        <v>33400</v>
      </c>
      <c r="O33">
        <v>0.41499999999999998</v>
      </c>
      <c r="P33">
        <v>0.82199999999999995</v>
      </c>
      <c r="Q33">
        <v>13900</v>
      </c>
      <c r="R33">
        <v>1.66</v>
      </c>
      <c r="S33">
        <v>1.01E-2</v>
      </c>
      <c r="T33">
        <v>1.01E-2</v>
      </c>
      <c r="U33">
        <v>36500</v>
      </c>
      <c r="V33">
        <v>36500</v>
      </c>
      <c r="W33">
        <v>1.2699999999999999E-2</v>
      </c>
      <c r="X33">
        <v>0.04</v>
      </c>
      <c r="Y33">
        <v>4.8399999999999999E-2</v>
      </c>
      <c r="Z33">
        <v>12.7</v>
      </c>
      <c r="AB33">
        <v>9930</v>
      </c>
      <c r="AC33">
        <v>9950</v>
      </c>
      <c r="AF33">
        <v>0.28000000000000003</v>
      </c>
      <c r="AH33">
        <v>5.4000000000000001E-4</v>
      </c>
      <c r="AI33" t="s">
        <v>49</v>
      </c>
      <c r="AJ33" t="s">
        <v>50</v>
      </c>
      <c r="AK33" t="s">
        <v>72</v>
      </c>
      <c r="AL33">
        <v>1.15E-2</v>
      </c>
      <c r="AM33">
        <v>1.54E-2</v>
      </c>
      <c r="AN33">
        <v>2.69E-2</v>
      </c>
      <c r="AQ33" t="s">
        <v>54</v>
      </c>
    </row>
    <row r="34" spans="1:43" x14ac:dyDescent="0.25">
      <c r="A34" t="s">
        <v>589</v>
      </c>
      <c r="B34" t="s">
        <v>135</v>
      </c>
      <c r="C34">
        <v>252.32</v>
      </c>
      <c r="D34">
        <v>443</v>
      </c>
      <c r="E34">
        <v>3.43E-11</v>
      </c>
      <c r="F34">
        <v>1.081E-2</v>
      </c>
      <c r="G34">
        <v>7.9999999999999996E-7</v>
      </c>
      <c r="H34">
        <v>4.7600000000000003E-2</v>
      </c>
      <c r="I34">
        <v>5.5600000000000001E-6</v>
      </c>
      <c r="J34">
        <v>1290000</v>
      </c>
      <c r="K34">
        <v>599000</v>
      </c>
      <c r="L34">
        <v>190000</v>
      </c>
      <c r="M34">
        <v>44925</v>
      </c>
      <c r="N34">
        <v>23960</v>
      </c>
      <c r="O34">
        <v>0.12</v>
      </c>
      <c r="P34">
        <v>0.47799999999999998</v>
      </c>
      <c r="Q34">
        <v>12100</v>
      </c>
      <c r="R34">
        <v>1.1499999999999999</v>
      </c>
      <c r="S34">
        <v>1.12E-2</v>
      </c>
      <c r="T34">
        <v>1.12E-2</v>
      </c>
      <c r="U34">
        <v>1.0999999999999999E-2</v>
      </c>
      <c r="V34">
        <v>1.0999999999999999E-2</v>
      </c>
      <c r="W34">
        <v>1.0200000000000001E-2</v>
      </c>
      <c r="X34">
        <v>3.2199999999999999E-2</v>
      </c>
      <c r="Y34">
        <v>4.3799999999999999E-2</v>
      </c>
      <c r="Z34">
        <v>12.7</v>
      </c>
      <c r="AB34">
        <v>4990</v>
      </c>
      <c r="AC34">
        <v>177000</v>
      </c>
      <c r="AF34">
        <v>0.5</v>
      </c>
      <c r="AH34">
        <v>5.4000000000000001E-4</v>
      </c>
      <c r="AI34" t="s">
        <v>49</v>
      </c>
      <c r="AJ34" t="s">
        <v>50</v>
      </c>
      <c r="AK34" t="s">
        <v>72</v>
      </c>
      <c r="AL34">
        <v>1.15E-2</v>
      </c>
      <c r="AM34">
        <v>1.54E-2</v>
      </c>
      <c r="AN34">
        <v>2.69E-2</v>
      </c>
      <c r="AQ34" t="s">
        <v>54</v>
      </c>
    </row>
    <row r="35" spans="1:43" x14ac:dyDescent="0.25">
      <c r="A35" t="s">
        <v>719</v>
      </c>
      <c r="B35" t="s">
        <v>137</v>
      </c>
      <c r="C35">
        <v>252</v>
      </c>
      <c r="D35">
        <v>493</v>
      </c>
      <c r="E35">
        <v>2.6299999999999999E-12</v>
      </c>
      <c r="F35">
        <v>8.0000000000000004E-4</v>
      </c>
      <c r="G35">
        <v>8.2999999999999999E-7</v>
      </c>
      <c r="H35">
        <v>1E-3</v>
      </c>
      <c r="I35">
        <v>1.0000000000000001E-5</v>
      </c>
      <c r="J35">
        <v>1260000</v>
      </c>
      <c r="K35">
        <v>992000</v>
      </c>
      <c r="L35">
        <v>190000</v>
      </c>
      <c r="M35">
        <v>74400</v>
      </c>
      <c r="N35">
        <v>39700</v>
      </c>
      <c r="O35">
        <v>0.12</v>
      </c>
      <c r="P35">
        <v>0.27300000000000002</v>
      </c>
      <c r="Q35">
        <v>11600</v>
      </c>
      <c r="R35">
        <v>6.0900000000000003E-2</v>
      </c>
      <c r="S35">
        <v>1.15E-2</v>
      </c>
      <c r="T35">
        <v>1.15E-2</v>
      </c>
      <c r="U35">
        <v>211000</v>
      </c>
      <c r="V35">
        <v>211000</v>
      </c>
      <c r="W35">
        <v>7.6800000000000002E-3</v>
      </c>
      <c r="X35">
        <v>3.6499999999999998E-2</v>
      </c>
      <c r="Y35">
        <v>4.4200000000000003E-2</v>
      </c>
      <c r="Z35">
        <v>12.6</v>
      </c>
      <c r="AB35">
        <v>9930</v>
      </c>
      <c r="AC35">
        <v>177000</v>
      </c>
      <c r="AF35">
        <v>5.0999999999999997E-2</v>
      </c>
      <c r="AH35">
        <v>5.3999999999999998E-5</v>
      </c>
      <c r="AI35" t="s">
        <v>49</v>
      </c>
      <c r="AJ35" t="s">
        <v>50</v>
      </c>
      <c r="AK35" t="s">
        <v>72</v>
      </c>
      <c r="AL35">
        <v>1.15E-2</v>
      </c>
      <c r="AM35">
        <v>1.54E-2</v>
      </c>
      <c r="AN35">
        <v>2.69E-2</v>
      </c>
      <c r="AQ35" t="s">
        <v>54</v>
      </c>
    </row>
    <row r="36" spans="1:43" x14ac:dyDescent="0.25">
      <c r="A36" t="s">
        <v>685</v>
      </c>
      <c r="B36" t="s">
        <v>139</v>
      </c>
      <c r="C36">
        <v>252</v>
      </c>
      <c r="D36">
        <v>441</v>
      </c>
      <c r="E36">
        <v>1.06E-10</v>
      </c>
      <c r="F36">
        <v>4.3299999999999996E-3</v>
      </c>
      <c r="G36">
        <v>6.1800000000000001E-6</v>
      </c>
      <c r="H36">
        <v>2.2800000000000001E-2</v>
      </c>
      <c r="I36">
        <v>5.49E-6</v>
      </c>
      <c r="J36">
        <v>1590000</v>
      </c>
      <c r="K36">
        <v>836000</v>
      </c>
      <c r="L36">
        <v>8360</v>
      </c>
      <c r="M36">
        <v>62700</v>
      </c>
      <c r="N36">
        <v>33400</v>
      </c>
      <c r="O36">
        <v>0.41499999999999998</v>
      </c>
      <c r="P36">
        <v>0.82199999999999995</v>
      </c>
      <c r="Q36">
        <v>13900</v>
      </c>
      <c r="R36">
        <v>1.66</v>
      </c>
      <c r="S36">
        <v>1.01E-2</v>
      </c>
      <c r="T36">
        <v>1.01E-2</v>
      </c>
      <c r="U36">
        <v>36500</v>
      </c>
      <c r="V36">
        <v>36500</v>
      </c>
      <c r="W36">
        <v>1.2699999999999999E-2</v>
      </c>
      <c r="X36">
        <v>0.04</v>
      </c>
      <c r="Y36">
        <v>4.8399999999999999E-2</v>
      </c>
      <c r="Z36">
        <v>12.7</v>
      </c>
      <c r="AB36">
        <v>9930</v>
      </c>
      <c r="AC36">
        <v>9950</v>
      </c>
      <c r="AF36">
        <v>0.28000000000000003</v>
      </c>
      <c r="AH36">
        <v>5.4000000000000001E-4</v>
      </c>
      <c r="AI36" t="s">
        <v>49</v>
      </c>
      <c r="AJ36" t="s">
        <v>50</v>
      </c>
      <c r="AK36" t="s">
        <v>72</v>
      </c>
      <c r="AL36">
        <v>1.15E-2</v>
      </c>
      <c r="AM36">
        <v>1.54E-2</v>
      </c>
      <c r="AN36">
        <v>2.69E-2</v>
      </c>
      <c r="AQ36" t="s">
        <v>54</v>
      </c>
    </row>
    <row r="37" spans="1:43" x14ac:dyDescent="0.25">
      <c r="A37" t="s">
        <v>140</v>
      </c>
      <c r="B37" t="s">
        <v>141</v>
      </c>
      <c r="C37">
        <v>127</v>
      </c>
      <c r="D37">
        <v>234</v>
      </c>
      <c r="E37">
        <v>1.72E-3</v>
      </c>
      <c r="F37">
        <v>525</v>
      </c>
      <c r="G37">
        <v>4.15E-4</v>
      </c>
      <c r="H37">
        <v>7.4999999999999997E-2</v>
      </c>
      <c r="I37">
        <v>7.7999999999999999E-6</v>
      </c>
      <c r="J37">
        <v>200</v>
      </c>
      <c r="K37">
        <v>182</v>
      </c>
      <c r="L37">
        <v>1.82</v>
      </c>
      <c r="M37">
        <v>13.7</v>
      </c>
      <c r="N37">
        <v>7.3</v>
      </c>
      <c r="O37">
        <v>20.9</v>
      </c>
      <c r="P37">
        <v>1</v>
      </c>
      <c r="Q37">
        <v>13.7</v>
      </c>
      <c r="R37">
        <v>7.51</v>
      </c>
      <c r="S37">
        <v>1.81</v>
      </c>
      <c r="T37">
        <v>1.81</v>
      </c>
      <c r="U37">
        <v>3.7900000000000003E-2</v>
      </c>
      <c r="V37">
        <v>3.7900000000000003E-2</v>
      </c>
      <c r="W37">
        <v>9.5399999999999999E-4</v>
      </c>
      <c r="X37">
        <v>4.5300000000000002E-3</v>
      </c>
      <c r="Y37">
        <v>5.4799999999999996E-3</v>
      </c>
      <c r="Z37">
        <v>1.8300000000000001E-5</v>
      </c>
      <c r="AB37">
        <v>11.8</v>
      </c>
      <c r="AE37">
        <v>2E-3</v>
      </c>
      <c r="AF37">
        <v>0.17</v>
      </c>
      <c r="AG37">
        <v>1E-3</v>
      </c>
      <c r="AH37">
        <v>4.8999999999999998E-5</v>
      </c>
      <c r="AI37" t="s">
        <v>49</v>
      </c>
      <c r="AJ37" t="s">
        <v>50</v>
      </c>
      <c r="AL37">
        <v>1.81</v>
      </c>
      <c r="AM37">
        <v>1.91E-3</v>
      </c>
      <c r="AN37">
        <v>3.3400000000000001E-3</v>
      </c>
      <c r="AQ37" t="s">
        <v>54</v>
      </c>
    </row>
    <row r="38" spans="1:43" x14ac:dyDescent="0.25">
      <c r="A38" t="s">
        <v>142</v>
      </c>
      <c r="B38" t="s">
        <v>143</v>
      </c>
      <c r="C38">
        <v>9.01</v>
      </c>
      <c r="D38">
        <v>1570</v>
      </c>
      <c r="E38">
        <v>0</v>
      </c>
      <c r="F38">
        <v>149000</v>
      </c>
      <c r="G38">
        <v>1.4999999999999999E-2</v>
      </c>
      <c r="H38">
        <v>7.7200000000000005E-2</v>
      </c>
      <c r="I38">
        <v>9.5699999999999999E-6</v>
      </c>
      <c r="J38">
        <v>0.26900000000000002</v>
      </c>
      <c r="L38">
        <v>790</v>
      </c>
      <c r="M38">
        <v>790</v>
      </c>
      <c r="N38">
        <v>790</v>
      </c>
      <c r="P38">
        <v>0</v>
      </c>
      <c r="R38">
        <v>1.5E-3</v>
      </c>
      <c r="S38">
        <v>2.5799999999999998E-3</v>
      </c>
      <c r="T38">
        <v>0.01</v>
      </c>
      <c r="W38">
        <v>8.9999999999999996E-7</v>
      </c>
      <c r="X38">
        <v>1E-3</v>
      </c>
      <c r="AB38">
        <v>62</v>
      </c>
      <c r="AE38">
        <v>2E-3</v>
      </c>
      <c r="AG38">
        <v>2.0000000000000002E-5</v>
      </c>
      <c r="AH38">
        <v>2.3999999999999998E-3</v>
      </c>
      <c r="AI38" t="s">
        <v>49</v>
      </c>
      <c r="AJ38" t="s">
        <v>110</v>
      </c>
      <c r="AK38" t="s">
        <v>111</v>
      </c>
      <c r="AL38">
        <v>1.5E-3</v>
      </c>
      <c r="AQ38" t="s">
        <v>54</v>
      </c>
    </row>
    <row r="39" spans="1:43" x14ac:dyDescent="0.25">
      <c r="A39" t="s">
        <v>631</v>
      </c>
      <c r="B39" t="s">
        <v>144</v>
      </c>
      <c r="C39">
        <v>154</v>
      </c>
      <c r="D39">
        <v>342</v>
      </c>
      <c r="E39">
        <v>1.1800000000000001E-5</v>
      </c>
      <c r="F39">
        <v>6.94</v>
      </c>
      <c r="G39">
        <v>2.6200000000000003E-4</v>
      </c>
      <c r="H39">
        <v>6.6100000000000006E-2</v>
      </c>
      <c r="I39">
        <v>7.6499999999999996E-6</v>
      </c>
      <c r="J39">
        <v>9550</v>
      </c>
      <c r="K39">
        <v>8180</v>
      </c>
      <c r="L39">
        <v>81.8</v>
      </c>
      <c r="M39">
        <v>613</v>
      </c>
      <c r="N39">
        <v>327</v>
      </c>
      <c r="O39">
        <v>36.1</v>
      </c>
      <c r="P39">
        <v>1</v>
      </c>
      <c r="Q39">
        <v>270</v>
      </c>
      <c r="R39">
        <v>3.3</v>
      </c>
      <c r="S39">
        <v>0.19400000000000001</v>
      </c>
      <c r="T39">
        <v>0.19400000000000001</v>
      </c>
      <c r="U39">
        <v>3.69</v>
      </c>
      <c r="V39">
        <v>3.69</v>
      </c>
      <c r="W39">
        <v>5.4000000000000003E-3</v>
      </c>
      <c r="X39">
        <v>2.5700000000000001E-2</v>
      </c>
      <c r="Y39">
        <v>3.1099999999999999E-2</v>
      </c>
      <c r="AB39">
        <v>232</v>
      </c>
      <c r="AE39">
        <v>0.5</v>
      </c>
      <c r="AF39">
        <v>8.0000000000000002E-3</v>
      </c>
      <c r="AH39" t="s">
        <v>48</v>
      </c>
      <c r="AI39" t="s">
        <v>49</v>
      </c>
      <c r="AJ39" t="s">
        <v>50</v>
      </c>
      <c r="AL39">
        <v>0.19400000000000001</v>
      </c>
      <c r="AM39">
        <v>1.0800000000000001E-2</v>
      </c>
      <c r="AN39">
        <v>1.89E-2</v>
      </c>
      <c r="AQ39" t="s">
        <v>54</v>
      </c>
    </row>
    <row r="40" spans="1:43" x14ac:dyDescent="0.25">
      <c r="A40" t="s">
        <v>145</v>
      </c>
      <c r="B40" t="s">
        <v>146</v>
      </c>
      <c r="C40">
        <v>143.01300000000001</v>
      </c>
      <c r="D40">
        <v>226.35</v>
      </c>
      <c r="E40">
        <v>2.0400000000000001E-3</v>
      </c>
      <c r="F40">
        <v>17200</v>
      </c>
      <c r="G40">
        <v>1.8E-5</v>
      </c>
      <c r="H40">
        <v>4.1300000000000003E-2</v>
      </c>
      <c r="I40">
        <v>9.4900000000000006E-6</v>
      </c>
      <c r="J40">
        <v>19.498446000000001</v>
      </c>
      <c r="K40">
        <v>75.900000000000006</v>
      </c>
      <c r="L40">
        <v>0.76</v>
      </c>
      <c r="M40">
        <v>5.69</v>
      </c>
      <c r="N40">
        <v>3.04</v>
      </c>
      <c r="O40">
        <v>1.41</v>
      </c>
      <c r="P40">
        <v>1</v>
      </c>
      <c r="Q40">
        <v>8.6</v>
      </c>
      <c r="R40">
        <v>11.3</v>
      </c>
      <c r="S40">
        <v>6.96</v>
      </c>
      <c r="T40">
        <v>6.96</v>
      </c>
      <c r="U40">
        <v>7.3400000000000007E-2</v>
      </c>
      <c r="V40">
        <v>7.3400000000000007E-2</v>
      </c>
      <c r="W40">
        <v>1.8097299999999999E-4</v>
      </c>
      <c r="X40">
        <v>8.5962199999999999E-4</v>
      </c>
      <c r="Y40">
        <v>1.0405950000000001E-3</v>
      </c>
      <c r="Z40">
        <v>1.5886599999999999E-4</v>
      </c>
      <c r="AB40">
        <v>1.96</v>
      </c>
      <c r="AF40">
        <v>1.1000000000000001</v>
      </c>
      <c r="AH40">
        <v>3.3E-4</v>
      </c>
      <c r="AI40" t="s">
        <v>49</v>
      </c>
      <c r="AJ40" t="s">
        <v>50</v>
      </c>
      <c r="AL40">
        <v>6.96</v>
      </c>
      <c r="AM40">
        <v>3.6194599999999998E-4</v>
      </c>
      <c r="AN40">
        <v>6.3340599999999999E-4</v>
      </c>
      <c r="AQ40" t="s">
        <v>54</v>
      </c>
    </row>
    <row r="41" spans="1:43" x14ac:dyDescent="0.25">
      <c r="A41" t="s">
        <v>147</v>
      </c>
      <c r="B41" t="s">
        <v>148</v>
      </c>
      <c r="C41">
        <v>253</v>
      </c>
      <c r="D41">
        <v>281</v>
      </c>
      <c r="E41">
        <v>7.2500000000000004E-3</v>
      </c>
      <c r="F41">
        <v>3100</v>
      </c>
      <c r="G41">
        <v>6.5</v>
      </c>
      <c r="H41">
        <v>1.49E-2</v>
      </c>
      <c r="I41">
        <v>1.03E-5</v>
      </c>
      <c r="J41">
        <v>234</v>
      </c>
      <c r="K41">
        <v>126</v>
      </c>
      <c r="L41">
        <v>1.26</v>
      </c>
      <c r="M41">
        <v>9.4499999999999993</v>
      </c>
      <c r="N41">
        <v>5.04</v>
      </c>
      <c r="O41">
        <v>1.41</v>
      </c>
      <c r="P41">
        <v>1</v>
      </c>
      <c r="Q41">
        <v>15.5</v>
      </c>
      <c r="R41">
        <v>12.3</v>
      </c>
      <c r="S41">
        <v>1.65</v>
      </c>
      <c r="T41">
        <v>1.65</v>
      </c>
      <c r="U41">
        <v>2.8700000000000001E-6</v>
      </c>
      <c r="V41">
        <v>2.8700000000000001E-6</v>
      </c>
      <c r="W41">
        <v>1.0499999999999999E-3</v>
      </c>
      <c r="X41">
        <v>5.0000000000000001E-3</v>
      </c>
      <c r="Y41">
        <v>6.0499999999999998E-3</v>
      </c>
      <c r="Z41">
        <v>1.7799999999999999E-3</v>
      </c>
      <c r="AB41">
        <v>13.3</v>
      </c>
      <c r="AE41">
        <v>0.02</v>
      </c>
      <c r="AF41">
        <v>7.9299999999999995E-3</v>
      </c>
      <c r="AH41">
        <v>1.1000000000000001E-6</v>
      </c>
      <c r="AI41" t="s">
        <v>49</v>
      </c>
      <c r="AJ41" t="s">
        <v>50</v>
      </c>
      <c r="AL41">
        <v>1.65</v>
      </c>
      <c r="AM41">
        <v>2.0999999999999999E-3</v>
      </c>
      <c r="AN41">
        <v>3.6800000000000001E-3</v>
      </c>
      <c r="AQ41" t="s">
        <v>54</v>
      </c>
    </row>
    <row r="42" spans="1:43" x14ac:dyDescent="0.25">
      <c r="A42" t="s">
        <v>556</v>
      </c>
      <c r="B42" t="s">
        <v>58</v>
      </c>
      <c r="C42">
        <v>54.1</v>
      </c>
      <c r="D42">
        <v>164</v>
      </c>
      <c r="E42">
        <v>2.78</v>
      </c>
      <c r="F42">
        <v>735</v>
      </c>
      <c r="G42">
        <v>0.20399999999999999</v>
      </c>
      <c r="H42">
        <v>0.13300000000000001</v>
      </c>
      <c r="I42">
        <v>1.5400000000000002E-5</v>
      </c>
      <c r="J42">
        <v>97.7</v>
      </c>
      <c r="K42">
        <v>45.1</v>
      </c>
      <c r="L42">
        <v>0.45100000000000001</v>
      </c>
      <c r="M42">
        <v>3.38</v>
      </c>
      <c r="N42">
        <v>1.8</v>
      </c>
      <c r="O42">
        <v>8.43</v>
      </c>
      <c r="P42">
        <v>1</v>
      </c>
      <c r="Q42">
        <v>14.2</v>
      </c>
      <c r="R42">
        <v>31.5</v>
      </c>
      <c r="S42">
        <v>2.74</v>
      </c>
      <c r="T42">
        <v>2.74</v>
      </c>
      <c r="U42">
        <v>3.6000000000000001E-5</v>
      </c>
      <c r="V42">
        <v>3.6000000000000001E-5</v>
      </c>
      <c r="W42">
        <v>6.02E-4</v>
      </c>
      <c r="X42">
        <v>2.8600000000000001E-3</v>
      </c>
      <c r="Y42">
        <v>3.46E-3</v>
      </c>
      <c r="AB42">
        <v>6.8</v>
      </c>
      <c r="AF42">
        <v>3.4</v>
      </c>
      <c r="AG42">
        <v>2E-3</v>
      </c>
      <c r="AH42">
        <v>5.8799999999999999E-5</v>
      </c>
      <c r="AI42" t="s">
        <v>49</v>
      </c>
      <c r="AJ42" t="s">
        <v>50</v>
      </c>
      <c r="AL42">
        <v>2.74</v>
      </c>
      <c r="AM42">
        <v>1.1999999999999999E-3</v>
      </c>
      <c r="AN42">
        <v>2.1099999999999999E-3</v>
      </c>
      <c r="AQ42" t="s">
        <v>54</v>
      </c>
    </row>
    <row r="43" spans="1:43" x14ac:dyDescent="0.25">
      <c r="A43" t="s">
        <v>590</v>
      </c>
      <c r="B43" t="s">
        <v>149</v>
      </c>
      <c r="C43">
        <v>204.27</v>
      </c>
      <c r="D43">
        <v>298</v>
      </c>
      <c r="E43">
        <v>4.6499999999999999E-5</v>
      </c>
      <c r="F43">
        <v>2343</v>
      </c>
      <c r="G43">
        <v>9.9E-8</v>
      </c>
      <c r="J43">
        <v>20</v>
      </c>
      <c r="K43">
        <v>12.27</v>
      </c>
      <c r="M43">
        <v>0.9202499999999999</v>
      </c>
      <c r="N43">
        <v>0.49080000000000001</v>
      </c>
      <c r="P43">
        <v>1</v>
      </c>
      <c r="AB43">
        <v>2</v>
      </c>
      <c r="AH43" t="s">
        <v>48</v>
      </c>
      <c r="AI43" t="s">
        <v>49</v>
      </c>
      <c r="AJ43" t="s">
        <v>50</v>
      </c>
      <c r="AQ43" t="s">
        <v>54</v>
      </c>
    </row>
    <row r="44" spans="1:43" x14ac:dyDescent="0.25">
      <c r="A44" t="s">
        <v>487</v>
      </c>
      <c r="B44" t="s">
        <v>755</v>
      </c>
      <c r="C44">
        <v>118.18</v>
      </c>
      <c r="D44">
        <v>196</v>
      </c>
      <c r="E44">
        <v>1.0499999999999999E-3</v>
      </c>
      <c r="P44">
        <v>1</v>
      </c>
    </row>
    <row r="45" spans="1:43" x14ac:dyDescent="0.25">
      <c r="A45" t="s">
        <v>150</v>
      </c>
      <c r="B45" t="s">
        <v>151</v>
      </c>
      <c r="C45">
        <v>312</v>
      </c>
      <c r="D45">
        <v>238</v>
      </c>
      <c r="E45">
        <v>1.09E-8</v>
      </c>
      <c r="F45">
        <v>2.7</v>
      </c>
      <c r="G45">
        <v>1.3E-6</v>
      </c>
      <c r="H45">
        <v>1E-3</v>
      </c>
      <c r="I45">
        <v>1.0000000000000001E-5</v>
      </c>
      <c r="J45">
        <v>79400</v>
      </c>
      <c r="K45">
        <v>13700</v>
      </c>
      <c r="L45">
        <v>8700</v>
      </c>
      <c r="M45">
        <v>1030</v>
      </c>
      <c r="N45">
        <v>548</v>
      </c>
      <c r="O45">
        <v>36.1</v>
      </c>
      <c r="P45">
        <v>0.94799999999999995</v>
      </c>
      <c r="Q45">
        <v>1380</v>
      </c>
      <c r="R45">
        <v>0.158</v>
      </c>
      <c r="S45">
        <v>5.7000000000000002E-2</v>
      </c>
      <c r="T45">
        <v>5.7000000000000002E-2</v>
      </c>
      <c r="U45">
        <v>7110</v>
      </c>
      <c r="V45">
        <v>7110</v>
      </c>
      <c r="W45">
        <v>8.09E-3</v>
      </c>
      <c r="X45">
        <v>3.8399999999999997E-2</v>
      </c>
      <c r="Y45">
        <v>4.65E-2</v>
      </c>
      <c r="Z45">
        <v>0.20599999999999999</v>
      </c>
      <c r="AB45">
        <v>1180</v>
      </c>
      <c r="AC45">
        <v>3290</v>
      </c>
      <c r="AE45">
        <v>0.2</v>
      </c>
      <c r="AF45">
        <v>1.9E-3</v>
      </c>
      <c r="AH45" t="s">
        <v>48</v>
      </c>
      <c r="AI45" t="s">
        <v>49</v>
      </c>
      <c r="AJ45" t="s">
        <v>50</v>
      </c>
      <c r="AK45" t="s">
        <v>152</v>
      </c>
      <c r="AL45">
        <v>5.7000000000000002E-2</v>
      </c>
      <c r="AM45">
        <v>1.6199999999999999E-2</v>
      </c>
      <c r="AN45">
        <v>2.8299999999999999E-2</v>
      </c>
      <c r="AQ45" t="s">
        <v>54</v>
      </c>
    </row>
    <row r="46" spans="1:43" x14ac:dyDescent="0.25">
      <c r="A46" t="s">
        <v>155</v>
      </c>
      <c r="B46" t="s">
        <v>156</v>
      </c>
      <c r="C46">
        <v>112.4</v>
      </c>
      <c r="D46">
        <v>593.15</v>
      </c>
      <c r="E46">
        <v>5.4499999999999996E-12</v>
      </c>
      <c r="F46">
        <v>123000</v>
      </c>
      <c r="G46">
        <v>3.1E-2</v>
      </c>
      <c r="H46">
        <v>7.7200000000000005E-2</v>
      </c>
      <c r="I46">
        <v>9.5699999999999999E-6</v>
      </c>
      <c r="J46">
        <v>0.85113803799999999</v>
      </c>
      <c r="L46">
        <v>75</v>
      </c>
      <c r="M46">
        <v>75</v>
      </c>
      <c r="N46">
        <v>75</v>
      </c>
      <c r="O46">
        <v>2.5299999999999999E-6</v>
      </c>
      <c r="P46">
        <v>8.9999999999999993E-3</v>
      </c>
      <c r="R46">
        <v>6.4000000000000001E-2</v>
      </c>
      <c r="S46">
        <v>0.125</v>
      </c>
      <c r="T46">
        <v>0.36399999999999999</v>
      </c>
      <c r="W46">
        <v>6.4999999999999996E-6</v>
      </c>
      <c r="X46">
        <v>1.2E-4</v>
      </c>
      <c r="Y46">
        <v>1.9148900000000001E-4</v>
      </c>
      <c r="Z46">
        <v>2.5000000000000001E-3</v>
      </c>
      <c r="AB46">
        <v>907</v>
      </c>
      <c r="AE46">
        <v>1E-3</v>
      </c>
      <c r="AG46">
        <v>2.0000000000000002E-5</v>
      </c>
      <c r="AH46">
        <v>1.8E-3</v>
      </c>
      <c r="AI46" t="s">
        <v>49</v>
      </c>
      <c r="AJ46" t="s">
        <v>110</v>
      </c>
      <c r="AK46" t="s">
        <v>111</v>
      </c>
      <c r="AL46">
        <v>6.2E-2</v>
      </c>
      <c r="AM46">
        <v>2.5000000000000001E-3</v>
      </c>
      <c r="AN46">
        <v>0.10625</v>
      </c>
      <c r="AQ46" t="s">
        <v>54</v>
      </c>
    </row>
    <row r="47" spans="1:43" x14ac:dyDescent="0.25">
      <c r="A47" t="s">
        <v>591</v>
      </c>
      <c r="B47" t="s">
        <v>159</v>
      </c>
      <c r="C47">
        <v>176.21</v>
      </c>
      <c r="D47">
        <v>275.89999999999998</v>
      </c>
      <c r="E47">
        <v>1.8599999999999999E-4</v>
      </c>
      <c r="F47">
        <v>30890</v>
      </c>
      <c r="H47">
        <v>5.7000000000000002E-2</v>
      </c>
      <c r="I47">
        <v>7.9799999999999998E-6</v>
      </c>
      <c r="J47">
        <v>2.089</v>
      </c>
      <c r="K47">
        <v>4.54</v>
      </c>
      <c r="M47">
        <v>0.34049999999999997</v>
      </c>
      <c r="N47">
        <v>0.18160000000000001</v>
      </c>
      <c r="P47">
        <v>1</v>
      </c>
      <c r="U47">
        <v>17.5</v>
      </c>
      <c r="V47">
        <v>17.5</v>
      </c>
      <c r="W47">
        <v>3.0699999999999997E-8</v>
      </c>
      <c r="X47">
        <v>9.7300000000000004E-8</v>
      </c>
      <c r="AB47">
        <v>3.16</v>
      </c>
      <c r="AH47" t="s">
        <v>48</v>
      </c>
      <c r="AI47" t="s">
        <v>49</v>
      </c>
      <c r="AJ47" t="s">
        <v>50</v>
      </c>
      <c r="AQ47" t="s">
        <v>54</v>
      </c>
    </row>
    <row r="48" spans="1:43" x14ac:dyDescent="0.25">
      <c r="A48" t="s">
        <v>632</v>
      </c>
      <c r="B48" t="s">
        <v>162</v>
      </c>
      <c r="C48">
        <v>76.099999999999994</v>
      </c>
      <c r="D48">
        <v>153</v>
      </c>
      <c r="E48">
        <v>0.47399999999999998</v>
      </c>
      <c r="F48">
        <v>1200</v>
      </c>
      <c r="G48">
        <v>0.03</v>
      </c>
      <c r="H48">
        <v>0.104</v>
      </c>
      <c r="I48">
        <v>1.0000000000000001E-5</v>
      </c>
      <c r="J48">
        <v>158</v>
      </c>
      <c r="K48">
        <v>66.2</v>
      </c>
      <c r="L48">
        <v>9.0999999999999998E-2</v>
      </c>
      <c r="M48">
        <v>4.96</v>
      </c>
      <c r="N48">
        <v>2.65</v>
      </c>
      <c r="P48">
        <v>1</v>
      </c>
      <c r="Q48">
        <v>11.5</v>
      </c>
      <c r="R48">
        <v>126</v>
      </c>
      <c r="S48">
        <v>2.0699999999999998</v>
      </c>
      <c r="T48">
        <v>2.0699999999999998</v>
      </c>
      <c r="U48">
        <v>4.0999999999999999E-4</v>
      </c>
      <c r="V48">
        <v>4.0999999999999999E-4</v>
      </c>
      <c r="W48">
        <v>8.2600000000000002E-4</v>
      </c>
      <c r="X48">
        <v>3.9199999999999999E-3</v>
      </c>
      <c r="Y48">
        <v>4.7499999999999999E-3</v>
      </c>
      <c r="Z48">
        <v>7.94E-4</v>
      </c>
      <c r="AB48">
        <v>9.86</v>
      </c>
      <c r="AE48">
        <v>0.1</v>
      </c>
      <c r="AG48">
        <v>0.7</v>
      </c>
      <c r="AH48" t="s">
        <v>48</v>
      </c>
      <c r="AI48" t="s">
        <v>49</v>
      </c>
      <c r="AJ48" t="s">
        <v>50</v>
      </c>
      <c r="AL48">
        <v>2.0699999999999998</v>
      </c>
      <c r="AM48">
        <v>1.65E-3</v>
      </c>
      <c r="AN48">
        <v>2.8900000000000002E-3</v>
      </c>
      <c r="AQ48" t="s">
        <v>54</v>
      </c>
    </row>
    <row r="49" spans="1:43" x14ac:dyDescent="0.25">
      <c r="A49" t="s">
        <v>592</v>
      </c>
      <c r="B49" t="s">
        <v>163</v>
      </c>
      <c r="C49">
        <v>28.01</v>
      </c>
      <c r="D49">
        <v>134</v>
      </c>
      <c r="E49">
        <v>11.43</v>
      </c>
      <c r="F49">
        <v>49700</v>
      </c>
      <c r="G49">
        <v>5.6300000000000002E-4</v>
      </c>
      <c r="H49">
        <v>0.17299999999999999</v>
      </c>
      <c r="I49">
        <v>1.7900000000000001E-5</v>
      </c>
      <c r="J49">
        <v>2.5</v>
      </c>
      <c r="K49">
        <v>2.2200000000000002</v>
      </c>
      <c r="M49">
        <v>0.16650000000000001</v>
      </c>
      <c r="N49">
        <v>8.8800000000000004E-2</v>
      </c>
      <c r="P49">
        <v>1</v>
      </c>
      <c r="U49">
        <v>22.6</v>
      </c>
      <c r="V49">
        <v>22.6</v>
      </c>
      <c r="W49">
        <v>1.9799999999999999E-8</v>
      </c>
      <c r="X49">
        <v>6.2800000000000006E-8</v>
      </c>
      <c r="AB49">
        <v>3.16</v>
      </c>
      <c r="AH49" t="s">
        <v>48</v>
      </c>
      <c r="AI49" t="s">
        <v>49</v>
      </c>
      <c r="AJ49" t="s">
        <v>50</v>
      </c>
      <c r="AQ49" t="s">
        <v>54</v>
      </c>
    </row>
    <row r="50" spans="1:43" x14ac:dyDescent="0.25">
      <c r="A50" t="s">
        <v>675</v>
      </c>
      <c r="B50" t="s">
        <v>676</v>
      </c>
      <c r="C50">
        <v>28.01</v>
      </c>
      <c r="D50">
        <v>134</v>
      </c>
      <c r="E50">
        <v>11.43</v>
      </c>
      <c r="F50">
        <v>49700</v>
      </c>
      <c r="G50">
        <v>5.6300000000000002E-4</v>
      </c>
      <c r="H50">
        <v>0.17299999999999999</v>
      </c>
      <c r="I50">
        <v>1.7900000000000001E-5</v>
      </c>
      <c r="J50">
        <v>2.5</v>
      </c>
      <c r="K50">
        <v>2.2200000000000002</v>
      </c>
      <c r="M50">
        <v>0.16650000000000001</v>
      </c>
      <c r="N50">
        <v>8.8800000000000004E-2</v>
      </c>
      <c r="P50">
        <v>1</v>
      </c>
      <c r="U50">
        <v>22.6</v>
      </c>
      <c r="V50">
        <v>22.6</v>
      </c>
      <c r="W50">
        <v>1.9799999999999999E-8</v>
      </c>
      <c r="X50">
        <v>6.2800000000000006E-8</v>
      </c>
      <c r="AB50">
        <v>3.16</v>
      </c>
      <c r="AH50" t="s">
        <v>48</v>
      </c>
      <c r="AI50" t="s">
        <v>49</v>
      </c>
      <c r="AJ50" t="s">
        <v>50</v>
      </c>
      <c r="AQ50" t="s">
        <v>54</v>
      </c>
    </row>
    <row r="51" spans="1:43" x14ac:dyDescent="0.25">
      <c r="A51" t="s">
        <v>633</v>
      </c>
      <c r="B51" t="s">
        <v>164</v>
      </c>
      <c r="C51">
        <v>154</v>
      </c>
      <c r="D51">
        <v>250</v>
      </c>
      <c r="E51">
        <v>0.158</v>
      </c>
      <c r="F51">
        <v>790</v>
      </c>
      <c r="G51">
        <v>0.03</v>
      </c>
      <c r="H51">
        <v>7.8E-2</v>
      </c>
      <c r="I51">
        <v>8.8000000000000004E-6</v>
      </c>
      <c r="J51">
        <v>631</v>
      </c>
      <c r="K51">
        <v>152</v>
      </c>
      <c r="L51">
        <v>0.35</v>
      </c>
      <c r="M51">
        <v>11.4</v>
      </c>
      <c r="N51">
        <v>6.08</v>
      </c>
      <c r="O51">
        <v>0.7</v>
      </c>
      <c r="P51">
        <v>1</v>
      </c>
      <c r="Q51">
        <v>33.299999999999997</v>
      </c>
      <c r="R51">
        <v>95.1</v>
      </c>
      <c r="S51">
        <v>0.93200000000000005</v>
      </c>
      <c r="T51">
        <v>0.93200000000000005</v>
      </c>
      <c r="U51">
        <v>1.7899999999999999E-3</v>
      </c>
      <c r="V51">
        <v>1.7899999999999999E-3</v>
      </c>
      <c r="W51">
        <v>1.83E-3</v>
      </c>
      <c r="X51">
        <v>8.6800000000000002E-3</v>
      </c>
      <c r="Y51">
        <v>1.0500000000000001E-2</v>
      </c>
      <c r="Z51">
        <v>4.1399999999999996E-3</v>
      </c>
      <c r="AB51">
        <v>28.6</v>
      </c>
      <c r="AE51">
        <v>4.0000000000000001E-3</v>
      </c>
      <c r="AF51">
        <v>7.0000000000000007E-2</v>
      </c>
      <c r="AG51">
        <v>0.1</v>
      </c>
      <c r="AH51">
        <v>6.0000000000000002E-6</v>
      </c>
      <c r="AI51" t="s">
        <v>49</v>
      </c>
      <c r="AJ51" t="s">
        <v>50</v>
      </c>
      <c r="AL51">
        <v>0.93200000000000005</v>
      </c>
      <c r="AM51">
        <v>3.6600000000000001E-3</v>
      </c>
      <c r="AN51">
        <v>6.4000000000000003E-3</v>
      </c>
      <c r="AQ51" t="s">
        <v>54</v>
      </c>
    </row>
    <row r="52" spans="1:43" x14ac:dyDescent="0.25">
      <c r="A52" t="s">
        <v>593</v>
      </c>
      <c r="B52" t="s">
        <v>165</v>
      </c>
      <c r="C52">
        <v>60.07</v>
      </c>
      <c r="D52">
        <v>171.29</v>
      </c>
      <c r="E52">
        <v>10.79</v>
      </c>
      <c r="F52">
        <v>1000000</v>
      </c>
      <c r="G52">
        <v>4.9200000000000001E-2</v>
      </c>
      <c r="J52">
        <v>4.6800000000000001E-2</v>
      </c>
      <c r="K52">
        <v>0.9123</v>
      </c>
      <c r="M52">
        <v>6.8422499999999997E-2</v>
      </c>
      <c r="N52">
        <v>3.6492000000000004E-2</v>
      </c>
      <c r="P52">
        <v>1</v>
      </c>
      <c r="AB52" t="s">
        <v>63</v>
      </c>
      <c r="AH52" t="s">
        <v>48</v>
      </c>
      <c r="AI52" t="s">
        <v>49</v>
      </c>
      <c r="AJ52" t="s">
        <v>50</v>
      </c>
      <c r="AQ52" t="s">
        <v>54</v>
      </c>
    </row>
    <row r="53" spans="1:43" x14ac:dyDescent="0.25">
      <c r="A53" t="s">
        <v>594</v>
      </c>
      <c r="B53" t="s">
        <v>166</v>
      </c>
      <c r="C53">
        <v>110</v>
      </c>
      <c r="D53">
        <v>378</v>
      </c>
      <c r="E53">
        <v>3.9499999999999998E-5</v>
      </c>
      <c r="F53">
        <v>461000</v>
      </c>
      <c r="G53">
        <v>9.4300000000000007E-9</v>
      </c>
      <c r="H53">
        <v>8.2699999999999996E-2</v>
      </c>
      <c r="I53">
        <v>9.5799999999999998E-6</v>
      </c>
      <c r="J53">
        <v>7.59</v>
      </c>
      <c r="K53">
        <v>7.33</v>
      </c>
      <c r="L53">
        <v>7.3300000000000004E-2</v>
      </c>
      <c r="M53">
        <v>0.55000000000000004</v>
      </c>
      <c r="N53">
        <v>0.29299999999999998</v>
      </c>
      <c r="O53">
        <v>36.1</v>
      </c>
      <c r="P53">
        <v>1</v>
      </c>
      <c r="Q53">
        <v>7.41</v>
      </c>
      <c r="R53">
        <v>101</v>
      </c>
      <c r="S53">
        <v>12</v>
      </c>
      <c r="T53">
        <v>12</v>
      </c>
      <c r="U53">
        <v>51.3</v>
      </c>
      <c r="V53">
        <v>51.3</v>
      </c>
      <c r="W53">
        <v>8.0699999999999996E-5</v>
      </c>
      <c r="X53">
        <v>3.8299999999999999E-4</v>
      </c>
      <c r="Y53">
        <v>4.64E-4</v>
      </c>
      <c r="AB53">
        <v>3.16</v>
      </c>
      <c r="AH53" t="s">
        <v>48</v>
      </c>
      <c r="AI53" t="s">
        <v>49</v>
      </c>
      <c r="AJ53" t="s">
        <v>50</v>
      </c>
      <c r="AL53">
        <v>12</v>
      </c>
      <c r="AM53">
        <v>1.6100000000000001E-4</v>
      </c>
      <c r="AN53">
        <v>2.8299999999999999E-4</v>
      </c>
      <c r="AQ53" t="s">
        <v>54</v>
      </c>
    </row>
    <row r="54" spans="1:43" x14ac:dyDescent="0.25">
      <c r="A54" t="s">
        <v>595</v>
      </c>
      <c r="B54" t="s">
        <v>167</v>
      </c>
      <c r="C54">
        <v>90.1</v>
      </c>
      <c r="D54">
        <v>203</v>
      </c>
      <c r="E54">
        <v>6.9899999999999997E-3</v>
      </c>
      <c r="F54">
        <v>1000000</v>
      </c>
      <c r="G54">
        <v>6.3E-7</v>
      </c>
      <c r="H54">
        <v>9.4500000000000001E-2</v>
      </c>
      <c r="I54">
        <v>1.0900000000000001E-5</v>
      </c>
      <c r="J54">
        <v>0.47899999999999998</v>
      </c>
      <c r="K54">
        <v>0.48499999999999999</v>
      </c>
      <c r="L54">
        <v>4.8500000000000001E-3</v>
      </c>
      <c r="M54">
        <v>3.6400000000000002E-2</v>
      </c>
      <c r="N54">
        <v>1.9400000000000001E-2</v>
      </c>
      <c r="O54">
        <v>8.43</v>
      </c>
      <c r="P54">
        <v>1</v>
      </c>
      <c r="Q54">
        <v>6.44</v>
      </c>
      <c r="R54">
        <v>1330</v>
      </c>
      <c r="S54">
        <v>59.3</v>
      </c>
      <c r="T54">
        <v>59.3</v>
      </c>
      <c r="U54">
        <v>4.0500000000000001E-2</v>
      </c>
      <c r="V54">
        <v>4.0500000000000001E-2</v>
      </c>
      <c r="W54">
        <v>4.8899999999999998E-6</v>
      </c>
      <c r="X54">
        <v>2.3200000000000001E-5</v>
      </c>
      <c r="Y54">
        <v>2.8099999999999999E-5</v>
      </c>
      <c r="AB54">
        <v>3.16</v>
      </c>
      <c r="AE54">
        <v>0.09</v>
      </c>
      <c r="AG54">
        <v>0.2</v>
      </c>
      <c r="AH54" t="s">
        <v>48</v>
      </c>
      <c r="AI54" t="s">
        <v>49</v>
      </c>
      <c r="AJ54" t="s">
        <v>50</v>
      </c>
      <c r="AL54">
        <v>59.3</v>
      </c>
      <c r="AM54">
        <v>9.7799999999999995E-6</v>
      </c>
      <c r="AN54">
        <v>1.7099999999999999E-5</v>
      </c>
      <c r="AQ54" t="s">
        <v>54</v>
      </c>
    </row>
    <row r="55" spans="1:43" x14ac:dyDescent="0.25">
      <c r="A55" t="s">
        <v>169</v>
      </c>
      <c r="B55" t="s">
        <v>170</v>
      </c>
      <c r="C55">
        <v>70.900000000000006</v>
      </c>
      <c r="D55">
        <v>172</v>
      </c>
      <c r="E55">
        <v>7.7</v>
      </c>
      <c r="F55">
        <v>6300</v>
      </c>
      <c r="G55">
        <v>1.17E-2</v>
      </c>
      <c r="H55">
        <v>1E-3</v>
      </c>
      <c r="I55">
        <v>1.0000000000000001E-5</v>
      </c>
      <c r="J55">
        <v>7.08</v>
      </c>
      <c r="K55">
        <v>13.22</v>
      </c>
      <c r="M55">
        <v>0.99150000000000005</v>
      </c>
      <c r="N55">
        <v>0.52880000000000005</v>
      </c>
      <c r="P55">
        <v>1</v>
      </c>
      <c r="Q55">
        <v>7.36</v>
      </c>
      <c r="S55">
        <v>8.3800000000000008</v>
      </c>
      <c r="T55">
        <v>8.3800000000000008</v>
      </c>
      <c r="W55">
        <v>7.5900000000000002E-5</v>
      </c>
      <c r="X55">
        <v>3.6000000000000002E-4</v>
      </c>
      <c r="Y55">
        <v>4.3600000000000003E-4</v>
      </c>
      <c r="AB55">
        <v>3.16</v>
      </c>
      <c r="AE55">
        <v>0.1</v>
      </c>
      <c r="AG55">
        <v>2.0000000000000001E-4</v>
      </c>
      <c r="AH55" t="s">
        <v>48</v>
      </c>
      <c r="AI55" t="s">
        <v>49</v>
      </c>
      <c r="AJ55" t="s">
        <v>110</v>
      </c>
      <c r="AL55">
        <v>8.3800000000000008</v>
      </c>
      <c r="AM55">
        <v>1.5200000000000001E-4</v>
      </c>
      <c r="AN55">
        <v>2.6600000000000001E-4</v>
      </c>
      <c r="AQ55" t="s">
        <v>54</v>
      </c>
    </row>
    <row r="56" spans="1:43" x14ac:dyDescent="0.25">
      <c r="A56" t="s">
        <v>558</v>
      </c>
      <c r="B56" t="s">
        <v>69</v>
      </c>
      <c r="C56">
        <v>155</v>
      </c>
      <c r="D56">
        <v>330</v>
      </c>
      <c r="E56">
        <v>7.1099999999999997E-6</v>
      </c>
      <c r="F56">
        <v>1640</v>
      </c>
      <c r="G56">
        <v>6.7000000000000004E-7</v>
      </c>
      <c r="H56">
        <v>6.6000000000000003E-2</v>
      </c>
      <c r="I56">
        <v>7.6399999999999997E-6</v>
      </c>
      <c r="J56">
        <v>85.1</v>
      </c>
      <c r="K56">
        <v>79</v>
      </c>
      <c r="L56">
        <v>0.79</v>
      </c>
      <c r="M56">
        <v>5.92</v>
      </c>
      <c r="N56">
        <v>3.16</v>
      </c>
      <c r="O56">
        <v>3.37</v>
      </c>
      <c r="P56">
        <v>1</v>
      </c>
      <c r="Q56">
        <v>13.4</v>
      </c>
      <c r="R56">
        <v>17</v>
      </c>
      <c r="S56">
        <v>2.97</v>
      </c>
      <c r="T56">
        <v>2.97</v>
      </c>
      <c r="U56">
        <v>9.48</v>
      </c>
      <c r="V56">
        <v>9.48</v>
      </c>
      <c r="W56">
        <v>5.4799999999999998E-4</v>
      </c>
      <c r="X56">
        <v>2.5999999999999999E-3</v>
      </c>
      <c r="Y56">
        <v>3.15E-3</v>
      </c>
      <c r="AB56">
        <v>6.11</v>
      </c>
      <c r="AG56">
        <v>3.0000000000000001E-5</v>
      </c>
      <c r="AH56" t="s">
        <v>48</v>
      </c>
      <c r="AI56" t="s">
        <v>49</v>
      </c>
      <c r="AJ56" t="s">
        <v>50</v>
      </c>
      <c r="AL56">
        <v>2.97</v>
      </c>
      <c r="AM56">
        <v>1.1000000000000001E-3</v>
      </c>
      <c r="AN56">
        <v>1.92E-3</v>
      </c>
      <c r="AQ56" t="s">
        <v>54</v>
      </c>
    </row>
    <row r="57" spans="1:43" x14ac:dyDescent="0.25">
      <c r="A57" t="s">
        <v>173</v>
      </c>
      <c r="B57" t="s">
        <v>174</v>
      </c>
      <c r="C57">
        <v>113</v>
      </c>
      <c r="D57">
        <v>228</v>
      </c>
      <c r="E57">
        <v>1.5800000000000002E-2</v>
      </c>
      <c r="F57">
        <v>470</v>
      </c>
      <c r="G57">
        <v>3.7000000000000002E-3</v>
      </c>
      <c r="H57">
        <v>7.2999999999999995E-2</v>
      </c>
      <c r="I57">
        <v>8.6999999999999997E-6</v>
      </c>
      <c r="J57">
        <v>631</v>
      </c>
      <c r="K57">
        <v>224</v>
      </c>
      <c r="L57">
        <v>0.44</v>
      </c>
      <c r="M57">
        <v>16.8</v>
      </c>
      <c r="N57">
        <v>8.9600000000000009</v>
      </c>
      <c r="O57">
        <v>1.69</v>
      </c>
      <c r="P57">
        <v>1</v>
      </c>
      <c r="Q57">
        <v>33.299999999999997</v>
      </c>
      <c r="R57">
        <v>75.599999999999994</v>
      </c>
      <c r="S57">
        <v>0.93200000000000005</v>
      </c>
      <c r="T57">
        <v>0.93200000000000005</v>
      </c>
      <c r="U57">
        <v>1.4500000000000001E-2</v>
      </c>
      <c r="V57">
        <v>1.4500000000000001E-2</v>
      </c>
      <c r="W57">
        <v>1.83E-3</v>
      </c>
      <c r="X57">
        <v>8.6800000000000002E-3</v>
      </c>
      <c r="Y57">
        <v>1.0500000000000001E-2</v>
      </c>
      <c r="Z57">
        <v>4.8900000000000002E-3</v>
      </c>
      <c r="AB57">
        <v>28.6</v>
      </c>
      <c r="AE57">
        <v>0.02</v>
      </c>
      <c r="AG57">
        <v>1</v>
      </c>
      <c r="AH57" t="s">
        <v>48</v>
      </c>
      <c r="AI57" t="s">
        <v>49</v>
      </c>
      <c r="AJ57" t="s">
        <v>50</v>
      </c>
      <c r="AL57">
        <v>0.93200000000000005</v>
      </c>
      <c r="AM57">
        <v>3.6600000000000001E-3</v>
      </c>
      <c r="AN57">
        <v>6.4000000000000003E-3</v>
      </c>
      <c r="AQ57" t="s">
        <v>54</v>
      </c>
    </row>
    <row r="58" spans="1:43" x14ac:dyDescent="0.25">
      <c r="A58" t="s">
        <v>175</v>
      </c>
      <c r="B58" t="s">
        <v>176</v>
      </c>
      <c r="C58">
        <v>64.5</v>
      </c>
      <c r="D58">
        <v>133</v>
      </c>
      <c r="E58">
        <v>1.32</v>
      </c>
      <c r="F58">
        <v>5700</v>
      </c>
      <c r="G58">
        <v>8.8000000000000005E-3</v>
      </c>
      <c r="H58">
        <v>0.27100000000000002</v>
      </c>
      <c r="I58">
        <v>1.15E-5</v>
      </c>
      <c r="J58">
        <v>25.1</v>
      </c>
      <c r="K58">
        <v>15.4</v>
      </c>
      <c r="L58">
        <v>3.2000000000000001E-2</v>
      </c>
      <c r="M58">
        <v>1.1499999999999999</v>
      </c>
      <c r="N58">
        <v>0.62</v>
      </c>
      <c r="O58">
        <v>9.0299999999999994</v>
      </c>
      <c r="P58">
        <v>1</v>
      </c>
      <c r="Q58">
        <v>9.09</v>
      </c>
      <c r="R58">
        <v>284</v>
      </c>
      <c r="S58">
        <v>6.01</v>
      </c>
      <c r="T58">
        <v>6.01</v>
      </c>
      <c r="U58">
        <v>1.9699999999999999E-4</v>
      </c>
      <c r="V58">
        <v>1.9699999999999999E-4</v>
      </c>
      <c r="W58">
        <v>2.22E-4</v>
      </c>
      <c r="X58">
        <v>1.0499999999999999E-3</v>
      </c>
      <c r="Y58">
        <v>1.2800000000000001E-3</v>
      </c>
      <c r="Z58">
        <v>0.01</v>
      </c>
      <c r="AB58">
        <v>2.39</v>
      </c>
      <c r="AG58">
        <v>10</v>
      </c>
      <c r="AH58" t="s">
        <v>48</v>
      </c>
      <c r="AI58" t="s">
        <v>49</v>
      </c>
      <c r="AJ58" t="s">
        <v>50</v>
      </c>
      <c r="AL58">
        <v>6.01</v>
      </c>
      <c r="AM58">
        <v>4.44E-4</v>
      </c>
      <c r="AN58">
        <v>7.76E-4</v>
      </c>
      <c r="AQ58" t="s">
        <v>54</v>
      </c>
    </row>
    <row r="59" spans="1:43" x14ac:dyDescent="0.25">
      <c r="A59" t="s">
        <v>177</v>
      </c>
      <c r="B59" t="s">
        <v>178</v>
      </c>
      <c r="C59">
        <v>119</v>
      </c>
      <c r="D59">
        <v>209</v>
      </c>
      <c r="E59">
        <v>0.26300000000000001</v>
      </c>
      <c r="F59">
        <v>7900</v>
      </c>
      <c r="G59">
        <v>3.7000000000000002E-3</v>
      </c>
      <c r="H59">
        <v>0.104</v>
      </c>
      <c r="I59">
        <v>1.0000000000000001E-5</v>
      </c>
      <c r="J59">
        <v>100</v>
      </c>
      <c r="K59">
        <v>52.5</v>
      </c>
      <c r="L59">
        <v>0.08</v>
      </c>
      <c r="M59">
        <v>3.94</v>
      </c>
      <c r="N59">
        <v>2.1</v>
      </c>
      <c r="O59">
        <v>1.41</v>
      </c>
      <c r="P59">
        <v>1</v>
      </c>
      <c r="Q59">
        <v>8.0500000000000007</v>
      </c>
      <c r="R59">
        <v>101</v>
      </c>
      <c r="S59">
        <v>2.7</v>
      </c>
      <c r="T59">
        <v>2.7</v>
      </c>
      <c r="U59">
        <v>2.0400000000000001E-3</v>
      </c>
      <c r="V59">
        <v>2.0400000000000001E-3</v>
      </c>
      <c r="W59">
        <v>6.11E-4</v>
      </c>
      <c r="X59">
        <v>2.8999999999999998E-3</v>
      </c>
      <c r="Y59">
        <v>3.5100000000000001E-3</v>
      </c>
      <c r="Z59">
        <v>7.0699999999999995E-4</v>
      </c>
      <c r="AB59">
        <v>6.92</v>
      </c>
      <c r="AE59">
        <v>0.01</v>
      </c>
      <c r="AF59">
        <v>3.2000000000000001E-2</v>
      </c>
      <c r="AG59">
        <v>0.3</v>
      </c>
      <c r="AH59">
        <v>2.3E-5</v>
      </c>
      <c r="AI59" t="s">
        <v>49</v>
      </c>
      <c r="AJ59" t="s">
        <v>50</v>
      </c>
      <c r="AL59">
        <v>2.7</v>
      </c>
      <c r="AM59">
        <v>1.2199999999999999E-3</v>
      </c>
      <c r="AN59">
        <v>2.14E-3</v>
      </c>
      <c r="AQ59" t="s">
        <v>54</v>
      </c>
    </row>
    <row r="60" spans="1:43" x14ac:dyDescent="0.25">
      <c r="A60" t="s">
        <v>179</v>
      </c>
      <c r="B60" t="s">
        <v>180</v>
      </c>
      <c r="C60">
        <v>163</v>
      </c>
      <c r="D60">
        <v>333</v>
      </c>
      <c r="E60">
        <v>1.0499999999999999E-5</v>
      </c>
      <c r="F60">
        <v>11.7</v>
      </c>
      <c r="G60">
        <v>3.1399999999999999E-4</v>
      </c>
      <c r="H60">
        <v>1E-3</v>
      </c>
      <c r="I60">
        <v>1.0000000000000001E-5</v>
      </c>
      <c r="J60">
        <v>2400</v>
      </c>
      <c r="K60">
        <v>2100</v>
      </c>
      <c r="L60">
        <v>21</v>
      </c>
      <c r="M60">
        <v>158</v>
      </c>
      <c r="N60">
        <v>84.1</v>
      </c>
      <c r="O60">
        <v>5.27</v>
      </c>
      <c r="P60">
        <v>1</v>
      </c>
      <c r="Q60">
        <v>93</v>
      </c>
      <c r="R60">
        <v>4.42</v>
      </c>
      <c r="S60">
        <v>0.43099999999999999</v>
      </c>
      <c r="T60">
        <v>0.43099999999999999</v>
      </c>
      <c r="U60">
        <v>0.70799999999999996</v>
      </c>
      <c r="V60">
        <v>0.70799999999999996</v>
      </c>
      <c r="W60">
        <v>3.3700000000000002E-3</v>
      </c>
      <c r="X60">
        <v>1.6E-2</v>
      </c>
      <c r="Y60">
        <v>1.9400000000000001E-2</v>
      </c>
      <c r="Z60">
        <v>9.3299999999999994E-2</v>
      </c>
      <c r="AB60">
        <v>79.900000000000006</v>
      </c>
      <c r="AC60">
        <v>69.3</v>
      </c>
      <c r="AE60">
        <v>0.08</v>
      </c>
      <c r="AH60" t="s">
        <v>48</v>
      </c>
      <c r="AI60" t="s">
        <v>49</v>
      </c>
      <c r="AJ60" t="s">
        <v>50</v>
      </c>
      <c r="AK60" t="s">
        <v>72</v>
      </c>
      <c r="AL60">
        <v>0.43099999999999999</v>
      </c>
      <c r="AM60">
        <v>6.7400000000000003E-3</v>
      </c>
      <c r="AN60">
        <v>1.18E-2</v>
      </c>
      <c r="AQ60" t="s">
        <v>54</v>
      </c>
    </row>
    <row r="61" spans="1:43" x14ac:dyDescent="0.25">
      <c r="A61" t="s">
        <v>596</v>
      </c>
      <c r="B61" t="s">
        <v>181</v>
      </c>
      <c r="C61">
        <v>88.5</v>
      </c>
      <c r="D61">
        <v>143</v>
      </c>
      <c r="E61">
        <v>0.28399999999999997</v>
      </c>
      <c r="F61">
        <v>875</v>
      </c>
      <c r="G61">
        <v>2.8799999999999999E-2</v>
      </c>
      <c r="H61">
        <v>9.5600000000000004E-2</v>
      </c>
      <c r="I61">
        <v>1.11E-5</v>
      </c>
      <c r="J61">
        <v>339</v>
      </c>
      <c r="K61">
        <v>121</v>
      </c>
      <c r="L61">
        <v>1.21</v>
      </c>
      <c r="M61">
        <v>9.06</v>
      </c>
      <c r="N61">
        <v>4.83</v>
      </c>
      <c r="O61">
        <v>8.43</v>
      </c>
      <c r="P61">
        <v>1</v>
      </c>
      <c r="Q61">
        <v>20.6</v>
      </c>
      <c r="R61">
        <v>17.100000000000001</v>
      </c>
      <c r="S61">
        <v>1.34</v>
      </c>
      <c r="T61">
        <v>1.34</v>
      </c>
      <c r="U61">
        <v>9.6199999999999996E-4</v>
      </c>
      <c r="V61">
        <v>9.6199999999999996E-4</v>
      </c>
      <c r="W61">
        <v>1.2999999999999999E-3</v>
      </c>
      <c r="X61">
        <v>6.1999999999999998E-3</v>
      </c>
      <c r="Y61">
        <v>7.4999999999999997E-3</v>
      </c>
      <c r="AB61">
        <v>17.7</v>
      </c>
      <c r="AG61">
        <v>0.02</v>
      </c>
      <c r="AH61">
        <v>2.9999999999999997E-4</v>
      </c>
      <c r="AI61" t="s">
        <v>49</v>
      </c>
      <c r="AJ61" t="s">
        <v>50</v>
      </c>
      <c r="AL61">
        <v>1.34</v>
      </c>
      <c r="AM61">
        <v>2.6099999999999999E-3</v>
      </c>
      <c r="AN61">
        <v>4.5700000000000003E-3</v>
      </c>
      <c r="AQ61" t="s">
        <v>54</v>
      </c>
    </row>
    <row r="62" spans="1:43" x14ac:dyDescent="0.25">
      <c r="A62" t="s">
        <v>597</v>
      </c>
      <c r="B62" t="s">
        <v>187</v>
      </c>
      <c r="C62">
        <v>52</v>
      </c>
      <c r="D62">
        <v>2170</v>
      </c>
      <c r="E62">
        <v>0</v>
      </c>
      <c r="G62">
        <v>0</v>
      </c>
      <c r="H62">
        <v>0.13600000000000001</v>
      </c>
      <c r="I62">
        <v>1.5800000000000001E-5</v>
      </c>
      <c r="J62">
        <v>0</v>
      </c>
      <c r="L62">
        <v>19</v>
      </c>
      <c r="M62">
        <v>19</v>
      </c>
      <c r="N62">
        <v>19</v>
      </c>
      <c r="O62">
        <v>2.5299999999999999E-6</v>
      </c>
      <c r="P62">
        <v>0</v>
      </c>
      <c r="R62">
        <v>4.4999999999999997E-3</v>
      </c>
      <c r="S62">
        <v>4.8799999999999998E-3</v>
      </c>
      <c r="T62">
        <v>7.4999999999999997E-3</v>
      </c>
      <c r="W62">
        <v>1.5E-3</v>
      </c>
      <c r="X62">
        <v>5.4999999999999997E-3</v>
      </c>
      <c r="AB62">
        <v>3</v>
      </c>
      <c r="AE62">
        <v>1.5</v>
      </c>
      <c r="AH62" t="s">
        <v>48</v>
      </c>
      <c r="AI62" t="s">
        <v>49</v>
      </c>
      <c r="AJ62" t="s">
        <v>110</v>
      </c>
      <c r="AK62" t="s">
        <v>111</v>
      </c>
      <c r="AL62">
        <v>7.4999999999999997E-3</v>
      </c>
      <c r="AQ62" t="s">
        <v>54</v>
      </c>
    </row>
    <row r="63" spans="1:43" x14ac:dyDescent="0.25">
      <c r="A63" t="s">
        <v>711</v>
      </c>
      <c r="B63" t="s">
        <v>189</v>
      </c>
      <c r="C63">
        <v>52</v>
      </c>
      <c r="D63">
        <v>2170</v>
      </c>
      <c r="E63">
        <v>0</v>
      </c>
      <c r="G63">
        <v>0</v>
      </c>
      <c r="H63">
        <v>0.13600000000000001</v>
      </c>
      <c r="I63">
        <v>0</v>
      </c>
      <c r="J63">
        <v>1</v>
      </c>
      <c r="L63">
        <v>19</v>
      </c>
      <c r="M63">
        <v>19</v>
      </c>
      <c r="N63">
        <v>19</v>
      </c>
      <c r="O63">
        <v>2.5299999999999999E-6</v>
      </c>
      <c r="P63">
        <v>0</v>
      </c>
      <c r="R63">
        <v>4.4999999999999997E-3</v>
      </c>
      <c r="S63">
        <v>4.8799999999999998E-3</v>
      </c>
      <c r="T63">
        <v>7.4999999999999997E-3</v>
      </c>
      <c r="W63">
        <v>1.5E-3</v>
      </c>
      <c r="X63">
        <v>5.4999999999999997E-3</v>
      </c>
      <c r="AB63">
        <v>3.16</v>
      </c>
      <c r="AE63">
        <v>3.0000000000000001E-3</v>
      </c>
      <c r="AF63">
        <v>0.5</v>
      </c>
      <c r="AG63">
        <v>7.9999999999999996E-6</v>
      </c>
      <c r="AH63">
        <v>1.2E-2</v>
      </c>
      <c r="AI63" t="s">
        <v>49</v>
      </c>
      <c r="AJ63" t="s">
        <v>110</v>
      </c>
      <c r="AK63" t="s">
        <v>111</v>
      </c>
      <c r="AL63">
        <v>4.4999999999999997E-3</v>
      </c>
      <c r="AQ63" t="s">
        <v>54</v>
      </c>
    </row>
    <row r="64" spans="1:43" x14ac:dyDescent="0.25">
      <c r="A64" t="s">
        <v>190</v>
      </c>
      <c r="B64" t="s">
        <v>191</v>
      </c>
      <c r="C64">
        <v>228</v>
      </c>
      <c r="D64">
        <v>533</v>
      </c>
      <c r="E64">
        <v>8.1600000000000008E-12</v>
      </c>
      <c r="F64">
        <v>6.3E-3</v>
      </c>
      <c r="G64">
        <v>9.5000000000000005E-5</v>
      </c>
      <c r="H64">
        <v>1E-3</v>
      </c>
      <c r="I64">
        <v>1.0000000000000001E-5</v>
      </c>
      <c r="J64">
        <v>501000</v>
      </c>
      <c r="K64">
        <v>401000</v>
      </c>
      <c r="L64">
        <v>60000</v>
      </c>
      <c r="M64">
        <v>30100</v>
      </c>
      <c r="N64">
        <v>16000</v>
      </c>
      <c r="O64">
        <v>0.25</v>
      </c>
      <c r="P64">
        <v>0.74399999999999999</v>
      </c>
      <c r="Q64">
        <v>5690</v>
      </c>
      <c r="R64">
        <v>9.4799999999999995E-2</v>
      </c>
      <c r="S64">
        <v>1.9699999999999999E-2</v>
      </c>
      <c r="T64">
        <v>1.9699999999999999E-2</v>
      </c>
      <c r="U64">
        <v>692</v>
      </c>
      <c r="V64">
        <v>692</v>
      </c>
      <c r="W64">
        <v>8.4100000000000008E-3</v>
      </c>
      <c r="X64">
        <v>3.9899999999999998E-2</v>
      </c>
      <c r="Y64">
        <v>4.8300000000000003E-2</v>
      </c>
      <c r="Z64">
        <v>4.3600000000000003</v>
      </c>
      <c r="AB64">
        <v>4890</v>
      </c>
      <c r="AC64">
        <v>49900</v>
      </c>
      <c r="AF64">
        <v>0.17</v>
      </c>
      <c r="AH64">
        <v>1.8000000000000001E-4</v>
      </c>
      <c r="AI64" t="s">
        <v>49</v>
      </c>
      <c r="AJ64" t="s">
        <v>50</v>
      </c>
      <c r="AK64" t="s">
        <v>72</v>
      </c>
      <c r="AL64">
        <v>1.9699999999999999E-2</v>
      </c>
      <c r="AM64">
        <v>1.6799999999999999E-2</v>
      </c>
      <c r="AN64">
        <v>2.9399999999999999E-2</v>
      </c>
      <c r="AQ64" t="s">
        <v>54</v>
      </c>
    </row>
    <row r="65" spans="1:43" x14ac:dyDescent="0.25">
      <c r="A65" t="s">
        <v>731</v>
      </c>
      <c r="B65" t="s">
        <v>732</v>
      </c>
      <c r="C65">
        <v>242.32</v>
      </c>
      <c r="D65">
        <v>422.4</v>
      </c>
      <c r="E65">
        <v>7.1400000000000002E-10</v>
      </c>
      <c r="F65">
        <v>1.3299999999999999E-2</v>
      </c>
      <c r="G65">
        <v>5.5300000000000004E-6</v>
      </c>
      <c r="H65">
        <v>4.8899999999999999E-2</v>
      </c>
      <c r="I65">
        <v>5.66E-6</v>
      </c>
      <c r="J65">
        <v>1170000</v>
      </c>
      <c r="K65">
        <v>290000</v>
      </c>
      <c r="L65">
        <v>9270</v>
      </c>
      <c r="M65">
        <v>69500</v>
      </c>
      <c r="N65">
        <v>37100</v>
      </c>
      <c r="O65">
        <v>2.11</v>
      </c>
      <c r="P65">
        <v>0.84799999999999998</v>
      </c>
      <c r="Q65">
        <v>11000</v>
      </c>
      <c r="R65">
        <v>1.18</v>
      </c>
      <c r="S65">
        <v>1.2E-2</v>
      </c>
      <c r="T65">
        <v>1.2E-2</v>
      </c>
      <c r="U65">
        <v>125000</v>
      </c>
      <c r="V65">
        <v>125000</v>
      </c>
      <c r="W65">
        <v>7.7499999999999999E-3</v>
      </c>
      <c r="X65">
        <v>3.6799999999999999E-2</v>
      </c>
      <c r="Y65">
        <v>4.4600000000000001E-2</v>
      </c>
      <c r="Z65">
        <v>4.3600000000000003</v>
      </c>
      <c r="AB65">
        <v>764.6</v>
      </c>
      <c r="AC65">
        <v>1002</v>
      </c>
      <c r="AF65">
        <v>1.7</v>
      </c>
      <c r="AH65">
        <v>1.8E-3</v>
      </c>
      <c r="AI65" t="s">
        <v>49</v>
      </c>
      <c r="AJ65" t="s">
        <v>50</v>
      </c>
      <c r="AK65" t="s">
        <v>72</v>
      </c>
      <c r="AL65">
        <v>1.2E-2</v>
      </c>
      <c r="AM65">
        <v>1.55E-2</v>
      </c>
      <c r="AN65">
        <v>2.7099999999999999E-2</v>
      </c>
      <c r="AQ65" t="s">
        <v>54</v>
      </c>
    </row>
    <row r="66" spans="1:43" x14ac:dyDescent="0.25">
      <c r="A66" t="s">
        <v>598</v>
      </c>
      <c r="B66" t="s">
        <v>192</v>
      </c>
      <c r="C66">
        <v>58.9</v>
      </c>
      <c r="D66">
        <v>1770</v>
      </c>
      <c r="E66">
        <v>5.5000000000000004E-12</v>
      </c>
      <c r="F66">
        <v>87500</v>
      </c>
      <c r="G66">
        <v>0</v>
      </c>
      <c r="H66">
        <v>0.126</v>
      </c>
      <c r="I66">
        <v>0</v>
      </c>
      <c r="J66">
        <v>1.7</v>
      </c>
      <c r="K66">
        <v>13.2</v>
      </c>
      <c r="M66">
        <v>0.98999999999999988</v>
      </c>
      <c r="N66">
        <v>0.52800000000000002</v>
      </c>
      <c r="O66">
        <v>2.5299999999999999E-6</v>
      </c>
      <c r="P66">
        <v>0</v>
      </c>
      <c r="R66">
        <v>7.0000000000000001E-3</v>
      </c>
      <c r="T66">
        <v>0.02</v>
      </c>
      <c r="U66">
        <v>0.02</v>
      </c>
      <c r="V66">
        <v>0.02</v>
      </c>
      <c r="X66">
        <v>0.02</v>
      </c>
      <c r="AB66">
        <v>0.98119999999999996</v>
      </c>
      <c r="AC66">
        <v>0.98119999999999996</v>
      </c>
      <c r="AE66">
        <v>2.9999999999999997E-4</v>
      </c>
      <c r="AG66">
        <v>6.0000000000000002E-6</v>
      </c>
      <c r="AH66">
        <v>8.9999999999999993E-3</v>
      </c>
      <c r="AI66" t="s">
        <v>49</v>
      </c>
      <c r="AJ66" t="s">
        <v>110</v>
      </c>
      <c r="AK66" t="s">
        <v>111</v>
      </c>
      <c r="AQ66" t="s">
        <v>54</v>
      </c>
    </row>
    <row r="67" spans="1:43" x14ac:dyDescent="0.25">
      <c r="A67" t="s">
        <v>599</v>
      </c>
      <c r="B67" t="s">
        <v>193</v>
      </c>
      <c r="C67">
        <v>64</v>
      </c>
      <c r="D67">
        <v>1370</v>
      </c>
      <c r="E67">
        <v>0</v>
      </c>
      <c r="F67">
        <v>10000</v>
      </c>
      <c r="G67">
        <v>0</v>
      </c>
      <c r="H67">
        <v>0.11899999999999999</v>
      </c>
      <c r="I67">
        <v>0</v>
      </c>
      <c r="J67">
        <v>0.26900000000000002</v>
      </c>
      <c r="K67">
        <v>13.2</v>
      </c>
      <c r="M67">
        <v>0.98999999999999988</v>
      </c>
      <c r="N67">
        <v>0.52800000000000002</v>
      </c>
      <c r="O67">
        <v>2.5299999999999999E-6</v>
      </c>
      <c r="P67">
        <v>0</v>
      </c>
      <c r="AB67" t="s">
        <v>63</v>
      </c>
      <c r="AH67" t="s">
        <v>48</v>
      </c>
      <c r="AI67" t="s">
        <v>49</v>
      </c>
      <c r="AJ67" t="s">
        <v>110</v>
      </c>
      <c r="AK67" t="s">
        <v>111</v>
      </c>
      <c r="AQ67" t="s">
        <v>54</v>
      </c>
    </row>
    <row r="68" spans="1:43" x14ac:dyDescent="0.25">
      <c r="A68" t="s">
        <v>600</v>
      </c>
      <c r="B68" t="s">
        <v>195</v>
      </c>
      <c r="C68">
        <v>109</v>
      </c>
      <c r="D68">
        <v>294</v>
      </c>
      <c r="E68">
        <v>2.24E-4</v>
      </c>
      <c r="F68">
        <v>9070</v>
      </c>
      <c r="G68">
        <v>2.6900000000000001E-6</v>
      </c>
      <c r="H68">
        <v>8.3199999999999996E-2</v>
      </c>
      <c r="I68">
        <v>9.6299999999999993E-6</v>
      </c>
      <c r="J68">
        <v>89.1</v>
      </c>
      <c r="K68">
        <v>82.6</v>
      </c>
      <c r="L68">
        <v>0.82599999999999996</v>
      </c>
      <c r="M68">
        <v>6.2</v>
      </c>
      <c r="N68">
        <v>3.31</v>
      </c>
      <c r="O68">
        <v>8.43</v>
      </c>
      <c r="P68">
        <v>1</v>
      </c>
      <c r="Q68">
        <v>13.7</v>
      </c>
      <c r="R68">
        <v>16.600000000000001</v>
      </c>
      <c r="S68">
        <v>2.89</v>
      </c>
      <c r="T68">
        <v>2.89</v>
      </c>
      <c r="U68">
        <v>2.48</v>
      </c>
      <c r="V68">
        <v>2.48</v>
      </c>
      <c r="W68">
        <v>5.6499999999999996E-4</v>
      </c>
      <c r="X68">
        <v>2.6800000000000001E-3</v>
      </c>
      <c r="Y68">
        <v>3.2499999999999999E-3</v>
      </c>
      <c r="AB68">
        <v>6.33</v>
      </c>
      <c r="AG68">
        <v>0.6</v>
      </c>
      <c r="AH68" t="s">
        <v>48</v>
      </c>
      <c r="AI68" t="s">
        <v>49</v>
      </c>
      <c r="AJ68" t="s">
        <v>50</v>
      </c>
      <c r="AL68">
        <v>2.89</v>
      </c>
      <c r="AM68">
        <v>1.1299999999999999E-3</v>
      </c>
      <c r="AN68">
        <v>1.98E-3</v>
      </c>
      <c r="AQ68" t="s">
        <v>54</v>
      </c>
    </row>
    <row r="69" spans="1:43" x14ac:dyDescent="0.25">
      <c r="A69" t="s">
        <v>204</v>
      </c>
      <c r="B69" t="s">
        <v>205</v>
      </c>
      <c r="C69">
        <v>120</v>
      </c>
      <c r="D69">
        <v>177</v>
      </c>
      <c r="E69">
        <v>5.9199999999999999E-3</v>
      </c>
      <c r="F69">
        <v>61</v>
      </c>
      <c r="G69">
        <v>1.2</v>
      </c>
      <c r="H69">
        <v>6.5000000000000002E-2</v>
      </c>
      <c r="I69">
        <v>7.0999999999999998E-6</v>
      </c>
      <c r="J69">
        <v>5010</v>
      </c>
      <c r="K69">
        <v>1020</v>
      </c>
      <c r="L69">
        <v>600</v>
      </c>
      <c r="M69">
        <v>76.5</v>
      </c>
      <c r="N69">
        <v>40.799999999999997</v>
      </c>
      <c r="O69">
        <v>31.6</v>
      </c>
      <c r="P69">
        <v>1</v>
      </c>
      <c r="Q69">
        <v>164</v>
      </c>
      <c r="R69">
        <v>0.27300000000000002</v>
      </c>
      <c r="S69">
        <v>0.28100000000000003</v>
      </c>
      <c r="T69">
        <v>0.28100000000000003</v>
      </c>
      <c r="U69">
        <v>4.06E-4</v>
      </c>
      <c r="V69">
        <v>4.06E-4</v>
      </c>
      <c r="W69">
        <v>4.4200000000000003E-3</v>
      </c>
      <c r="X69">
        <v>2.1000000000000001E-2</v>
      </c>
      <c r="Y69">
        <v>2.5399999999999999E-2</v>
      </c>
      <c r="Z69">
        <v>3.2599999999999997E-2</v>
      </c>
      <c r="AB69">
        <v>141</v>
      </c>
      <c r="AE69">
        <v>0.1</v>
      </c>
      <c r="AG69">
        <v>0.4</v>
      </c>
      <c r="AH69" t="s">
        <v>48</v>
      </c>
      <c r="AI69" t="s">
        <v>49</v>
      </c>
      <c r="AJ69" t="s">
        <v>50</v>
      </c>
      <c r="AL69">
        <v>0.28100000000000003</v>
      </c>
      <c r="AM69">
        <v>8.8500000000000002E-3</v>
      </c>
      <c r="AN69">
        <v>1.55E-2</v>
      </c>
      <c r="AQ69" t="s">
        <v>54</v>
      </c>
    </row>
    <row r="70" spans="1:43" x14ac:dyDescent="0.25">
      <c r="A70" t="s">
        <v>601</v>
      </c>
      <c r="B70" t="s">
        <v>206</v>
      </c>
      <c r="C70">
        <v>26.02</v>
      </c>
      <c r="E70">
        <v>0.40799999999999997</v>
      </c>
      <c r="F70">
        <v>95400</v>
      </c>
      <c r="G70">
        <v>2.4E-2</v>
      </c>
      <c r="H70">
        <v>1E-3</v>
      </c>
      <c r="I70">
        <v>1.0000000000000001E-5</v>
      </c>
      <c r="J70">
        <v>0.20417379399999999</v>
      </c>
      <c r="K70">
        <v>0.34</v>
      </c>
      <c r="L70">
        <v>9.9</v>
      </c>
      <c r="M70">
        <v>0.03</v>
      </c>
      <c r="N70">
        <v>1.4E-2</v>
      </c>
      <c r="P70">
        <v>1</v>
      </c>
      <c r="Q70">
        <v>6.39</v>
      </c>
      <c r="R70">
        <v>0.64600000000000002</v>
      </c>
      <c r="S70">
        <v>8.3800000000000008</v>
      </c>
      <c r="T70">
        <v>8.3800000000000008</v>
      </c>
      <c r="U70">
        <v>4.2899999999999999E-7</v>
      </c>
      <c r="V70">
        <v>4.2899999999999999E-7</v>
      </c>
      <c r="W70">
        <v>1.9099999999999999E-6</v>
      </c>
      <c r="X70">
        <v>9.0699999999999996E-6</v>
      </c>
      <c r="Y70">
        <v>1.1E-5</v>
      </c>
      <c r="AB70">
        <v>3.16</v>
      </c>
      <c r="AE70">
        <v>5.9999999999999995E-4</v>
      </c>
      <c r="AG70">
        <v>3.0000000000000001E-3</v>
      </c>
      <c r="AH70" t="s">
        <v>48</v>
      </c>
      <c r="AI70" t="s">
        <v>49</v>
      </c>
      <c r="AJ70" t="s">
        <v>50</v>
      </c>
      <c r="AL70">
        <v>8.3800000000000008</v>
      </c>
      <c r="AM70">
        <v>3.8199999999999998E-6</v>
      </c>
      <c r="AN70">
        <v>6.6800000000000004E-6</v>
      </c>
      <c r="AQ70" t="s">
        <v>54</v>
      </c>
    </row>
    <row r="71" spans="1:43" x14ac:dyDescent="0.25">
      <c r="A71" t="s">
        <v>488</v>
      </c>
      <c r="B71" t="s">
        <v>489</v>
      </c>
      <c r="C71">
        <v>84.16</v>
      </c>
      <c r="D71">
        <v>191.28</v>
      </c>
      <c r="E71">
        <v>0.123</v>
      </c>
      <c r="F71">
        <v>43.02</v>
      </c>
      <c r="G71">
        <v>0.255</v>
      </c>
      <c r="H71">
        <v>0.08</v>
      </c>
      <c r="I71">
        <v>9.1099999999999992E-6</v>
      </c>
      <c r="J71">
        <v>1513.6</v>
      </c>
      <c r="K71">
        <v>145.80000000000001</v>
      </c>
      <c r="M71">
        <v>10.935</v>
      </c>
      <c r="N71">
        <v>5.8320000000000007</v>
      </c>
      <c r="P71">
        <v>1</v>
      </c>
      <c r="U71">
        <v>0.38900000000000001</v>
      </c>
      <c r="V71">
        <v>0.38900000000000001</v>
      </c>
      <c r="W71">
        <v>2.1800000000000001E-5</v>
      </c>
      <c r="X71">
        <v>6.8899999999999994E-5</v>
      </c>
      <c r="AB71">
        <v>0.83</v>
      </c>
    </row>
    <row r="72" spans="1:43" x14ac:dyDescent="0.25">
      <c r="A72" t="s">
        <v>522</v>
      </c>
      <c r="B72" t="s">
        <v>523</v>
      </c>
      <c r="C72">
        <v>498.66</v>
      </c>
      <c r="D72">
        <v>473.37</v>
      </c>
      <c r="E72">
        <v>1.3400000000000001E-13</v>
      </c>
      <c r="F72">
        <v>6.3200000000000005E-5</v>
      </c>
      <c r="G72">
        <v>1.9999999999999999E-6</v>
      </c>
      <c r="J72">
        <v>186000000</v>
      </c>
      <c r="K72">
        <v>440000</v>
      </c>
      <c r="M72">
        <v>33000</v>
      </c>
      <c r="N72">
        <v>17600</v>
      </c>
      <c r="P72">
        <v>0.98740000000000006</v>
      </c>
      <c r="AK72" t="s">
        <v>65</v>
      </c>
    </row>
    <row r="73" spans="1:43" x14ac:dyDescent="0.25">
      <c r="A73" t="s">
        <v>609</v>
      </c>
      <c r="B73" t="s">
        <v>207</v>
      </c>
      <c r="C73">
        <v>278</v>
      </c>
      <c r="D73">
        <v>543</v>
      </c>
      <c r="E73">
        <v>1.3199999999999999E-13</v>
      </c>
      <c r="F73">
        <v>2.5000000000000001E-3</v>
      </c>
      <c r="G73">
        <v>1.4999999999999999E-8</v>
      </c>
      <c r="H73">
        <v>1E-3</v>
      </c>
      <c r="I73">
        <v>1.0000000000000001E-5</v>
      </c>
      <c r="J73">
        <v>3160000</v>
      </c>
      <c r="K73">
        <v>1790000</v>
      </c>
      <c r="L73">
        <v>580000</v>
      </c>
      <c r="M73">
        <v>134000</v>
      </c>
      <c r="N73">
        <v>71600</v>
      </c>
      <c r="O73">
        <v>0.27</v>
      </c>
      <c r="P73">
        <v>5.5E-2</v>
      </c>
      <c r="Q73">
        <v>23500</v>
      </c>
      <c r="R73">
        <v>4.0500000000000001E-2</v>
      </c>
      <c r="S73">
        <v>6.7799999999999996E-3</v>
      </c>
      <c r="T73">
        <v>6.7799999999999996E-3</v>
      </c>
      <c r="U73">
        <v>31200000</v>
      </c>
      <c r="V73">
        <v>31200000</v>
      </c>
      <c r="W73">
        <v>6.5199999999999998E-3</v>
      </c>
      <c r="X73">
        <v>3.1E-2</v>
      </c>
      <c r="Y73">
        <v>3.7499999999999999E-2</v>
      </c>
      <c r="Z73">
        <v>28</v>
      </c>
      <c r="AB73">
        <v>20200</v>
      </c>
      <c r="AC73">
        <v>497000</v>
      </c>
      <c r="AF73">
        <v>17</v>
      </c>
      <c r="AH73">
        <v>1.7999999999999999E-2</v>
      </c>
      <c r="AI73" t="s">
        <v>49</v>
      </c>
      <c r="AJ73" t="s">
        <v>50</v>
      </c>
      <c r="AK73" t="s">
        <v>72</v>
      </c>
      <c r="AL73">
        <v>6.7799999999999996E-3</v>
      </c>
      <c r="AM73">
        <v>1.2999999999999999E-2</v>
      </c>
      <c r="AN73">
        <v>2.2800000000000001E-2</v>
      </c>
      <c r="AQ73" t="s">
        <v>54</v>
      </c>
    </row>
    <row r="74" spans="1:43" x14ac:dyDescent="0.25">
      <c r="A74" t="s">
        <v>602</v>
      </c>
      <c r="B74" t="s">
        <v>209</v>
      </c>
      <c r="C74">
        <v>302.38</v>
      </c>
      <c r="D74">
        <v>489.15</v>
      </c>
      <c r="E74">
        <v>9.2999999999999995E-14</v>
      </c>
      <c r="F74">
        <v>2.4000000000000001E-4</v>
      </c>
      <c r="G74">
        <v>1.4E-8</v>
      </c>
      <c r="H74">
        <v>4.2200000000000001E-2</v>
      </c>
      <c r="I74">
        <v>4.9300000000000002E-6</v>
      </c>
      <c r="J74">
        <v>19054607.18</v>
      </c>
      <c r="K74">
        <v>4910000</v>
      </c>
      <c r="L74">
        <v>49100</v>
      </c>
      <c r="M74">
        <v>368250</v>
      </c>
      <c r="N74">
        <v>196400</v>
      </c>
      <c r="O74">
        <v>0.48</v>
      </c>
      <c r="P74">
        <v>1.2E-2</v>
      </c>
      <c r="Q74">
        <v>93682.106530000005</v>
      </c>
      <c r="R74">
        <v>1.9079858759999999</v>
      </c>
      <c r="S74">
        <v>2.399717E-3</v>
      </c>
      <c r="T74">
        <v>2.399717E-3</v>
      </c>
      <c r="U74">
        <v>226192136.59999999</v>
      </c>
      <c r="V74">
        <v>226192136.59999999</v>
      </c>
      <c r="W74">
        <v>3.8443100000000001E-3</v>
      </c>
      <c r="X74">
        <v>1.8260472E-2</v>
      </c>
      <c r="Y74">
        <v>2.2104782E-2</v>
      </c>
      <c r="Z74">
        <v>3.79</v>
      </c>
      <c r="AB74">
        <v>26693.160639999998</v>
      </c>
      <c r="AC74">
        <v>133000</v>
      </c>
      <c r="AF74">
        <v>0.68</v>
      </c>
      <c r="AH74">
        <v>7.2000000000000005E-4</v>
      </c>
      <c r="AI74" t="s">
        <v>49</v>
      </c>
      <c r="AK74" t="s">
        <v>72</v>
      </c>
      <c r="AL74">
        <v>1.32E-2</v>
      </c>
      <c r="AM74">
        <v>1.5800000000000002E-2</v>
      </c>
      <c r="AN74">
        <v>2.7699999999999999E-2</v>
      </c>
      <c r="AQ74" t="s">
        <v>54</v>
      </c>
    </row>
    <row r="75" spans="1:43" x14ac:dyDescent="0.25">
      <c r="A75" t="s">
        <v>603</v>
      </c>
      <c r="B75" t="s">
        <v>552</v>
      </c>
      <c r="C75">
        <v>279.33999999999997</v>
      </c>
      <c r="D75">
        <v>469</v>
      </c>
      <c r="E75">
        <v>1.04E-12</v>
      </c>
      <c r="F75">
        <v>1.6E-2</v>
      </c>
      <c r="G75">
        <v>427000</v>
      </c>
      <c r="H75">
        <v>4.4499999999999998E-2</v>
      </c>
      <c r="I75">
        <v>5.2000000000000002E-6</v>
      </c>
      <c r="J75">
        <v>537000</v>
      </c>
      <c r="K75">
        <v>1910000</v>
      </c>
      <c r="L75">
        <v>939</v>
      </c>
      <c r="M75">
        <v>143250</v>
      </c>
      <c r="N75">
        <v>76400</v>
      </c>
      <c r="O75">
        <v>0.48</v>
      </c>
      <c r="P75">
        <v>0.122</v>
      </c>
      <c r="Q75">
        <v>5394.5676999999996</v>
      </c>
      <c r="R75">
        <v>5.7450135250000001</v>
      </c>
      <c r="S75">
        <v>2.0452199000000001E-2</v>
      </c>
      <c r="T75">
        <v>2.0452199000000001E-2</v>
      </c>
      <c r="U75">
        <v>1.83E-2</v>
      </c>
      <c r="V75">
        <v>3.6600000000000001E-3</v>
      </c>
      <c r="W75">
        <v>4.2399999999999998E-3</v>
      </c>
      <c r="X75">
        <v>1.34E-2</v>
      </c>
      <c r="Y75">
        <v>4.5499999999999999E-2</v>
      </c>
      <c r="Z75">
        <v>10.7</v>
      </c>
      <c r="AB75">
        <v>107</v>
      </c>
      <c r="AC75">
        <v>133000</v>
      </c>
      <c r="AH75">
        <v>1.8000000000000001E-4</v>
      </c>
      <c r="AJ75" t="s">
        <v>50</v>
      </c>
      <c r="AK75" t="s">
        <v>72</v>
      </c>
      <c r="AL75">
        <v>1.32E-2</v>
      </c>
      <c r="AM75">
        <v>1.5800000000000002E-2</v>
      </c>
      <c r="AN75">
        <v>2.7699999999999999E-2</v>
      </c>
    </row>
    <row r="76" spans="1:43" x14ac:dyDescent="0.25">
      <c r="A76" t="s">
        <v>604</v>
      </c>
      <c r="B76" t="s">
        <v>211</v>
      </c>
      <c r="C76">
        <v>302.38</v>
      </c>
      <c r="D76">
        <v>489.15</v>
      </c>
      <c r="E76">
        <v>8.4399999999999999E-15</v>
      </c>
      <c r="F76">
        <v>5.5400000000000002E-4</v>
      </c>
      <c r="G76">
        <v>1.4100000000000001E-8</v>
      </c>
      <c r="H76">
        <v>4.2200000000000001E-2</v>
      </c>
      <c r="I76">
        <v>4.9300000000000002E-6</v>
      </c>
      <c r="J76">
        <v>19054607.18</v>
      </c>
      <c r="K76">
        <v>2080000</v>
      </c>
      <c r="L76">
        <v>20800</v>
      </c>
      <c r="M76">
        <v>156000</v>
      </c>
      <c r="N76">
        <v>83200</v>
      </c>
      <c r="O76">
        <v>0.48</v>
      </c>
      <c r="P76">
        <v>1.1000000000000001E-3</v>
      </c>
      <c r="Q76">
        <v>93682.106530000005</v>
      </c>
      <c r="R76">
        <v>4.5039474290000001</v>
      </c>
      <c r="S76">
        <v>2.399717E-3</v>
      </c>
      <c r="T76">
        <v>2.399717E-3</v>
      </c>
      <c r="U76">
        <v>224587937</v>
      </c>
      <c r="V76">
        <v>224587937</v>
      </c>
      <c r="W76">
        <v>3.8443100000000001E-3</v>
      </c>
      <c r="X76">
        <v>1.8260472E-2</v>
      </c>
      <c r="Y76">
        <v>2.2104782E-2</v>
      </c>
      <c r="Z76">
        <v>10.7</v>
      </c>
      <c r="AB76">
        <v>26693.160639999998</v>
      </c>
      <c r="AC76">
        <v>133000</v>
      </c>
      <c r="AF76">
        <v>1.5</v>
      </c>
      <c r="AH76">
        <v>1.6000000000000001E-3</v>
      </c>
      <c r="AI76" t="s">
        <v>49</v>
      </c>
      <c r="AK76" t="s">
        <v>72</v>
      </c>
      <c r="AL76">
        <v>1.32E-2</v>
      </c>
      <c r="AM76">
        <v>1.5800000000000002E-2</v>
      </c>
      <c r="AN76">
        <v>2.7699999999999999E-2</v>
      </c>
      <c r="AQ76" t="s">
        <v>54</v>
      </c>
    </row>
    <row r="77" spans="1:43" x14ac:dyDescent="0.25">
      <c r="A77" t="s">
        <v>605</v>
      </c>
      <c r="B77" t="s">
        <v>213</v>
      </c>
      <c r="C77">
        <v>302.38</v>
      </c>
      <c r="D77">
        <v>489.15</v>
      </c>
      <c r="E77">
        <v>8.3999999999999992E-15</v>
      </c>
      <c r="F77">
        <v>5.5400000000000002E-4</v>
      </c>
      <c r="G77">
        <v>1.4100000000000001E-8</v>
      </c>
      <c r="H77">
        <v>4.2200000000000001E-2</v>
      </c>
      <c r="I77">
        <v>4.9300000000000002E-6</v>
      </c>
      <c r="J77">
        <v>19054607.18</v>
      </c>
      <c r="K77">
        <v>2080000</v>
      </c>
      <c r="L77">
        <v>20800</v>
      </c>
      <c r="M77">
        <v>156000</v>
      </c>
      <c r="N77">
        <v>83200</v>
      </c>
      <c r="O77">
        <v>0.48</v>
      </c>
      <c r="P77">
        <v>1.1000000000000001E-3</v>
      </c>
      <c r="Q77">
        <v>93682.106530000005</v>
      </c>
      <c r="R77">
        <v>4.5039474290000001</v>
      </c>
      <c r="S77">
        <v>2.399717E-3</v>
      </c>
      <c r="T77">
        <v>2.399717E-3</v>
      </c>
      <c r="U77">
        <v>224587937</v>
      </c>
      <c r="V77">
        <v>224587937</v>
      </c>
      <c r="W77">
        <v>3.8443100000000001E-3</v>
      </c>
      <c r="X77">
        <v>1.8260472E-2</v>
      </c>
      <c r="Y77">
        <v>2.2104782E-2</v>
      </c>
      <c r="Z77">
        <v>10.7</v>
      </c>
      <c r="AB77">
        <v>26693.160639999998</v>
      </c>
      <c r="AC77">
        <v>133000</v>
      </c>
      <c r="AF77">
        <v>1</v>
      </c>
      <c r="AH77">
        <v>5.3999999999999999E-2</v>
      </c>
      <c r="AI77" t="s">
        <v>49</v>
      </c>
      <c r="AK77" t="s">
        <v>72</v>
      </c>
      <c r="AL77">
        <v>1.32E-2</v>
      </c>
      <c r="AM77">
        <v>1.5800000000000002E-2</v>
      </c>
      <c r="AN77">
        <v>2.7699999999999999E-2</v>
      </c>
      <c r="AQ77" t="s">
        <v>54</v>
      </c>
    </row>
    <row r="78" spans="1:43" x14ac:dyDescent="0.25">
      <c r="A78" t="s">
        <v>606</v>
      </c>
      <c r="B78" t="s">
        <v>215</v>
      </c>
      <c r="C78">
        <v>279.33999999999997</v>
      </c>
      <c r="D78">
        <v>468.15</v>
      </c>
      <c r="E78">
        <v>9.9999999999999998E-13</v>
      </c>
      <c r="F78">
        <v>1.6E-2</v>
      </c>
      <c r="G78">
        <v>1.9000000000000001E-9</v>
      </c>
      <c r="H78">
        <v>4.4499999999999998E-2</v>
      </c>
      <c r="I78">
        <v>5.2000000000000002E-6</v>
      </c>
      <c r="J78">
        <v>467735.14130000002</v>
      </c>
      <c r="K78">
        <v>93900</v>
      </c>
      <c r="L78">
        <v>939</v>
      </c>
      <c r="M78">
        <v>7042.5</v>
      </c>
      <c r="N78">
        <v>3756</v>
      </c>
      <c r="O78">
        <v>0.48</v>
      </c>
      <c r="P78">
        <v>7.4800000000000005E-2</v>
      </c>
      <c r="Q78">
        <v>5394.5676999999996</v>
      </c>
      <c r="R78">
        <v>5.7450135250000001</v>
      </c>
      <c r="S78">
        <v>2.0452199000000001E-2</v>
      </c>
      <c r="T78">
        <v>2.0452199000000001E-2</v>
      </c>
      <c r="U78">
        <v>32151551.690000001</v>
      </c>
      <c r="V78">
        <v>32151551.690000001</v>
      </c>
      <c r="W78">
        <v>8.4375990000000005E-3</v>
      </c>
      <c r="X78">
        <v>4.0078596000000001E-2</v>
      </c>
      <c r="Y78">
        <v>4.8516194999999998E-2</v>
      </c>
      <c r="Z78">
        <v>10.7</v>
      </c>
      <c r="AB78">
        <v>4633.4021940000002</v>
      </c>
      <c r="AC78">
        <v>133000</v>
      </c>
      <c r="AF78">
        <v>0.17</v>
      </c>
      <c r="AH78">
        <v>1.8000000000000001E-4</v>
      </c>
      <c r="AI78" t="s">
        <v>49</v>
      </c>
      <c r="AJ78" t="s">
        <v>50</v>
      </c>
      <c r="AK78" t="s">
        <v>72</v>
      </c>
      <c r="AL78">
        <v>1.32E-2</v>
      </c>
      <c r="AM78">
        <v>1.5800000000000002E-2</v>
      </c>
      <c r="AN78">
        <v>2.7699999999999999E-2</v>
      </c>
      <c r="AQ78" t="s">
        <v>54</v>
      </c>
    </row>
    <row r="79" spans="1:43" x14ac:dyDescent="0.25">
      <c r="A79" t="s">
        <v>607</v>
      </c>
      <c r="B79" t="s">
        <v>217</v>
      </c>
      <c r="C79">
        <v>302.27999999999997</v>
      </c>
      <c r="D79">
        <v>498.15</v>
      </c>
      <c r="E79">
        <v>9.2999999999999995E-14</v>
      </c>
      <c r="F79">
        <v>2.4000000000000001E-4</v>
      </c>
      <c r="G79">
        <v>1.4100000000000001E-8</v>
      </c>
      <c r="H79">
        <v>4.2200000000000001E-2</v>
      </c>
      <c r="I79">
        <v>4.9300000000000002E-6</v>
      </c>
      <c r="J79">
        <v>19054607.18</v>
      </c>
      <c r="K79">
        <v>4910000</v>
      </c>
      <c r="L79">
        <v>49100</v>
      </c>
      <c r="M79">
        <v>368250</v>
      </c>
      <c r="N79">
        <v>196400</v>
      </c>
      <c r="O79">
        <v>0.48</v>
      </c>
      <c r="P79">
        <v>1.2E-2</v>
      </c>
      <c r="Q79">
        <v>93682.106530000005</v>
      </c>
      <c r="R79">
        <v>1.9079858759999999</v>
      </c>
      <c r="S79">
        <v>2.399717E-3</v>
      </c>
      <c r="T79">
        <v>2.399717E-3</v>
      </c>
      <c r="U79">
        <v>224587937</v>
      </c>
      <c r="V79">
        <v>224587937</v>
      </c>
      <c r="W79">
        <v>3.8443100000000001E-3</v>
      </c>
      <c r="X79">
        <v>1.8260472E-2</v>
      </c>
      <c r="Y79">
        <v>2.2104782E-2</v>
      </c>
      <c r="Z79">
        <v>10.7</v>
      </c>
      <c r="AB79">
        <v>26693.160639999998</v>
      </c>
      <c r="AC79">
        <v>133000</v>
      </c>
      <c r="AF79">
        <v>51</v>
      </c>
      <c r="AH79">
        <v>5.3999999999999999E-2</v>
      </c>
      <c r="AI79" t="s">
        <v>49</v>
      </c>
      <c r="AK79" t="s">
        <v>72</v>
      </c>
      <c r="AL79">
        <v>1.32E-2</v>
      </c>
      <c r="AM79">
        <v>1.5800000000000002E-2</v>
      </c>
      <c r="AN79">
        <v>2.7699999999999999E-2</v>
      </c>
      <c r="AQ79" t="s">
        <v>54</v>
      </c>
    </row>
    <row r="80" spans="1:43" x14ac:dyDescent="0.25">
      <c r="A80" t="s">
        <v>608</v>
      </c>
      <c r="B80" t="s">
        <v>553</v>
      </c>
      <c r="C80">
        <v>267.33</v>
      </c>
      <c r="D80">
        <v>470.51</v>
      </c>
      <c r="E80">
        <v>4.4499999999999998E-12</v>
      </c>
      <c r="F80">
        <v>5.0270000000000002E-3</v>
      </c>
      <c r="G80">
        <v>8.2400000000000005E-10</v>
      </c>
      <c r="H80">
        <v>4.58E-2</v>
      </c>
      <c r="I80">
        <v>5.3499999999999996E-6</v>
      </c>
      <c r="J80">
        <v>380000</v>
      </c>
      <c r="K80">
        <v>358000</v>
      </c>
      <c r="L80">
        <v>160000</v>
      </c>
      <c r="M80">
        <v>26850</v>
      </c>
      <c r="N80">
        <v>14320</v>
      </c>
      <c r="O80">
        <v>0.48</v>
      </c>
      <c r="P80">
        <v>0.93500000000000005</v>
      </c>
      <c r="Q80">
        <v>9680</v>
      </c>
      <c r="R80">
        <v>6.0499999999999998E-2</v>
      </c>
      <c r="S80">
        <v>1.32E-2</v>
      </c>
      <c r="T80">
        <v>1.32E-2</v>
      </c>
      <c r="U80">
        <v>7.4700000000000001E-3</v>
      </c>
      <c r="V80">
        <v>7.4700000000000001E-3</v>
      </c>
      <c r="W80">
        <v>1.9800000000000002E-2</v>
      </c>
      <c r="X80">
        <v>6.2799999999999995E-2</v>
      </c>
      <c r="Y80">
        <v>4.5499999999999999E-2</v>
      </c>
      <c r="Z80">
        <v>10.7</v>
      </c>
      <c r="AB80">
        <v>7760</v>
      </c>
      <c r="AC80">
        <v>133000</v>
      </c>
      <c r="AH80">
        <v>1.8E-3</v>
      </c>
      <c r="AJ80" t="s">
        <v>50</v>
      </c>
      <c r="AK80" t="s">
        <v>72</v>
      </c>
      <c r="AL80">
        <v>1.32E-2</v>
      </c>
      <c r="AM80">
        <v>1.5800000000000002E-2</v>
      </c>
      <c r="AN80">
        <v>2.7699999999999999E-2</v>
      </c>
    </row>
    <row r="81" spans="1:43" x14ac:dyDescent="0.25">
      <c r="A81" t="s">
        <v>583</v>
      </c>
      <c r="B81" t="s">
        <v>218</v>
      </c>
      <c r="C81">
        <v>168.19</v>
      </c>
      <c r="D81">
        <v>359.5</v>
      </c>
      <c r="E81">
        <v>3.2600000000000001E-6</v>
      </c>
      <c r="F81">
        <v>3.1</v>
      </c>
      <c r="G81">
        <v>1.7699999999999999E-4</v>
      </c>
      <c r="H81">
        <v>6.2399999999999997E-2</v>
      </c>
      <c r="I81">
        <v>7.2200000000000003E-6</v>
      </c>
      <c r="J81">
        <v>13182.56739</v>
      </c>
      <c r="K81">
        <v>11226.386759999999</v>
      </c>
      <c r="L81">
        <v>112.2638676</v>
      </c>
      <c r="M81">
        <v>841.97900730000003</v>
      </c>
      <c r="N81">
        <v>449.05547050000001</v>
      </c>
      <c r="P81">
        <v>0.99981751799999996</v>
      </c>
      <c r="Q81">
        <v>345.50683859999998</v>
      </c>
      <c r="R81">
        <v>3.0776317070000001</v>
      </c>
      <c r="S81">
        <v>0.16093110699999999</v>
      </c>
      <c r="T81">
        <v>0.16093110699999999</v>
      </c>
      <c r="U81">
        <v>7.7187942019999998</v>
      </c>
      <c r="V81">
        <v>7.7187942019999998</v>
      </c>
      <c r="W81">
        <v>5.8900000000000003E-3</v>
      </c>
      <c r="X81">
        <v>2.8000000000000001E-2</v>
      </c>
      <c r="Y81">
        <v>3.39E-2</v>
      </c>
      <c r="AB81">
        <v>296.75633590000001</v>
      </c>
      <c r="AC81">
        <v>471.93163070000003</v>
      </c>
      <c r="AE81">
        <v>1E-3</v>
      </c>
      <c r="AH81" t="s">
        <v>48</v>
      </c>
      <c r="AI81" t="s">
        <v>49</v>
      </c>
      <c r="AJ81" t="s">
        <v>50</v>
      </c>
      <c r="AK81" t="s">
        <v>219</v>
      </c>
      <c r="AL81">
        <v>0.16093110699999999</v>
      </c>
      <c r="AM81">
        <v>1.18E-2</v>
      </c>
      <c r="AN81">
        <v>2.06E-2</v>
      </c>
      <c r="AQ81" t="s">
        <v>54</v>
      </c>
    </row>
    <row r="82" spans="1:43" x14ac:dyDescent="0.25">
      <c r="A82" t="s">
        <v>492</v>
      </c>
      <c r="B82" t="s">
        <v>479</v>
      </c>
      <c r="C82">
        <v>278.35000000000002</v>
      </c>
      <c r="D82">
        <v>280</v>
      </c>
      <c r="E82">
        <v>2.62E-8</v>
      </c>
      <c r="F82">
        <v>2.351</v>
      </c>
      <c r="G82">
        <v>1.22E-6</v>
      </c>
      <c r="H82">
        <v>2.1399999999999999E-2</v>
      </c>
      <c r="I82">
        <v>5.3299999999999998E-6</v>
      </c>
      <c r="J82">
        <v>40700</v>
      </c>
      <c r="K82">
        <v>1919</v>
      </c>
      <c r="M82">
        <v>143.92499999999998</v>
      </c>
      <c r="N82">
        <v>76.760000000000005</v>
      </c>
      <c r="P82">
        <v>0.96109999999999995</v>
      </c>
      <c r="U82">
        <v>9.4500000000000001E-2</v>
      </c>
      <c r="V82">
        <v>9.4500000000000001E-2</v>
      </c>
      <c r="W82">
        <v>2.5000000000000001E-4</v>
      </c>
      <c r="X82">
        <v>7.9100000000000004E-4</v>
      </c>
      <c r="AB82">
        <v>167</v>
      </c>
      <c r="AE82">
        <v>0.1</v>
      </c>
      <c r="AK82" t="s">
        <v>152</v>
      </c>
    </row>
    <row r="83" spans="1:43" x14ac:dyDescent="0.25">
      <c r="A83" t="s">
        <v>584</v>
      </c>
      <c r="B83" t="s">
        <v>228</v>
      </c>
      <c r="C83">
        <v>147</v>
      </c>
      <c r="D83">
        <v>326</v>
      </c>
      <c r="E83">
        <v>1.9400000000000001E-3</v>
      </c>
      <c r="F83">
        <v>80</v>
      </c>
      <c r="G83">
        <v>3.5500000000000002E-3</v>
      </c>
      <c r="H83">
        <v>6.8199999999999997E-2</v>
      </c>
      <c r="I83">
        <v>7.9000000000000006E-6</v>
      </c>
      <c r="J83">
        <v>1910</v>
      </c>
      <c r="K83">
        <v>1680</v>
      </c>
      <c r="L83">
        <v>16.8</v>
      </c>
      <c r="M83">
        <v>126</v>
      </c>
      <c r="N83">
        <v>67.099999999999994</v>
      </c>
      <c r="O83">
        <v>3.37</v>
      </c>
      <c r="P83">
        <v>1</v>
      </c>
      <c r="Q83">
        <v>77.900000000000006</v>
      </c>
      <c r="R83">
        <v>4.6500000000000004</v>
      </c>
      <c r="S83">
        <v>0.49199999999999999</v>
      </c>
      <c r="T83">
        <v>0.49199999999999999</v>
      </c>
      <c r="U83">
        <v>4.9000000000000002E-2</v>
      </c>
      <c r="V83">
        <v>4.9000000000000002E-2</v>
      </c>
      <c r="W83">
        <v>3.0699999999999998E-3</v>
      </c>
      <c r="X83">
        <v>1.46E-2</v>
      </c>
      <c r="Y83">
        <v>1.7600000000000001E-2</v>
      </c>
      <c r="AB83">
        <v>66.900000000000006</v>
      </c>
      <c r="AE83">
        <v>7.0000000000000007E-2</v>
      </c>
      <c r="AF83">
        <v>5.4000000000000003E-3</v>
      </c>
      <c r="AG83">
        <v>0.8</v>
      </c>
      <c r="AH83">
        <v>1.1E-5</v>
      </c>
      <c r="AI83" t="s">
        <v>49</v>
      </c>
      <c r="AJ83" t="s">
        <v>50</v>
      </c>
      <c r="AL83">
        <v>0.49199999999999999</v>
      </c>
      <c r="AM83">
        <v>6.13E-3</v>
      </c>
      <c r="AN83">
        <v>1.0699999999999999E-2</v>
      </c>
      <c r="AQ83" t="s">
        <v>54</v>
      </c>
    </row>
    <row r="84" spans="1:43" x14ac:dyDescent="0.25">
      <c r="A84" t="s">
        <v>757</v>
      </c>
      <c r="B84" t="s">
        <v>758</v>
      </c>
      <c r="C84">
        <v>223.1</v>
      </c>
      <c r="D84">
        <v>355.47</v>
      </c>
      <c r="E84">
        <v>5.62E-8</v>
      </c>
      <c r="F84">
        <v>1.1319999999999999</v>
      </c>
      <c r="G84">
        <v>2.2699999999999999E-4</v>
      </c>
      <c r="H84">
        <v>2.5399999999999999E-2</v>
      </c>
      <c r="I84">
        <v>6.5599999999999999E-6</v>
      </c>
      <c r="J84">
        <v>112000</v>
      </c>
      <c r="K84">
        <v>13200</v>
      </c>
      <c r="P84">
        <v>1</v>
      </c>
      <c r="U84">
        <v>1.9300000000000001E-2</v>
      </c>
      <c r="V84">
        <v>1.9300000000000001E-2</v>
      </c>
      <c r="W84">
        <v>3.8700000000000002E-3</v>
      </c>
      <c r="X84">
        <v>1.2200000000000001E-2</v>
      </c>
      <c r="AB84">
        <v>8140</v>
      </c>
      <c r="AC84">
        <v>70900</v>
      </c>
      <c r="AF84">
        <v>7.0000000000000007E-2</v>
      </c>
      <c r="AH84">
        <v>2.0000000000000002E-5</v>
      </c>
      <c r="AK84" t="s">
        <v>65</v>
      </c>
    </row>
    <row r="85" spans="1:43" x14ac:dyDescent="0.25">
      <c r="A85" t="s">
        <v>229</v>
      </c>
      <c r="B85" t="s">
        <v>230</v>
      </c>
      <c r="C85">
        <v>99</v>
      </c>
      <c r="D85">
        <v>176</v>
      </c>
      <c r="E85">
        <v>0.30299999999999999</v>
      </c>
      <c r="F85">
        <v>5100</v>
      </c>
      <c r="G85">
        <v>5.5999999999999999E-3</v>
      </c>
      <c r="H85">
        <v>7.4200000000000002E-2</v>
      </c>
      <c r="I85">
        <v>1.0499999999999999E-5</v>
      </c>
      <c r="J85">
        <v>63.1</v>
      </c>
      <c r="K85">
        <v>53.4</v>
      </c>
      <c r="L85">
        <v>0.06</v>
      </c>
      <c r="M85">
        <v>4.01</v>
      </c>
      <c r="N85">
        <v>2.14</v>
      </c>
      <c r="O85">
        <v>1.64</v>
      </c>
      <c r="P85">
        <v>1</v>
      </c>
      <c r="Q85">
        <v>12</v>
      </c>
      <c r="R85">
        <v>189</v>
      </c>
      <c r="S85">
        <v>3.53</v>
      </c>
      <c r="T85">
        <v>3.53</v>
      </c>
      <c r="U85">
        <v>8.25E-4</v>
      </c>
      <c r="V85">
        <v>8.25E-4</v>
      </c>
      <c r="W85">
        <v>4.44E-4</v>
      </c>
      <c r="X85">
        <v>2.1099999999999999E-3</v>
      </c>
      <c r="Y85">
        <v>2.5500000000000002E-3</v>
      </c>
      <c r="Z85">
        <v>4.9299999999999995E-4</v>
      </c>
      <c r="AB85">
        <v>4.8499999999999996</v>
      </c>
      <c r="AE85">
        <v>0.2</v>
      </c>
      <c r="AF85">
        <v>5.7000000000000002E-3</v>
      </c>
      <c r="AH85">
        <v>1.5999999999999999E-6</v>
      </c>
      <c r="AI85" t="s">
        <v>49</v>
      </c>
      <c r="AJ85" t="s">
        <v>50</v>
      </c>
      <c r="AL85">
        <v>3.53</v>
      </c>
      <c r="AM85">
        <v>8.8800000000000001E-4</v>
      </c>
      <c r="AN85">
        <v>1.5499999999999999E-3</v>
      </c>
      <c r="AQ85" t="s">
        <v>54</v>
      </c>
    </row>
    <row r="86" spans="1:43" x14ac:dyDescent="0.25">
      <c r="A86" t="s">
        <v>231</v>
      </c>
      <c r="B86" t="s">
        <v>232</v>
      </c>
      <c r="C86">
        <v>99</v>
      </c>
      <c r="D86">
        <v>237</v>
      </c>
      <c r="E86">
        <v>0.104</v>
      </c>
      <c r="F86">
        <v>8500</v>
      </c>
      <c r="G86">
        <v>9.7999999999999997E-4</v>
      </c>
      <c r="H86">
        <v>0.104</v>
      </c>
      <c r="I86">
        <v>9.9000000000000001E-6</v>
      </c>
      <c r="J86">
        <v>31.6</v>
      </c>
      <c r="K86">
        <v>38</v>
      </c>
      <c r="L86">
        <v>3.5000000000000003E-2</v>
      </c>
      <c r="M86">
        <v>2.85</v>
      </c>
      <c r="N86">
        <v>1.52</v>
      </c>
      <c r="O86">
        <v>1.41</v>
      </c>
      <c r="P86">
        <v>1</v>
      </c>
      <c r="Q86">
        <v>9.6300000000000008</v>
      </c>
      <c r="R86">
        <v>275</v>
      </c>
      <c r="S86">
        <v>5.26</v>
      </c>
      <c r="T86">
        <v>5.26</v>
      </c>
      <c r="U86">
        <v>2.2599999999999999E-3</v>
      </c>
      <c r="V86">
        <v>2.2599999999999999E-3</v>
      </c>
      <c r="W86">
        <v>2.6600000000000001E-4</v>
      </c>
      <c r="X86">
        <v>1.2600000000000001E-3</v>
      </c>
      <c r="Y86">
        <v>1.5299999999999999E-3</v>
      </c>
      <c r="Z86">
        <v>2.3000000000000001E-4</v>
      </c>
      <c r="AB86">
        <v>2.85</v>
      </c>
      <c r="AE86">
        <v>6.0000000000000001E-3</v>
      </c>
      <c r="AF86">
        <v>9.0999999999999998E-2</v>
      </c>
      <c r="AG86">
        <v>0.4</v>
      </c>
      <c r="AH86">
        <v>2.5999999999999998E-5</v>
      </c>
      <c r="AI86" t="s">
        <v>49</v>
      </c>
      <c r="AJ86" t="s">
        <v>50</v>
      </c>
      <c r="AL86">
        <v>5.26</v>
      </c>
      <c r="AM86">
        <v>5.31E-4</v>
      </c>
      <c r="AN86">
        <v>9.3000000000000005E-4</v>
      </c>
      <c r="AQ86" t="s">
        <v>54</v>
      </c>
    </row>
    <row r="87" spans="1:43" x14ac:dyDescent="0.25">
      <c r="A87" t="s">
        <v>233</v>
      </c>
      <c r="B87" t="s">
        <v>234</v>
      </c>
      <c r="C87">
        <v>99</v>
      </c>
      <c r="D87">
        <v>153</v>
      </c>
      <c r="E87">
        <v>0.78900000000000003</v>
      </c>
      <c r="F87">
        <v>2300</v>
      </c>
      <c r="G87">
        <v>2.5999999999999999E-2</v>
      </c>
      <c r="H87">
        <v>0.09</v>
      </c>
      <c r="I87">
        <v>1.04E-5</v>
      </c>
      <c r="J87">
        <v>126</v>
      </c>
      <c r="K87">
        <v>65</v>
      </c>
      <c r="L87">
        <v>0.12</v>
      </c>
      <c r="M87">
        <v>4.88</v>
      </c>
      <c r="N87">
        <v>2.6</v>
      </c>
      <c r="O87">
        <v>1.41</v>
      </c>
      <c r="P87">
        <v>1</v>
      </c>
      <c r="Q87">
        <v>9.6199999999999992</v>
      </c>
      <c r="R87">
        <v>80.099999999999994</v>
      </c>
      <c r="S87">
        <v>2.37</v>
      </c>
      <c r="T87">
        <v>2.37</v>
      </c>
      <c r="U87">
        <v>3.7100000000000002E-4</v>
      </c>
      <c r="V87">
        <v>3.7100000000000002E-4</v>
      </c>
      <c r="W87">
        <v>7.1199999999999996E-4</v>
      </c>
      <c r="X87">
        <v>3.3800000000000002E-3</v>
      </c>
      <c r="Y87">
        <v>4.0899999999999999E-3</v>
      </c>
      <c r="Z87">
        <v>1.0499999999999999E-3</v>
      </c>
      <c r="AB87">
        <v>8.26</v>
      </c>
      <c r="AE87">
        <v>0.05</v>
      </c>
      <c r="AG87">
        <v>0.2</v>
      </c>
      <c r="AH87" t="s">
        <v>48</v>
      </c>
      <c r="AI87" t="s">
        <v>49</v>
      </c>
      <c r="AJ87" t="s">
        <v>50</v>
      </c>
      <c r="AL87">
        <v>2.37</v>
      </c>
      <c r="AM87">
        <v>1.42E-3</v>
      </c>
      <c r="AN87">
        <v>2.49E-3</v>
      </c>
      <c r="AQ87" t="s">
        <v>54</v>
      </c>
    </row>
    <row r="88" spans="1:43" x14ac:dyDescent="0.25">
      <c r="A88" t="s">
        <v>235</v>
      </c>
      <c r="B88" t="s">
        <v>236</v>
      </c>
      <c r="C88">
        <v>96.94</v>
      </c>
      <c r="D88">
        <v>193.15</v>
      </c>
      <c r="E88">
        <v>0.26300000000000001</v>
      </c>
      <c r="F88">
        <v>3500</v>
      </c>
      <c r="G88">
        <v>4.1000000000000003E-3</v>
      </c>
      <c r="H88">
        <v>1E-3</v>
      </c>
      <c r="I88">
        <v>1.0000000000000001E-5</v>
      </c>
      <c r="J88">
        <v>79.432823470000002</v>
      </c>
      <c r="K88">
        <v>38.28</v>
      </c>
      <c r="L88">
        <v>7.0999999999999994E-2</v>
      </c>
      <c r="M88">
        <v>2.87</v>
      </c>
      <c r="N88">
        <v>1.53</v>
      </c>
      <c r="P88">
        <v>1</v>
      </c>
      <c r="Q88">
        <v>13.1</v>
      </c>
      <c r="R88">
        <v>184</v>
      </c>
      <c r="S88">
        <v>3.09</v>
      </c>
      <c r="T88">
        <v>3.09</v>
      </c>
      <c r="U88">
        <v>1.4400000000000001E-3</v>
      </c>
      <c r="V88">
        <v>1.4400000000000001E-3</v>
      </c>
      <c r="W88">
        <v>5.2199899999999999E-4</v>
      </c>
      <c r="X88">
        <v>2.4794970000000002E-3</v>
      </c>
      <c r="Y88">
        <v>3.0014960000000002E-3</v>
      </c>
      <c r="Z88">
        <v>7.6255500000000005E-4</v>
      </c>
      <c r="AB88">
        <v>5.79</v>
      </c>
      <c r="AE88">
        <v>2E-3</v>
      </c>
      <c r="AH88" t="s">
        <v>48</v>
      </c>
      <c r="AI88" t="s">
        <v>49</v>
      </c>
      <c r="AJ88" t="s">
        <v>50</v>
      </c>
      <c r="AL88">
        <v>3.09</v>
      </c>
      <c r="AM88">
        <v>1.0439990000000001E-3</v>
      </c>
      <c r="AN88">
        <v>1.826998E-3</v>
      </c>
      <c r="AQ88" t="s">
        <v>54</v>
      </c>
    </row>
    <row r="89" spans="1:43" x14ac:dyDescent="0.25">
      <c r="A89" t="s">
        <v>567</v>
      </c>
      <c r="B89" t="s">
        <v>66</v>
      </c>
      <c r="C89">
        <v>221</v>
      </c>
      <c r="D89">
        <v>414</v>
      </c>
      <c r="E89">
        <v>1.09E-7</v>
      </c>
      <c r="F89">
        <v>677</v>
      </c>
      <c r="G89">
        <v>3.5600000000000001E-8</v>
      </c>
      <c r="H89">
        <v>5.1999999999999998E-2</v>
      </c>
      <c r="I89">
        <v>6.02E-6</v>
      </c>
      <c r="J89">
        <v>646</v>
      </c>
      <c r="K89">
        <v>579</v>
      </c>
      <c r="L89">
        <v>5.79</v>
      </c>
      <c r="M89">
        <v>43.4</v>
      </c>
      <c r="N89">
        <v>23.2</v>
      </c>
      <c r="O89">
        <v>5.0599999999999996</v>
      </c>
      <c r="P89">
        <v>0.995</v>
      </c>
      <c r="Q89">
        <v>33.9</v>
      </c>
      <c r="R89">
        <v>5.85</v>
      </c>
      <c r="S89">
        <v>0.92</v>
      </c>
      <c r="T89">
        <v>0.92</v>
      </c>
      <c r="U89">
        <v>1540</v>
      </c>
      <c r="V89">
        <v>1540</v>
      </c>
      <c r="AB89" t="s">
        <v>63</v>
      </c>
      <c r="AE89">
        <v>0.01</v>
      </c>
      <c r="AH89" t="s">
        <v>48</v>
      </c>
      <c r="AI89" t="s">
        <v>49</v>
      </c>
      <c r="AJ89" t="s">
        <v>50</v>
      </c>
      <c r="AK89" t="s">
        <v>67</v>
      </c>
      <c r="AQ89" t="s">
        <v>54</v>
      </c>
    </row>
    <row r="90" spans="1:43" x14ac:dyDescent="0.25">
      <c r="A90" t="s">
        <v>237</v>
      </c>
      <c r="B90" t="s">
        <v>238</v>
      </c>
      <c r="C90">
        <v>113</v>
      </c>
      <c r="D90">
        <v>203</v>
      </c>
      <c r="E90">
        <v>6.8400000000000002E-2</v>
      </c>
      <c r="F90">
        <v>2800</v>
      </c>
      <c r="G90">
        <v>2.8E-3</v>
      </c>
      <c r="H90">
        <v>7.8200000000000006E-2</v>
      </c>
      <c r="I90">
        <v>8.7299999999999994E-6</v>
      </c>
      <c r="J90">
        <v>100</v>
      </c>
      <c r="K90">
        <v>47</v>
      </c>
      <c r="L90">
        <v>0.09</v>
      </c>
      <c r="M90">
        <v>3.53</v>
      </c>
      <c r="N90">
        <v>1.88</v>
      </c>
      <c r="O90">
        <v>0.2</v>
      </c>
      <c r="P90">
        <v>1</v>
      </c>
      <c r="Q90">
        <v>8.0500000000000007</v>
      </c>
      <c r="R90">
        <v>92.6</v>
      </c>
      <c r="S90">
        <v>2.7</v>
      </c>
      <c r="T90">
        <v>2.7</v>
      </c>
      <c r="U90">
        <v>2.6900000000000001E-3</v>
      </c>
      <c r="V90">
        <v>2.6900000000000001E-3</v>
      </c>
      <c r="W90">
        <v>6.11E-4</v>
      </c>
      <c r="X90">
        <v>2.8999999999999998E-3</v>
      </c>
      <c r="Y90">
        <v>3.5100000000000001E-3</v>
      </c>
      <c r="Z90">
        <v>1.41E-3</v>
      </c>
      <c r="AB90">
        <v>6.92</v>
      </c>
      <c r="AE90">
        <v>0.09</v>
      </c>
      <c r="AF90">
        <v>3.5999999999999997E-2</v>
      </c>
      <c r="AG90">
        <v>4.0000000000000001E-3</v>
      </c>
      <c r="AH90" t="s">
        <v>48</v>
      </c>
      <c r="AI90" t="s">
        <v>49</v>
      </c>
      <c r="AJ90" t="s">
        <v>50</v>
      </c>
      <c r="AL90">
        <v>2.7</v>
      </c>
      <c r="AM90">
        <v>1.2199999999999999E-3</v>
      </c>
      <c r="AN90">
        <v>2.14E-3</v>
      </c>
      <c r="AQ90" t="s">
        <v>54</v>
      </c>
    </row>
    <row r="91" spans="1:43" x14ac:dyDescent="0.25">
      <c r="A91" t="s">
        <v>575</v>
      </c>
      <c r="B91" t="s">
        <v>243</v>
      </c>
      <c r="C91">
        <v>111</v>
      </c>
      <c r="D91">
        <v>225</v>
      </c>
      <c r="E91">
        <v>4.4699999999999997E-2</v>
      </c>
      <c r="F91">
        <v>2800</v>
      </c>
      <c r="G91">
        <v>1.7999999999999999E-2</v>
      </c>
      <c r="H91">
        <v>6.2600000000000003E-2</v>
      </c>
      <c r="I91">
        <v>1.0000000000000001E-5</v>
      </c>
      <c r="J91">
        <v>39.799999999999997</v>
      </c>
      <c r="K91">
        <v>27.1</v>
      </c>
      <c r="L91">
        <v>9.0999999999999998E-2</v>
      </c>
      <c r="M91">
        <v>2.0299999999999998</v>
      </c>
      <c r="N91">
        <v>1.08</v>
      </c>
      <c r="O91">
        <v>22.4</v>
      </c>
      <c r="P91">
        <v>1</v>
      </c>
      <c r="Q91">
        <v>10.3</v>
      </c>
      <c r="R91">
        <v>113</v>
      </c>
      <c r="S91">
        <v>4.6100000000000003</v>
      </c>
      <c r="T91">
        <v>4.5999999999999996</v>
      </c>
      <c r="U91">
        <v>1.5699999999999999E-4</v>
      </c>
      <c r="V91">
        <v>1.5699999999999999E-4</v>
      </c>
      <c r="W91">
        <v>3.1700000000000001E-4</v>
      </c>
      <c r="X91">
        <v>1.5E-3</v>
      </c>
      <c r="Y91">
        <v>1.82E-3</v>
      </c>
      <c r="Z91">
        <v>4.4499999999999997E-4</v>
      </c>
      <c r="AB91">
        <v>3.4</v>
      </c>
      <c r="AE91">
        <v>0.03</v>
      </c>
      <c r="AF91">
        <v>0.1</v>
      </c>
      <c r="AG91">
        <v>0.02</v>
      </c>
      <c r="AH91">
        <v>3.9999999999999998E-6</v>
      </c>
      <c r="AI91" t="s">
        <v>49</v>
      </c>
      <c r="AJ91" t="s">
        <v>50</v>
      </c>
      <c r="AL91">
        <v>4.5999999999999996</v>
      </c>
      <c r="AM91">
        <v>6.3299999999999999E-4</v>
      </c>
      <c r="AN91">
        <v>1.1100000000000001E-3</v>
      </c>
      <c r="AQ91" t="s">
        <v>54</v>
      </c>
    </row>
    <row r="92" spans="1:43" x14ac:dyDescent="0.25">
      <c r="A92" t="s">
        <v>733</v>
      </c>
      <c r="B92" t="s">
        <v>722</v>
      </c>
      <c r="C92">
        <v>111</v>
      </c>
      <c r="D92">
        <v>225</v>
      </c>
      <c r="E92">
        <v>4.4699999999999997E-2</v>
      </c>
      <c r="F92">
        <v>2800</v>
      </c>
      <c r="G92">
        <v>1.7999999999999999E-2</v>
      </c>
      <c r="H92">
        <v>6.2600000000000003E-2</v>
      </c>
      <c r="I92">
        <v>1.0000000000000001E-5</v>
      </c>
      <c r="J92">
        <v>39.799999999999997</v>
      </c>
      <c r="K92">
        <v>27.1</v>
      </c>
      <c r="L92">
        <v>9.0999999999999998E-2</v>
      </c>
      <c r="M92">
        <v>2.0299999999999998</v>
      </c>
      <c r="N92">
        <v>1.08</v>
      </c>
      <c r="O92">
        <v>22.4</v>
      </c>
      <c r="P92">
        <v>1</v>
      </c>
      <c r="Q92">
        <v>10.3</v>
      </c>
      <c r="R92">
        <v>113</v>
      </c>
      <c r="S92">
        <v>4.6100000000000003</v>
      </c>
      <c r="T92">
        <v>4.5999999999999996</v>
      </c>
      <c r="U92">
        <v>1.5699999999999999E-4</v>
      </c>
      <c r="V92">
        <v>1.5699999999999999E-4</v>
      </c>
      <c r="W92">
        <v>3.1700000000000001E-4</v>
      </c>
      <c r="X92">
        <v>1.5E-3</v>
      </c>
      <c r="Y92">
        <v>1.82E-3</v>
      </c>
      <c r="Z92">
        <v>4.4499999999999997E-4</v>
      </c>
      <c r="AB92">
        <v>3.4</v>
      </c>
      <c r="AE92">
        <v>0.03</v>
      </c>
      <c r="AF92">
        <v>0.1</v>
      </c>
      <c r="AG92">
        <v>0.02</v>
      </c>
      <c r="AH92">
        <v>3.9999999999999998E-6</v>
      </c>
      <c r="AI92" t="s">
        <v>49</v>
      </c>
      <c r="AJ92" t="s">
        <v>50</v>
      </c>
      <c r="AL92">
        <v>4.5999999999999996</v>
      </c>
      <c r="AM92">
        <v>6.3299999999999999E-4</v>
      </c>
      <c r="AN92">
        <v>1.1100000000000001E-3</v>
      </c>
      <c r="AQ92" t="s">
        <v>54</v>
      </c>
    </row>
    <row r="93" spans="1:43" x14ac:dyDescent="0.25">
      <c r="A93" t="s">
        <v>576</v>
      </c>
      <c r="B93" t="s">
        <v>244</v>
      </c>
      <c r="C93">
        <v>105</v>
      </c>
      <c r="D93">
        <v>301</v>
      </c>
      <c r="E93">
        <v>3.6800000000000001E-7</v>
      </c>
      <c r="F93">
        <v>1000000</v>
      </c>
      <c r="G93">
        <v>3.8699999999999999E-11</v>
      </c>
      <c r="H93">
        <v>8.5300000000000001E-2</v>
      </c>
      <c r="I93">
        <v>9.8800000000000003E-6</v>
      </c>
      <c r="J93">
        <v>3.7199999999999997E-2</v>
      </c>
      <c r="K93">
        <v>3.9300000000000002E-2</v>
      </c>
      <c r="L93">
        <v>3.9300000000000001E-4</v>
      </c>
      <c r="M93">
        <v>2.9499999999999999E-3</v>
      </c>
      <c r="N93">
        <v>1.57E-3</v>
      </c>
      <c r="O93">
        <v>14.9</v>
      </c>
      <c r="P93">
        <v>0.998</v>
      </c>
      <c r="Q93">
        <v>6.39</v>
      </c>
      <c r="R93">
        <v>16300</v>
      </c>
      <c r="S93">
        <v>260</v>
      </c>
      <c r="T93">
        <v>260</v>
      </c>
      <c r="U93">
        <v>43.3</v>
      </c>
      <c r="V93">
        <v>43.3</v>
      </c>
      <c r="W93">
        <v>1.9099999999999999E-6</v>
      </c>
      <c r="X93">
        <v>9.0699999999999996E-6</v>
      </c>
      <c r="Y93">
        <v>1.1E-5</v>
      </c>
      <c r="AB93">
        <v>3.16</v>
      </c>
      <c r="AE93">
        <v>0.02</v>
      </c>
      <c r="AG93">
        <v>3.0000000000000001E-3</v>
      </c>
      <c r="AH93" t="s">
        <v>48</v>
      </c>
      <c r="AI93" t="s">
        <v>49</v>
      </c>
      <c r="AJ93" t="s">
        <v>50</v>
      </c>
      <c r="AL93">
        <v>260</v>
      </c>
      <c r="AM93">
        <v>3.8199999999999998E-6</v>
      </c>
      <c r="AN93">
        <v>6.6800000000000004E-6</v>
      </c>
      <c r="AQ93" t="s">
        <v>54</v>
      </c>
    </row>
    <row r="94" spans="1:43" x14ac:dyDescent="0.25">
      <c r="A94" t="s">
        <v>577</v>
      </c>
      <c r="B94" t="s">
        <v>245</v>
      </c>
      <c r="C94">
        <v>154.185</v>
      </c>
      <c r="D94">
        <v>249.15</v>
      </c>
      <c r="E94">
        <v>2.7899199999999999E-4</v>
      </c>
      <c r="F94">
        <v>7000</v>
      </c>
      <c r="G94">
        <v>6.1500000000000004E-6</v>
      </c>
      <c r="H94">
        <v>6.6100000000000006E-2</v>
      </c>
      <c r="I94">
        <v>7.6499999999999996E-6</v>
      </c>
      <c r="J94">
        <v>13.80384265</v>
      </c>
      <c r="K94">
        <v>13.209914299999999</v>
      </c>
      <c r="L94">
        <v>0.132099143</v>
      </c>
      <c r="M94">
        <v>0.99074357300000004</v>
      </c>
      <c r="N94">
        <v>0.52839657200000001</v>
      </c>
      <c r="O94">
        <v>505.89</v>
      </c>
      <c r="P94">
        <v>0.99999786700000004</v>
      </c>
      <c r="Q94">
        <v>8.0609939829999995</v>
      </c>
      <c r="R94">
        <v>61.022303399999998</v>
      </c>
      <c r="S94">
        <v>8.4933691410000005</v>
      </c>
      <c r="T94">
        <v>8.4933691410000005</v>
      </c>
      <c r="U94">
        <v>0.14892571800000001</v>
      </c>
      <c r="V94">
        <v>0.14892571800000001</v>
      </c>
      <c r="W94">
        <v>1.36E-4</v>
      </c>
      <c r="X94">
        <v>6.4499999999999996E-4</v>
      </c>
      <c r="Y94">
        <v>7.8100000000000001E-4</v>
      </c>
      <c r="AB94">
        <v>1.5059134080000001</v>
      </c>
      <c r="AF94">
        <v>1.2</v>
      </c>
      <c r="AH94" t="s">
        <v>48</v>
      </c>
      <c r="AI94" t="s">
        <v>49</v>
      </c>
      <c r="AJ94" t="s">
        <v>50</v>
      </c>
      <c r="AL94">
        <v>8.4933691410000005</v>
      </c>
      <c r="AM94">
        <v>2.72E-4</v>
      </c>
      <c r="AN94">
        <v>4.7600000000000002E-4</v>
      </c>
      <c r="AQ94" t="s">
        <v>54</v>
      </c>
    </row>
    <row r="95" spans="1:43" x14ac:dyDescent="0.25">
      <c r="A95" t="s">
        <v>634</v>
      </c>
      <c r="B95" t="s">
        <v>59</v>
      </c>
      <c r="C95">
        <v>162</v>
      </c>
      <c r="D95">
        <v>205</v>
      </c>
      <c r="E95">
        <v>2.8799999999999999E-5</v>
      </c>
      <c r="F95">
        <v>1000000</v>
      </c>
      <c r="G95">
        <v>4.6699999999999998E-9</v>
      </c>
      <c r="H95">
        <v>6.3899999999999998E-2</v>
      </c>
      <c r="I95">
        <v>7.4000000000000003E-6</v>
      </c>
      <c r="J95">
        <v>3.63</v>
      </c>
      <c r="K95">
        <v>3.55</v>
      </c>
      <c r="L95">
        <v>3.5499999999999997E-2</v>
      </c>
      <c r="M95">
        <v>0.26700000000000002</v>
      </c>
      <c r="N95">
        <v>0.14199999999999999</v>
      </c>
      <c r="O95">
        <v>14.9</v>
      </c>
      <c r="P95">
        <v>1</v>
      </c>
      <c r="Q95">
        <v>6.94</v>
      </c>
      <c r="R95">
        <v>195</v>
      </c>
      <c r="S95">
        <v>18.399999999999999</v>
      </c>
      <c r="T95">
        <v>18.399999999999999</v>
      </c>
      <c r="U95">
        <v>47.2</v>
      </c>
      <c r="V95">
        <v>47.2</v>
      </c>
      <c r="W95">
        <v>4.0800000000000002E-5</v>
      </c>
      <c r="X95">
        <v>1.94E-4</v>
      </c>
      <c r="Y95">
        <v>2.34E-4</v>
      </c>
      <c r="AB95">
        <v>3.16</v>
      </c>
      <c r="AE95">
        <v>0.03</v>
      </c>
      <c r="AG95">
        <v>1E-4</v>
      </c>
      <c r="AH95" t="s">
        <v>48</v>
      </c>
      <c r="AI95" t="s">
        <v>49</v>
      </c>
      <c r="AJ95" t="s">
        <v>50</v>
      </c>
      <c r="AL95">
        <v>18.399999999999999</v>
      </c>
      <c r="AM95">
        <v>8.1500000000000002E-5</v>
      </c>
      <c r="AN95">
        <v>1.4300000000000001E-4</v>
      </c>
      <c r="AQ95" t="s">
        <v>54</v>
      </c>
    </row>
    <row r="96" spans="1:43" x14ac:dyDescent="0.25">
      <c r="A96" t="s">
        <v>493</v>
      </c>
      <c r="B96" t="s">
        <v>494</v>
      </c>
      <c r="C96">
        <v>134.18</v>
      </c>
      <c r="D96">
        <v>235.04</v>
      </c>
      <c r="E96">
        <v>3.8999999999999998E-3</v>
      </c>
      <c r="F96">
        <v>179600</v>
      </c>
      <c r="G96">
        <v>2.0800000000000001E-7</v>
      </c>
      <c r="J96">
        <v>0.33100000000000002</v>
      </c>
      <c r="K96">
        <v>1.9330000000000001</v>
      </c>
      <c r="M96">
        <v>0.14497499999999999</v>
      </c>
      <c r="N96">
        <v>7.732E-2</v>
      </c>
      <c r="P96">
        <v>1</v>
      </c>
      <c r="AB96">
        <v>0.92030000000000001</v>
      </c>
      <c r="AC96">
        <v>0.92030000000000001</v>
      </c>
    </row>
    <row r="97" spans="1:43" x14ac:dyDescent="0.25">
      <c r="A97" t="s">
        <v>735</v>
      </c>
      <c r="B97" t="s">
        <v>734</v>
      </c>
      <c r="C97">
        <v>366.46</v>
      </c>
      <c r="D97">
        <v>365.28</v>
      </c>
      <c r="E97">
        <v>2.8399999999999999E-6</v>
      </c>
      <c r="F97">
        <v>1.65</v>
      </c>
      <c r="G97">
        <v>2.9600000000000001E-10</v>
      </c>
      <c r="J97">
        <v>11500</v>
      </c>
      <c r="K97">
        <v>765.9</v>
      </c>
      <c r="M97">
        <v>57.442499999999995</v>
      </c>
      <c r="N97">
        <v>30.635999999999999</v>
      </c>
      <c r="P97">
        <v>1</v>
      </c>
      <c r="AB97">
        <v>19.7</v>
      </c>
      <c r="AC97">
        <v>19.7</v>
      </c>
    </row>
    <row r="98" spans="1:43" x14ac:dyDescent="0.25">
      <c r="A98" t="s">
        <v>496</v>
      </c>
      <c r="B98" t="s">
        <v>495</v>
      </c>
      <c r="C98">
        <v>134.18</v>
      </c>
      <c r="D98">
        <v>270.95</v>
      </c>
      <c r="E98">
        <v>1.2300000000000001E-4</v>
      </c>
      <c r="F98">
        <v>828000</v>
      </c>
      <c r="G98">
        <v>8.6300000000000002E-10</v>
      </c>
      <c r="H98">
        <v>5.62E-2</v>
      </c>
      <c r="I98">
        <v>7.9699999999999999E-6</v>
      </c>
      <c r="J98">
        <v>0.20399999999999999</v>
      </c>
      <c r="K98">
        <v>1</v>
      </c>
      <c r="M98">
        <v>7.4999999999999997E-2</v>
      </c>
      <c r="N98">
        <v>0.04</v>
      </c>
      <c r="P98">
        <v>1</v>
      </c>
      <c r="U98">
        <v>79.2</v>
      </c>
      <c r="V98">
        <v>79.2</v>
      </c>
      <c r="W98">
        <v>2.28E-9</v>
      </c>
      <c r="X98">
        <v>7.2099999999999997E-9</v>
      </c>
      <c r="AB98">
        <v>0.90510000000000002</v>
      </c>
      <c r="AC98">
        <v>0.90510000000000002</v>
      </c>
    </row>
    <row r="99" spans="1:43" x14ac:dyDescent="0.25">
      <c r="A99" t="s">
        <v>497</v>
      </c>
      <c r="B99" t="s">
        <v>498</v>
      </c>
      <c r="C99">
        <v>120.15</v>
      </c>
      <c r="D99">
        <v>259.39999999999998</v>
      </c>
      <c r="E99">
        <v>1.47E-4</v>
      </c>
      <c r="F99">
        <v>1000000</v>
      </c>
      <c r="J99">
        <v>6.6100000000000006E-2</v>
      </c>
      <c r="K99">
        <v>1</v>
      </c>
      <c r="M99">
        <v>7.4999999999999997E-2</v>
      </c>
      <c r="N99">
        <v>0.04</v>
      </c>
      <c r="P99">
        <v>1</v>
      </c>
      <c r="AB99">
        <v>0.89510000000000001</v>
      </c>
      <c r="AC99">
        <v>0.89510000000000001</v>
      </c>
    </row>
    <row r="100" spans="1:43" x14ac:dyDescent="0.25">
      <c r="A100" t="s">
        <v>508</v>
      </c>
      <c r="B100" t="s">
        <v>511</v>
      </c>
      <c r="C100">
        <v>66.05</v>
      </c>
      <c r="D100">
        <v>115.89</v>
      </c>
      <c r="E100">
        <v>5.0599999999999996</v>
      </c>
      <c r="F100">
        <v>5656</v>
      </c>
      <c r="G100">
        <v>0.38700000000000001</v>
      </c>
      <c r="H100">
        <v>0.10199999999999999</v>
      </c>
      <c r="I100">
        <v>1.15E-5</v>
      </c>
      <c r="J100">
        <v>13.5</v>
      </c>
      <c r="K100">
        <v>31.82</v>
      </c>
      <c r="M100">
        <v>2.3864999999999998</v>
      </c>
      <c r="N100">
        <v>1.2727999999999999</v>
      </c>
      <c r="P100">
        <v>1</v>
      </c>
      <c r="U100">
        <v>14.1</v>
      </c>
      <c r="V100">
        <v>14.1</v>
      </c>
      <c r="W100">
        <v>4.4400000000000001E-8</v>
      </c>
      <c r="X100">
        <v>1.4100000000000001E-7</v>
      </c>
      <c r="AB100">
        <v>1.3959999999999999</v>
      </c>
      <c r="AC100">
        <v>1.3959999999999999</v>
      </c>
      <c r="AE100">
        <v>40</v>
      </c>
      <c r="AK100" t="s">
        <v>713</v>
      </c>
    </row>
    <row r="101" spans="1:43" x14ac:dyDescent="0.25">
      <c r="A101" t="s">
        <v>509</v>
      </c>
      <c r="B101" t="s">
        <v>510</v>
      </c>
      <c r="C101">
        <v>52.02</v>
      </c>
      <c r="D101">
        <v>114.36</v>
      </c>
      <c r="E101">
        <v>9.94</v>
      </c>
      <c r="F101">
        <v>16620</v>
      </c>
      <c r="G101">
        <v>0.29199999999999998</v>
      </c>
      <c r="J101">
        <v>5.13</v>
      </c>
      <c r="K101">
        <v>21.73</v>
      </c>
      <c r="M101">
        <v>1.62975</v>
      </c>
      <c r="N101">
        <v>0.86920000000000008</v>
      </c>
      <c r="P101">
        <v>1</v>
      </c>
      <c r="AB101">
        <v>1.026</v>
      </c>
      <c r="AC101">
        <v>1.026</v>
      </c>
      <c r="AK101" t="s">
        <v>713</v>
      </c>
    </row>
    <row r="102" spans="1:43" x14ac:dyDescent="0.25">
      <c r="A102" t="s">
        <v>501</v>
      </c>
      <c r="B102" t="s">
        <v>502</v>
      </c>
      <c r="C102">
        <v>90.12</v>
      </c>
      <c r="D102">
        <v>191.69</v>
      </c>
      <c r="E102">
        <v>0.104</v>
      </c>
      <c r="F102">
        <v>188000</v>
      </c>
      <c r="G102">
        <v>1.34E-5</v>
      </c>
      <c r="J102">
        <v>0.61699999999999999</v>
      </c>
      <c r="K102">
        <v>2.3759999999999999</v>
      </c>
      <c r="M102">
        <v>0.1782</v>
      </c>
      <c r="N102">
        <v>9.5039999999999999E-2</v>
      </c>
      <c r="P102">
        <v>1</v>
      </c>
      <c r="AB102">
        <v>0.9355</v>
      </c>
      <c r="AC102">
        <v>0.9355</v>
      </c>
    </row>
    <row r="103" spans="1:43" x14ac:dyDescent="0.25">
      <c r="A103" t="s">
        <v>515</v>
      </c>
      <c r="B103" t="s">
        <v>516</v>
      </c>
      <c r="C103">
        <v>107.54</v>
      </c>
      <c r="D103">
        <v>258.13</v>
      </c>
      <c r="E103">
        <v>2.3600000000000001E-3</v>
      </c>
      <c r="F103">
        <v>458500</v>
      </c>
      <c r="G103">
        <v>7.23E-7</v>
      </c>
      <c r="H103">
        <v>7.7299999999999994E-2</v>
      </c>
      <c r="I103">
        <v>1.01E-5</v>
      </c>
      <c r="J103">
        <v>0.191</v>
      </c>
      <c r="K103">
        <v>1</v>
      </c>
      <c r="M103">
        <v>7.4999999999999997E-2</v>
      </c>
      <c r="N103">
        <v>0.04</v>
      </c>
      <c r="P103">
        <v>1</v>
      </c>
      <c r="U103">
        <v>101</v>
      </c>
      <c r="V103">
        <v>101</v>
      </c>
      <c r="W103">
        <v>1.51E-9</v>
      </c>
      <c r="X103">
        <v>4.7600000000000001E-9</v>
      </c>
      <c r="AB103">
        <v>0.90380000000000005</v>
      </c>
      <c r="AC103">
        <v>0.90380000000000005</v>
      </c>
    </row>
    <row r="104" spans="1:43" x14ac:dyDescent="0.25">
      <c r="A104" t="s">
        <v>686</v>
      </c>
      <c r="B104" t="s">
        <v>246</v>
      </c>
      <c r="C104">
        <v>194</v>
      </c>
      <c r="D104">
        <v>274</v>
      </c>
      <c r="E104">
        <v>2.17E-6</v>
      </c>
      <c r="F104">
        <v>4000</v>
      </c>
      <c r="G104">
        <v>1.05E-7</v>
      </c>
      <c r="H104">
        <v>5.6800000000000003E-2</v>
      </c>
      <c r="I104">
        <v>6.2899999999999999E-6</v>
      </c>
      <c r="J104">
        <v>36.299999999999997</v>
      </c>
      <c r="K104">
        <v>34.200000000000003</v>
      </c>
      <c r="L104">
        <v>0.34</v>
      </c>
      <c r="M104">
        <v>2.56</v>
      </c>
      <c r="N104">
        <v>1.37</v>
      </c>
      <c r="O104">
        <v>36.1</v>
      </c>
      <c r="P104">
        <v>1</v>
      </c>
      <c r="Q104">
        <v>10</v>
      </c>
      <c r="R104">
        <v>29.3</v>
      </c>
      <c r="S104">
        <v>4.8600000000000003</v>
      </c>
      <c r="T104">
        <v>4.8600000000000003</v>
      </c>
      <c r="U104">
        <v>24.4</v>
      </c>
      <c r="V104">
        <v>24.4</v>
      </c>
      <c r="W104">
        <v>2.9500000000000001E-4</v>
      </c>
      <c r="X104">
        <v>1.4E-3</v>
      </c>
      <c r="Y104">
        <v>1.6999999999999999E-3</v>
      </c>
      <c r="Z104">
        <v>3.4200000000000002E-4</v>
      </c>
      <c r="AB104">
        <v>3.17</v>
      </c>
      <c r="AH104" t="s">
        <v>48</v>
      </c>
      <c r="AI104" t="s">
        <v>49</v>
      </c>
      <c r="AJ104" t="s">
        <v>50</v>
      </c>
      <c r="AK104" t="s">
        <v>714</v>
      </c>
      <c r="AL104">
        <v>4.8600000000000003</v>
      </c>
      <c r="AM104">
        <v>5.9100000000000005E-4</v>
      </c>
      <c r="AN104">
        <v>1.0300000000000001E-3</v>
      </c>
      <c r="AQ104" t="s">
        <v>54</v>
      </c>
    </row>
    <row r="105" spans="1:43" x14ac:dyDescent="0.25">
      <c r="A105" t="s">
        <v>573</v>
      </c>
      <c r="B105" t="s">
        <v>247</v>
      </c>
      <c r="C105">
        <v>126.13</v>
      </c>
      <c r="D105">
        <v>289.12</v>
      </c>
      <c r="E105">
        <v>8.1700000000000002E-4</v>
      </c>
      <c r="F105">
        <v>69440</v>
      </c>
      <c r="G105">
        <v>2.6000000000000001E-6</v>
      </c>
      <c r="H105">
        <v>6.9199999999999998E-2</v>
      </c>
      <c r="I105">
        <v>9.9000000000000001E-6</v>
      </c>
      <c r="J105">
        <v>1.45</v>
      </c>
      <c r="K105">
        <v>8.4909999999999997</v>
      </c>
      <c r="M105">
        <v>0.63682499999999997</v>
      </c>
      <c r="N105">
        <v>0.33964</v>
      </c>
      <c r="P105">
        <v>1</v>
      </c>
      <c r="W105">
        <v>1.14E-7</v>
      </c>
      <c r="X105">
        <v>3.6100000000000002E-7</v>
      </c>
      <c r="AB105">
        <v>0.99409999999999998</v>
      </c>
      <c r="AC105">
        <v>0.99409999999999998</v>
      </c>
      <c r="AH105" t="s">
        <v>48</v>
      </c>
      <c r="AI105" t="s">
        <v>49</v>
      </c>
      <c r="AJ105" t="s">
        <v>50</v>
      </c>
      <c r="AQ105" t="s">
        <v>54</v>
      </c>
    </row>
    <row r="106" spans="1:43" x14ac:dyDescent="0.25">
      <c r="A106" t="s">
        <v>499</v>
      </c>
      <c r="B106" t="s">
        <v>500</v>
      </c>
      <c r="C106">
        <v>225.3</v>
      </c>
      <c r="D106">
        <v>351.01</v>
      </c>
      <c r="E106">
        <v>4.8699999999999999E-8</v>
      </c>
      <c r="F106">
        <v>1.46</v>
      </c>
      <c r="G106">
        <v>2.34E-7</v>
      </c>
      <c r="H106">
        <v>5.1299999999999998E-2</v>
      </c>
      <c r="I106">
        <v>6.0000000000000002E-6</v>
      </c>
      <c r="J106">
        <v>19500</v>
      </c>
      <c r="K106">
        <v>2028</v>
      </c>
      <c r="M106">
        <v>152.1</v>
      </c>
      <c r="N106">
        <v>81.12</v>
      </c>
      <c r="P106">
        <v>0.32600000000000001</v>
      </c>
      <c r="U106">
        <v>8.4900000000000003E-2</v>
      </c>
      <c r="V106">
        <v>8.4900000000000003E-2</v>
      </c>
      <c r="W106">
        <v>2.9999999999999997E-4</v>
      </c>
      <c r="X106">
        <v>9.5E-4</v>
      </c>
      <c r="AB106">
        <v>334.5</v>
      </c>
      <c r="AC106">
        <v>335</v>
      </c>
    </row>
    <row r="107" spans="1:43" x14ac:dyDescent="0.25">
      <c r="A107" t="s">
        <v>574</v>
      </c>
      <c r="B107" t="s">
        <v>248</v>
      </c>
      <c r="C107">
        <v>121</v>
      </c>
      <c r="D107">
        <v>276</v>
      </c>
      <c r="E107">
        <v>9.2100000000000005E-4</v>
      </c>
      <c r="F107">
        <v>1450</v>
      </c>
      <c r="G107">
        <v>7.7000000000000001E-5</v>
      </c>
      <c r="H107">
        <v>7.7600000000000002E-2</v>
      </c>
      <c r="I107">
        <v>8.9800000000000004E-6</v>
      </c>
      <c r="J107">
        <v>204</v>
      </c>
      <c r="K107">
        <v>187</v>
      </c>
      <c r="L107">
        <v>1.87</v>
      </c>
      <c r="M107">
        <v>14</v>
      </c>
      <c r="N107">
        <v>7.47</v>
      </c>
      <c r="O107">
        <v>36.1</v>
      </c>
      <c r="P107">
        <v>1</v>
      </c>
      <c r="Q107">
        <v>14</v>
      </c>
      <c r="R107">
        <v>7.48</v>
      </c>
      <c r="S107">
        <v>1.79</v>
      </c>
      <c r="T107">
        <v>1.79</v>
      </c>
      <c r="U107">
        <v>0.21</v>
      </c>
      <c r="V107">
        <v>0.21</v>
      </c>
      <c r="W107">
        <v>9.6699999999999998E-4</v>
      </c>
      <c r="X107">
        <v>4.5900000000000003E-3</v>
      </c>
      <c r="Y107">
        <v>5.5599999999999998E-3</v>
      </c>
      <c r="AB107">
        <v>12</v>
      </c>
      <c r="AE107">
        <v>2E-3</v>
      </c>
      <c r="AH107" t="s">
        <v>48</v>
      </c>
      <c r="AI107" t="s">
        <v>49</v>
      </c>
      <c r="AJ107" t="s">
        <v>50</v>
      </c>
      <c r="AL107">
        <v>1.79</v>
      </c>
      <c r="AM107">
        <v>1.9300000000000001E-3</v>
      </c>
      <c r="AN107">
        <v>3.3800000000000002E-3</v>
      </c>
      <c r="AQ107" t="s">
        <v>54</v>
      </c>
    </row>
    <row r="108" spans="1:43" x14ac:dyDescent="0.25">
      <c r="A108" t="s">
        <v>582</v>
      </c>
      <c r="B108" t="s">
        <v>251</v>
      </c>
      <c r="C108">
        <v>73.099999999999994</v>
      </c>
      <c r="D108">
        <v>213</v>
      </c>
      <c r="E108">
        <v>5.0899999999999999E-3</v>
      </c>
      <c r="F108">
        <v>1000000</v>
      </c>
      <c r="G108">
        <v>3.72E-7</v>
      </c>
      <c r="H108">
        <v>0.109</v>
      </c>
      <c r="I108">
        <v>1.26E-5</v>
      </c>
      <c r="J108">
        <v>9.7699999999999995E-2</v>
      </c>
      <c r="K108">
        <v>0.10199999999999999</v>
      </c>
      <c r="L108">
        <v>1.0200000000000001E-3</v>
      </c>
      <c r="M108">
        <v>7.6299999999999996E-3</v>
      </c>
      <c r="N108">
        <v>4.0699999999999998E-3</v>
      </c>
      <c r="O108">
        <v>8.43</v>
      </c>
      <c r="P108">
        <v>1</v>
      </c>
      <c r="Q108">
        <v>6.39</v>
      </c>
      <c r="R108">
        <v>6280</v>
      </c>
      <c r="S108">
        <v>149</v>
      </c>
      <c r="T108">
        <v>149</v>
      </c>
      <c r="U108">
        <v>1.26E-2</v>
      </c>
      <c r="V108">
        <v>1.26E-2</v>
      </c>
      <c r="W108">
        <v>1.9099999999999999E-6</v>
      </c>
      <c r="X108">
        <v>9.0699999999999996E-6</v>
      </c>
      <c r="Y108">
        <v>1.1E-5</v>
      </c>
      <c r="AB108">
        <v>3.16</v>
      </c>
      <c r="AE108">
        <v>0.1</v>
      </c>
      <c r="AG108">
        <v>0.03</v>
      </c>
      <c r="AH108" t="s">
        <v>48</v>
      </c>
      <c r="AI108" t="s">
        <v>49</v>
      </c>
      <c r="AJ108" t="s">
        <v>50</v>
      </c>
      <c r="AL108">
        <v>149</v>
      </c>
      <c r="AM108">
        <v>3.8199999999999998E-6</v>
      </c>
      <c r="AN108">
        <v>6.6800000000000004E-6</v>
      </c>
      <c r="AQ108" t="s">
        <v>54</v>
      </c>
    </row>
    <row r="109" spans="1:43" x14ac:dyDescent="0.25">
      <c r="A109" t="s">
        <v>736</v>
      </c>
      <c r="B109" t="s">
        <v>737</v>
      </c>
      <c r="C109">
        <v>244.32</v>
      </c>
      <c r="D109">
        <v>410.65</v>
      </c>
      <c r="E109">
        <v>2.7900000000000002E-10</v>
      </c>
      <c r="F109">
        <v>60</v>
      </c>
      <c r="G109">
        <v>1.8100000000000001E-13</v>
      </c>
      <c r="H109">
        <v>1E-3</v>
      </c>
      <c r="I109">
        <v>1.0000000000000001E-5</v>
      </c>
      <c r="J109">
        <v>64.565422900000002</v>
      </c>
      <c r="K109">
        <v>60.19</v>
      </c>
      <c r="L109">
        <v>0.6</v>
      </c>
      <c r="M109">
        <v>4.51</v>
      </c>
      <c r="N109">
        <v>2.4</v>
      </c>
      <c r="O109">
        <v>1.41</v>
      </c>
      <c r="P109">
        <v>0.85899999999999999</v>
      </c>
      <c r="Q109">
        <v>12.1</v>
      </c>
      <c r="R109">
        <v>20</v>
      </c>
      <c r="S109">
        <v>3.48</v>
      </c>
      <c r="T109">
        <v>3.48</v>
      </c>
      <c r="U109">
        <v>26144296</v>
      </c>
      <c r="V109">
        <v>26144296</v>
      </c>
      <c r="W109">
        <v>4.5125900000000002E-4</v>
      </c>
      <c r="X109">
        <v>2.143481E-3</v>
      </c>
      <c r="Y109">
        <v>2.5947409999999998E-3</v>
      </c>
      <c r="Z109">
        <v>5.1289800000000002E-4</v>
      </c>
      <c r="AB109">
        <v>4.9400000000000004</v>
      </c>
      <c r="AF109">
        <v>11</v>
      </c>
      <c r="AH109">
        <v>4.0000000000000003E-5</v>
      </c>
      <c r="AI109" t="s">
        <v>49</v>
      </c>
      <c r="AJ109" t="s">
        <v>50</v>
      </c>
      <c r="AL109">
        <v>3.48</v>
      </c>
      <c r="AM109">
        <v>9.0251800000000005E-4</v>
      </c>
      <c r="AN109">
        <v>1.5794069999999999E-3</v>
      </c>
      <c r="AQ109" t="s">
        <v>54</v>
      </c>
    </row>
    <row r="110" spans="1:43" x14ac:dyDescent="0.25">
      <c r="A110" t="s">
        <v>759</v>
      </c>
      <c r="B110" t="s">
        <v>760</v>
      </c>
      <c r="C110">
        <v>244.3</v>
      </c>
      <c r="D110">
        <v>435.6</v>
      </c>
      <c r="E110">
        <v>9.1999999999999997E-9</v>
      </c>
      <c r="F110">
        <v>723.9</v>
      </c>
      <c r="G110">
        <v>1.8100000000000001E-13</v>
      </c>
      <c r="H110">
        <v>4.8599999999999997E-2</v>
      </c>
      <c r="I110">
        <v>5.6799999999999998E-6</v>
      </c>
      <c r="J110">
        <v>120</v>
      </c>
      <c r="K110">
        <v>508.8</v>
      </c>
      <c r="P110">
        <v>0.99153000000000002</v>
      </c>
      <c r="U110">
        <v>3.43</v>
      </c>
      <c r="V110">
        <v>3.43</v>
      </c>
      <c r="W110">
        <v>0.51</v>
      </c>
      <c r="X110">
        <v>1.61E-6</v>
      </c>
      <c r="AB110">
        <v>6.4580000000000002</v>
      </c>
      <c r="AC110">
        <v>6.4580000000000002</v>
      </c>
      <c r="AF110">
        <v>1.6</v>
      </c>
    </row>
    <row r="111" spans="1:43" x14ac:dyDescent="0.25">
      <c r="A111" t="s">
        <v>252</v>
      </c>
      <c r="B111" t="s">
        <v>253</v>
      </c>
      <c r="C111">
        <v>184</v>
      </c>
      <c r="D111">
        <v>386</v>
      </c>
      <c r="E111">
        <v>6.7100000000000001E-6</v>
      </c>
      <c r="F111">
        <v>2790</v>
      </c>
      <c r="G111">
        <v>4.4299999999999998E-7</v>
      </c>
      <c r="H111">
        <v>2.7300000000000001E-2</v>
      </c>
      <c r="I111">
        <v>9.0599999999999997E-6</v>
      </c>
      <c r="J111">
        <v>34.700000000000003</v>
      </c>
      <c r="K111">
        <v>0.01</v>
      </c>
      <c r="L111">
        <v>1E-4</v>
      </c>
      <c r="M111">
        <v>8.0000000000000004E-4</v>
      </c>
      <c r="N111">
        <v>4.0000000000000002E-4</v>
      </c>
      <c r="O111">
        <v>0.96</v>
      </c>
      <c r="P111">
        <v>1</v>
      </c>
      <c r="Q111">
        <v>9.8699999999999992</v>
      </c>
      <c r="R111">
        <v>98700</v>
      </c>
      <c r="S111">
        <v>4.99</v>
      </c>
      <c r="T111">
        <v>4.99</v>
      </c>
      <c r="U111">
        <v>5.51</v>
      </c>
      <c r="V111">
        <v>5.51</v>
      </c>
      <c r="W111">
        <v>1.17E-5</v>
      </c>
      <c r="X111">
        <v>5.5600000000000003E-5</v>
      </c>
      <c r="Y111">
        <v>6.7399999999999998E-5</v>
      </c>
      <c r="Z111">
        <v>2.6200000000000003E-4</v>
      </c>
      <c r="AB111">
        <v>3.06</v>
      </c>
      <c r="AE111">
        <v>2E-3</v>
      </c>
      <c r="AH111" t="s">
        <v>48</v>
      </c>
      <c r="AI111" t="s">
        <v>49</v>
      </c>
      <c r="AJ111" t="s">
        <v>50</v>
      </c>
      <c r="AK111" t="s">
        <v>67</v>
      </c>
      <c r="AL111">
        <v>4.99</v>
      </c>
      <c r="AM111">
        <v>2.34E-5</v>
      </c>
      <c r="AN111">
        <v>4.1E-5</v>
      </c>
      <c r="AQ111" t="s">
        <v>54</v>
      </c>
    </row>
    <row r="112" spans="1:43" x14ac:dyDescent="0.25">
      <c r="A112" t="s">
        <v>254</v>
      </c>
      <c r="B112" t="s">
        <v>255</v>
      </c>
      <c r="C112">
        <v>182</v>
      </c>
      <c r="D112">
        <v>342</v>
      </c>
      <c r="E112">
        <v>1.9299999999999999E-7</v>
      </c>
      <c r="F112">
        <v>270</v>
      </c>
      <c r="G112">
        <v>9.2599999999999995E-8</v>
      </c>
      <c r="H112">
        <v>0.20300000000000001</v>
      </c>
      <c r="I112">
        <v>7.0600000000000002E-6</v>
      </c>
      <c r="J112">
        <v>95.5</v>
      </c>
      <c r="K112">
        <v>88.4</v>
      </c>
      <c r="L112">
        <v>0.88</v>
      </c>
      <c r="M112">
        <v>6.63</v>
      </c>
      <c r="N112">
        <v>3.54</v>
      </c>
      <c r="O112">
        <v>1.41</v>
      </c>
      <c r="P112">
        <v>0.999</v>
      </c>
      <c r="Q112">
        <v>14.1</v>
      </c>
      <c r="R112">
        <v>15.9</v>
      </c>
      <c r="S112">
        <v>2.78</v>
      </c>
      <c r="T112">
        <v>2.78</v>
      </c>
      <c r="U112">
        <v>77.5</v>
      </c>
      <c r="V112">
        <v>77.5</v>
      </c>
      <c r="W112">
        <v>5.9199999999999997E-4</v>
      </c>
      <c r="X112">
        <v>2.81E-3</v>
      </c>
      <c r="Y112">
        <v>3.4099999999999998E-3</v>
      </c>
      <c r="Z112">
        <v>7.8600000000000002E-4</v>
      </c>
      <c r="AB112">
        <v>6.68</v>
      </c>
      <c r="AE112">
        <v>2E-3</v>
      </c>
      <c r="AF112">
        <v>0.31</v>
      </c>
      <c r="AH112">
        <v>8.8999999999999995E-5</v>
      </c>
      <c r="AI112" t="s">
        <v>49</v>
      </c>
      <c r="AJ112" t="s">
        <v>50</v>
      </c>
      <c r="AL112">
        <v>2.78</v>
      </c>
      <c r="AM112">
        <v>1.1900000000000001E-3</v>
      </c>
      <c r="AN112">
        <v>2.0699999999999998E-3</v>
      </c>
      <c r="AQ112" t="s">
        <v>54</v>
      </c>
    </row>
    <row r="113" spans="1:43" x14ac:dyDescent="0.25">
      <c r="A113" t="s">
        <v>256</v>
      </c>
      <c r="B113" t="s">
        <v>257</v>
      </c>
      <c r="C113">
        <v>391</v>
      </c>
      <c r="D113">
        <v>298</v>
      </c>
      <c r="E113">
        <v>3.4200000000000002E-9</v>
      </c>
      <c r="F113">
        <v>0.02</v>
      </c>
      <c r="G113">
        <v>6.7000000000000002E-5</v>
      </c>
      <c r="H113">
        <v>1E-3</v>
      </c>
      <c r="I113">
        <v>1.0000000000000001E-5</v>
      </c>
      <c r="J113">
        <v>126000000</v>
      </c>
      <c r="K113">
        <v>91700000</v>
      </c>
      <c r="L113">
        <v>13000000</v>
      </c>
      <c r="M113">
        <v>6880000</v>
      </c>
      <c r="N113">
        <v>3670000</v>
      </c>
      <c r="O113">
        <v>9.0299999999999994</v>
      </c>
      <c r="P113">
        <v>0.85199999999999998</v>
      </c>
      <c r="Q113">
        <v>401000</v>
      </c>
      <c r="R113">
        <v>3.0800000000000001E-2</v>
      </c>
      <c r="S113">
        <v>8.0599999999999997E-4</v>
      </c>
      <c r="T113">
        <v>8.0599999999999997E-4</v>
      </c>
      <c r="U113">
        <v>353000</v>
      </c>
      <c r="V113">
        <v>353000</v>
      </c>
      <c r="W113">
        <v>1.64E-3</v>
      </c>
      <c r="X113">
        <v>7.77E-3</v>
      </c>
      <c r="Y113">
        <v>9.41E-3</v>
      </c>
      <c r="Z113">
        <v>17000</v>
      </c>
      <c r="AB113">
        <v>2.35</v>
      </c>
      <c r="AC113">
        <v>462</v>
      </c>
      <c r="AE113">
        <v>0.01</v>
      </c>
      <c r="AH113" t="s">
        <v>48</v>
      </c>
      <c r="AI113" t="s">
        <v>49</v>
      </c>
      <c r="AJ113" t="s">
        <v>50</v>
      </c>
      <c r="AK113" t="s">
        <v>152</v>
      </c>
      <c r="AL113">
        <v>8.0599999999999997E-4</v>
      </c>
      <c r="AM113">
        <v>3.2699999999999999E-3</v>
      </c>
      <c r="AN113">
        <v>5.7299999999999999E-3</v>
      </c>
      <c r="AQ113" t="s">
        <v>54</v>
      </c>
    </row>
    <row r="114" spans="1:43" x14ac:dyDescent="0.25">
      <c r="A114" t="s">
        <v>258</v>
      </c>
      <c r="B114" t="s">
        <v>259</v>
      </c>
      <c r="C114">
        <v>88.1</v>
      </c>
      <c r="D114">
        <v>285</v>
      </c>
      <c r="E114">
        <v>5.0099999999999999E-2</v>
      </c>
      <c r="F114">
        <v>1000000</v>
      </c>
      <c r="G114">
        <v>4.7999999999999998E-6</v>
      </c>
      <c r="H114">
        <v>0.22900000000000001</v>
      </c>
      <c r="I114">
        <v>1.0200000000000001E-5</v>
      </c>
      <c r="J114">
        <v>0.53700000000000003</v>
      </c>
      <c r="K114">
        <v>0.54</v>
      </c>
      <c r="L114">
        <v>0.01</v>
      </c>
      <c r="M114">
        <v>0.04</v>
      </c>
      <c r="N114">
        <v>0.02</v>
      </c>
      <c r="O114">
        <v>1.41</v>
      </c>
      <c r="P114">
        <v>1</v>
      </c>
      <c r="Q114">
        <v>6.45</v>
      </c>
      <c r="R114">
        <v>1190</v>
      </c>
      <c r="S114">
        <v>8.3800000000000008</v>
      </c>
      <c r="T114">
        <v>8.3800000000000008</v>
      </c>
      <c r="U114">
        <v>6.0099999999999997E-3</v>
      </c>
      <c r="V114">
        <v>6.0099999999999997E-3</v>
      </c>
      <c r="W114">
        <v>5.57E-6</v>
      </c>
      <c r="X114">
        <v>2.65E-5</v>
      </c>
      <c r="Y114">
        <v>3.1999999999999999E-5</v>
      </c>
      <c r="Z114">
        <v>4.2899999999999996E-6</v>
      </c>
      <c r="AB114">
        <v>3.16</v>
      </c>
      <c r="AE114">
        <v>0.03</v>
      </c>
      <c r="AF114">
        <v>0.1</v>
      </c>
      <c r="AG114">
        <v>0.03</v>
      </c>
      <c r="AH114">
        <v>5.0000000000000004E-6</v>
      </c>
      <c r="AI114" t="s">
        <v>49</v>
      </c>
      <c r="AJ114" t="s">
        <v>50</v>
      </c>
      <c r="AL114">
        <v>8.3800000000000008</v>
      </c>
      <c r="AM114">
        <v>1.11E-5</v>
      </c>
      <c r="AN114">
        <v>1.95E-5</v>
      </c>
      <c r="AQ114" t="s">
        <v>54</v>
      </c>
    </row>
    <row r="115" spans="1:43" x14ac:dyDescent="0.25">
      <c r="A115" t="s">
        <v>688</v>
      </c>
      <c r="B115" t="s">
        <v>261</v>
      </c>
      <c r="C115">
        <v>356</v>
      </c>
      <c r="D115">
        <v>514</v>
      </c>
      <c r="E115">
        <v>5.7899999999999996E-13</v>
      </c>
      <c r="F115">
        <v>1.18E-4</v>
      </c>
      <c r="G115">
        <v>2.6000000000000001E-6</v>
      </c>
      <c r="H115">
        <v>9.8900000000000002E-2</v>
      </c>
      <c r="I115">
        <v>7.9999999999999996E-6</v>
      </c>
      <c r="J115">
        <v>4370000</v>
      </c>
      <c r="K115">
        <v>2690000</v>
      </c>
      <c r="L115">
        <v>26900</v>
      </c>
      <c r="M115">
        <v>202000</v>
      </c>
      <c r="N115">
        <v>108000</v>
      </c>
      <c r="O115">
        <v>0.03</v>
      </c>
      <c r="P115">
        <v>0.11700000000000001</v>
      </c>
      <c r="Q115">
        <v>30100</v>
      </c>
      <c r="R115">
        <v>1.1200000000000001</v>
      </c>
      <c r="S115">
        <v>5.62E-3</v>
      </c>
      <c r="T115">
        <v>5.62E-3</v>
      </c>
      <c r="U115">
        <v>239000</v>
      </c>
      <c r="V115">
        <v>239000</v>
      </c>
      <c r="W115">
        <v>6.0499999999999998E-3</v>
      </c>
      <c r="X115">
        <v>2.8799999999999999E-2</v>
      </c>
      <c r="Y115">
        <v>3.4799999999999998E-2</v>
      </c>
      <c r="Z115">
        <v>4.7100000000000003E-2</v>
      </c>
      <c r="AA115">
        <v>2.5</v>
      </c>
      <c r="AB115">
        <v>25900</v>
      </c>
      <c r="AD115">
        <v>0.09</v>
      </c>
      <c r="AE115">
        <v>6.9999999999999996E-10</v>
      </c>
      <c r="AF115">
        <v>1400000</v>
      </c>
      <c r="AG115">
        <v>4.0000000000000001E-8</v>
      </c>
      <c r="AH115">
        <v>400</v>
      </c>
      <c r="AI115" t="s">
        <v>49</v>
      </c>
      <c r="AJ115" t="s">
        <v>50</v>
      </c>
      <c r="AK115" t="s">
        <v>262</v>
      </c>
      <c r="AL115">
        <v>4.5500000000000002E-3</v>
      </c>
      <c r="AM115">
        <v>1.0999999999999999E-2</v>
      </c>
      <c r="AN115">
        <v>1.9199999999999998E-2</v>
      </c>
      <c r="AO115">
        <v>1</v>
      </c>
      <c r="AQ115" t="s">
        <v>54</v>
      </c>
    </row>
    <row r="116" spans="1:43" x14ac:dyDescent="0.25">
      <c r="A116" t="s">
        <v>651</v>
      </c>
      <c r="B116" t="s">
        <v>250</v>
      </c>
      <c r="C116">
        <v>256</v>
      </c>
      <c r="D116">
        <v>423</v>
      </c>
      <c r="E116">
        <v>2.6300000000000002E-10</v>
      </c>
      <c r="F116">
        <v>6.0999999999999999E-2</v>
      </c>
      <c r="G116">
        <v>1.11E-6</v>
      </c>
      <c r="H116">
        <v>4.7100000000000003E-2</v>
      </c>
      <c r="I116">
        <v>5.4500000000000003E-6</v>
      </c>
      <c r="J116">
        <v>631000</v>
      </c>
      <c r="K116">
        <v>503000</v>
      </c>
      <c r="L116">
        <v>5030</v>
      </c>
      <c r="M116">
        <v>37700</v>
      </c>
      <c r="N116">
        <v>20100</v>
      </c>
      <c r="O116">
        <v>0.7</v>
      </c>
      <c r="P116">
        <v>0.307</v>
      </c>
      <c r="Q116">
        <v>6790</v>
      </c>
      <c r="R116">
        <v>1.35</v>
      </c>
      <c r="S116">
        <v>1.72E-2</v>
      </c>
      <c r="T116">
        <v>1.72E-2</v>
      </c>
      <c r="U116">
        <v>76000</v>
      </c>
      <c r="V116">
        <v>76000</v>
      </c>
      <c r="W116">
        <v>8.2699999999999996E-3</v>
      </c>
      <c r="X116">
        <v>3.9300000000000002E-2</v>
      </c>
      <c r="Y116">
        <v>4.7600000000000003E-2</v>
      </c>
      <c r="AB116">
        <v>5830</v>
      </c>
      <c r="AC116">
        <v>133000</v>
      </c>
      <c r="AF116">
        <v>255</v>
      </c>
      <c r="AI116" t="s">
        <v>49</v>
      </c>
      <c r="AJ116" t="s">
        <v>50</v>
      </c>
      <c r="AK116" t="s">
        <v>72</v>
      </c>
      <c r="AL116">
        <v>1.72E-2</v>
      </c>
      <c r="AM116">
        <v>1.6500000000000001E-2</v>
      </c>
      <c r="AN116">
        <v>2.9000000000000001E-2</v>
      </c>
      <c r="AQ116" t="s">
        <v>54</v>
      </c>
    </row>
    <row r="117" spans="1:43" x14ac:dyDescent="0.25">
      <c r="A117" t="s">
        <v>263</v>
      </c>
      <c r="B117" t="s">
        <v>264</v>
      </c>
      <c r="C117">
        <v>92.5</v>
      </c>
      <c r="D117">
        <v>216</v>
      </c>
      <c r="E117">
        <v>2.1600000000000001E-2</v>
      </c>
      <c r="F117">
        <v>65900</v>
      </c>
      <c r="G117">
        <v>3.04E-5</v>
      </c>
      <c r="H117">
        <v>8.5999999999999993E-2</v>
      </c>
      <c r="I117">
        <v>9.7999999999999993E-6</v>
      </c>
      <c r="J117">
        <v>0.61699999999999999</v>
      </c>
      <c r="K117">
        <v>0.62</v>
      </c>
      <c r="L117">
        <v>6.0000000000000001E-3</v>
      </c>
      <c r="M117">
        <v>0.05</v>
      </c>
      <c r="N117">
        <v>0.02</v>
      </c>
      <c r="O117">
        <v>9.0299999999999994</v>
      </c>
      <c r="P117">
        <v>1</v>
      </c>
      <c r="Q117">
        <v>6.47</v>
      </c>
      <c r="R117">
        <v>1040</v>
      </c>
      <c r="S117">
        <v>8.3800000000000008</v>
      </c>
      <c r="T117">
        <v>8.3800000000000008</v>
      </c>
      <c r="U117">
        <v>1.1000000000000001E-3</v>
      </c>
      <c r="V117">
        <v>1.1000000000000001E-3</v>
      </c>
      <c r="W117">
        <v>6.4999999999999996E-6</v>
      </c>
      <c r="X117">
        <v>3.0899999999999999E-5</v>
      </c>
      <c r="Y117">
        <v>3.7400000000000001E-5</v>
      </c>
      <c r="Z117">
        <v>1.4100000000000001E-5</v>
      </c>
      <c r="AB117">
        <v>3.16</v>
      </c>
      <c r="AE117">
        <v>6.0000000000000001E-3</v>
      </c>
      <c r="AF117">
        <v>9.9000000000000008E-3</v>
      </c>
      <c r="AG117">
        <v>1E-3</v>
      </c>
      <c r="AH117">
        <v>1.1999999999999999E-6</v>
      </c>
      <c r="AI117" t="s">
        <v>49</v>
      </c>
      <c r="AJ117" t="s">
        <v>50</v>
      </c>
      <c r="AL117">
        <v>8.3800000000000008</v>
      </c>
      <c r="AM117">
        <v>1.2999999999999999E-5</v>
      </c>
      <c r="AN117">
        <v>2.2799999999999999E-5</v>
      </c>
      <c r="AQ117" t="s">
        <v>54</v>
      </c>
    </row>
    <row r="118" spans="1:43" x14ac:dyDescent="0.25">
      <c r="A118" t="s">
        <v>555</v>
      </c>
      <c r="B118" t="s">
        <v>55</v>
      </c>
      <c r="C118">
        <v>72.099999999999994</v>
      </c>
      <c r="D118">
        <v>123</v>
      </c>
      <c r="E118">
        <v>0.23699999999999999</v>
      </c>
      <c r="F118">
        <v>95000</v>
      </c>
      <c r="H118">
        <v>9.2899999999999996E-2</v>
      </c>
      <c r="I118">
        <v>1.04E-5</v>
      </c>
      <c r="J118">
        <v>7.24</v>
      </c>
      <c r="K118">
        <v>9.91</v>
      </c>
      <c r="L118">
        <v>9.9099999999999994E-2</v>
      </c>
      <c r="M118">
        <v>0.74299999999999999</v>
      </c>
      <c r="N118">
        <v>0.39600000000000002</v>
      </c>
      <c r="P118">
        <v>1</v>
      </c>
      <c r="Q118">
        <v>7.38</v>
      </c>
      <c r="R118">
        <v>74.400000000000006</v>
      </c>
      <c r="S118">
        <v>12.3</v>
      </c>
      <c r="T118">
        <v>12.3</v>
      </c>
      <c r="W118">
        <v>7.75E-5</v>
      </c>
      <c r="X118">
        <v>3.68E-4</v>
      </c>
      <c r="Y118">
        <v>4.4499999999999997E-4</v>
      </c>
      <c r="AB118">
        <v>3.16</v>
      </c>
      <c r="AG118">
        <v>0.02</v>
      </c>
      <c r="AH118" t="s">
        <v>48</v>
      </c>
      <c r="AI118" t="s">
        <v>49</v>
      </c>
      <c r="AJ118" t="s">
        <v>50</v>
      </c>
      <c r="AL118">
        <v>12.3</v>
      </c>
      <c r="AM118">
        <v>1.55E-4</v>
      </c>
      <c r="AN118">
        <v>2.7099999999999997E-4</v>
      </c>
      <c r="AQ118" t="s">
        <v>54</v>
      </c>
    </row>
    <row r="119" spans="1:43" x14ac:dyDescent="0.25">
      <c r="A119" t="s">
        <v>578</v>
      </c>
      <c r="B119" t="s">
        <v>265</v>
      </c>
      <c r="C119">
        <v>100</v>
      </c>
      <c r="D119">
        <v>202</v>
      </c>
      <c r="E119">
        <v>5.0799999999999998E-2</v>
      </c>
      <c r="F119">
        <v>15000</v>
      </c>
      <c r="G119">
        <v>3.39E-4</v>
      </c>
      <c r="H119">
        <v>8.8099999999999998E-2</v>
      </c>
      <c r="I119">
        <v>1.0200000000000001E-5</v>
      </c>
      <c r="J119">
        <v>20.9</v>
      </c>
      <c r="K119">
        <v>19.899999999999999</v>
      </c>
      <c r="L119">
        <v>0.19900000000000001</v>
      </c>
      <c r="M119">
        <v>1.49</v>
      </c>
      <c r="N119">
        <v>0.79400000000000004</v>
      </c>
      <c r="O119">
        <v>36.1</v>
      </c>
      <c r="P119">
        <v>1</v>
      </c>
      <c r="Q119">
        <v>8.7200000000000006</v>
      </c>
      <c r="R119">
        <v>43.9</v>
      </c>
      <c r="S119">
        <v>6.68</v>
      </c>
      <c r="T119">
        <v>6.68</v>
      </c>
      <c r="U119">
        <v>4.1999999999999997E-3</v>
      </c>
      <c r="V119">
        <v>4.1999999999999997E-3</v>
      </c>
      <c r="W119">
        <v>1.9100000000000001E-4</v>
      </c>
      <c r="X119">
        <v>9.0899999999999998E-4</v>
      </c>
      <c r="Y119">
        <v>1.1000000000000001E-3</v>
      </c>
      <c r="AB119">
        <v>2.0699999999999998</v>
      </c>
      <c r="AE119">
        <v>1.37E-2</v>
      </c>
      <c r="AH119" t="s">
        <v>48</v>
      </c>
      <c r="AI119" t="s">
        <v>49</v>
      </c>
      <c r="AJ119" t="s">
        <v>50</v>
      </c>
      <c r="AL119">
        <v>6.68</v>
      </c>
      <c r="AM119">
        <v>3.8299999999999999E-4</v>
      </c>
      <c r="AN119">
        <v>6.7000000000000002E-4</v>
      </c>
      <c r="AQ119" t="s">
        <v>54</v>
      </c>
    </row>
    <row r="120" spans="1:43" x14ac:dyDescent="0.25">
      <c r="A120" t="s">
        <v>266</v>
      </c>
      <c r="B120" t="s">
        <v>267</v>
      </c>
      <c r="C120">
        <v>106</v>
      </c>
      <c r="D120">
        <v>178</v>
      </c>
      <c r="E120">
        <v>1.26E-2</v>
      </c>
      <c r="F120">
        <v>170</v>
      </c>
      <c r="G120">
        <v>7.9000000000000008E-3</v>
      </c>
      <c r="H120">
        <v>7.4999999999999997E-2</v>
      </c>
      <c r="I120">
        <v>7.7999999999999999E-6</v>
      </c>
      <c r="J120">
        <v>1260</v>
      </c>
      <c r="K120">
        <v>204</v>
      </c>
      <c r="L120">
        <v>0.73</v>
      </c>
      <c r="M120">
        <v>15.3</v>
      </c>
      <c r="N120">
        <v>8.16</v>
      </c>
      <c r="O120">
        <v>25.3</v>
      </c>
      <c r="P120">
        <v>1</v>
      </c>
      <c r="Q120">
        <v>56.6</v>
      </c>
      <c r="R120">
        <v>77.599999999999994</v>
      </c>
      <c r="S120">
        <v>0.625</v>
      </c>
      <c r="T120">
        <v>0.625</v>
      </c>
      <c r="U120">
        <v>1.4200000000000001E-2</v>
      </c>
      <c r="V120">
        <v>1.4200000000000001E-2</v>
      </c>
      <c r="W120">
        <v>2.5600000000000002E-3</v>
      </c>
      <c r="X120">
        <v>1.21E-2</v>
      </c>
      <c r="Y120">
        <v>1.47E-2</v>
      </c>
      <c r="Z120">
        <v>1.0500000000000001E-2</v>
      </c>
      <c r="AB120">
        <v>48.6</v>
      </c>
      <c r="AE120">
        <v>0.1</v>
      </c>
      <c r="AF120">
        <v>1.0999999999999999E-2</v>
      </c>
      <c r="AG120">
        <v>1</v>
      </c>
      <c r="AH120">
        <v>2.5000000000000002E-6</v>
      </c>
      <c r="AI120" t="s">
        <v>49</v>
      </c>
      <c r="AJ120" t="s">
        <v>50</v>
      </c>
      <c r="AL120">
        <v>0.625</v>
      </c>
      <c r="AM120">
        <v>5.11E-3</v>
      </c>
      <c r="AN120">
        <v>8.9499999999999996E-3</v>
      </c>
      <c r="AQ120" t="s">
        <v>54</v>
      </c>
    </row>
    <row r="121" spans="1:43" x14ac:dyDescent="0.25">
      <c r="A121" t="s">
        <v>268</v>
      </c>
      <c r="B121" t="s">
        <v>269</v>
      </c>
      <c r="C121">
        <v>188</v>
      </c>
      <c r="D121">
        <v>283</v>
      </c>
      <c r="E121">
        <v>1.7100000000000001E-2</v>
      </c>
      <c r="F121">
        <v>4000</v>
      </c>
      <c r="G121">
        <v>7.3999999999999999E-4</v>
      </c>
      <c r="H121">
        <v>1E-3</v>
      </c>
      <c r="I121">
        <v>1.0000000000000001E-5</v>
      </c>
      <c r="J121">
        <v>100</v>
      </c>
      <c r="K121">
        <v>92.5</v>
      </c>
      <c r="L121">
        <v>8.5000000000000006E-2</v>
      </c>
      <c r="M121">
        <v>6.94</v>
      </c>
      <c r="N121">
        <v>3.7</v>
      </c>
      <c r="O121">
        <v>1.41</v>
      </c>
      <c r="P121">
        <v>1</v>
      </c>
      <c r="Q121">
        <v>8.0500000000000007</v>
      </c>
      <c r="R121">
        <v>94.8</v>
      </c>
      <c r="S121">
        <v>2.7</v>
      </c>
      <c r="T121">
        <v>2.7</v>
      </c>
      <c r="U121">
        <v>1.0200000000000001E-2</v>
      </c>
      <c r="V121">
        <v>1.0200000000000001E-2</v>
      </c>
      <c r="W121">
        <v>6.11E-4</v>
      </c>
      <c r="X121">
        <v>2.8999999999999998E-3</v>
      </c>
      <c r="Y121">
        <v>3.5100000000000001E-3</v>
      </c>
      <c r="Z121">
        <v>4.4700000000000002E-4</v>
      </c>
      <c r="AB121">
        <v>6.92</v>
      </c>
      <c r="AE121">
        <v>8.9999999999999993E-3</v>
      </c>
      <c r="AF121">
        <v>2</v>
      </c>
      <c r="AG121">
        <v>8.9999999999999993E-3</v>
      </c>
      <c r="AH121">
        <v>2.2000000000000001E-4</v>
      </c>
      <c r="AI121" t="s">
        <v>49</v>
      </c>
      <c r="AJ121" t="s">
        <v>50</v>
      </c>
      <c r="AL121">
        <v>2.7</v>
      </c>
      <c r="AM121">
        <v>1.2199999999999999E-3</v>
      </c>
      <c r="AN121">
        <v>2.14E-3</v>
      </c>
      <c r="AQ121" t="s">
        <v>54</v>
      </c>
    </row>
    <row r="122" spans="1:43" x14ac:dyDescent="0.25">
      <c r="A122" t="s">
        <v>579</v>
      </c>
      <c r="B122" t="s">
        <v>270</v>
      </c>
      <c r="C122">
        <v>62.1</v>
      </c>
      <c r="D122">
        <v>260</v>
      </c>
      <c r="E122">
        <v>1.21E-4</v>
      </c>
      <c r="F122">
        <v>1000000</v>
      </c>
      <c r="G122">
        <v>7.5100000000000007E-9</v>
      </c>
      <c r="H122">
        <v>0.121</v>
      </c>
      <c r="I122">
        <v>1.4E-5</v>
      </c>
      <c r="J122">
        <v>4.3700000000000003E-2</v>
      </c>
      <c r="K122">
        <v>4.6100000000000002E-2</v>
      </c>
      <c r="L122">
        <v>4.6099999999999998E-4</v>
      </c>
      <c r="M122">
        <v>3.46E-3</v>
      </c>
      <c r="N122">
        <v>1.8400000000000001E-3</v>
      </c>
      <c r="O122">
        <v>14.9</v>
      </c>
      <c r="P122">
        <v>1</v>
      </c>
      <c r="Q122">
        <v>6.39</v>
      </c>
      <c r="R122">
        <v>13900</v>
      </c>
      <c r="S122">
        <v>237</v>
      </c>
      <c r="T122">
        <v>237</v>
      </c>
      <c r="U122">
        <v>0.26500000000000001</v>
      </c>
      <c r="V122">
        <v>0.26500000000000001</v>
      </c>
      <c r="W122">
        <v>1.9099999999999999E-6</v>
      </c>
      <c r="X122">
        <v>9.0699999999999996E-6</v>
      </c>
      <c r="Y122">
        <v>1.1E-5</v>
      </c>
      <c r="AB122">
        <v>3.16</v>
      </c>
      <c r="AE122">
        <v>2</v>
      </c>
      <c r="AG122">
        <v>0.4</v>
      </c>
      <c r="AH122" t="s">
        <v>48</v>
      </c>
      <c r="AI122" t="s">
        <v>49</v>
      </c>
      <c r="AJ122" t="s">
        <v>50</v>
      </c>
      <c r="AL122">
        <v>237</v>
      </c>
      <c r="AM122">
        <v>3.8199999999999998E-6</v>
      </c>
      <c r="AN122">
        <v>6.6800000000000004E-6</v>
      </c>
      <c r="AQ122" t="s">
        <v>54</v>
      </c>
    </row>
    <row r="123" spans="1:43" x14ac:dyDescent="0.25">
      <c r="A123" t="s">
        <v>635</v>
      </c>
      <c r="B123" t="s">
        <v>68</v>
      </c>
      <c r="C123">
        <v>160.21</v>
      </c>
      <c r="D123">
        <v>258.77</v>
      </c>
      <c r="E123">
        <v>7.0299999999999996E-4</v>
      </c>
      <c r="F123">
        <v>3103</v>
      </c>
      <c r="G123">
        <v>6.3799999999999999E-6</v>
      </c>
      <c r="J123">
        <v>37.200000000000003</v>
      </c>
      <c r="K123">
        <v>15.08</v>
      </c>
      <c r="M123">
        <v>1.131</v>
      </c>
      <c r="N123">
        <v>0.60320000000000007</v>
      </c>
      <c r="P123">
        <v>1</v>
      </c>
      <c r="AB123">
        <v>2.573</v>
      </c>
      <c r="AC123">
        <v>2.573</v>
      </c>
      <c r="AH123" t="s">
        <v>48</v>
      </c>
      <c r="AI123" t="s">
        <v>49</v>
      </c>
      <c r="AJ123" t="s">
        <v>50</v>
      </c>
      <c r="AQ123" t="s">
        <v>54</v>
      </c>
    </row>
    <row r="124" spans="1:43" x14ac:dyDescent="0.25">
      <c r="A124" t="s">
        <v>580</v>
      </c>
      <c r="B124" t="s">
        <v>168</v>
      </c>
      <c r="C124">
        <v>132.15799999999999</v>
      </c>
      <c r="D124">
        <v>211.45</v>
      </c>
      <c r="E124">
        <v>3.0794400000000001E-3</v>
      </c>
      <c r="F124">
        <v>247000</v>
      </c>
      <c r="G124">
        <v>1.6500000000000001E-6</v>
      </c>
      <c r="H124">
        <v>7.3200000000000001E-2</v>
      </c>
      <c r="I124">
        <v>8.4800000000000001E-6</v>
      </c>
      <c r="J124">
        <v>3.89045145</v>
      </c>
      <c r="K124">
        <v>3.8040831389999998</v>
      </c>
      <c r="L124">
        <v>3.8040830999999997E-2</v>
      </c>
      <c r="M124">
        <v>0.28530623500000002</v>
      </c>
      <c r="N124">
        <v>0.15216332599999999</v>
      </c>
      <c r="O124">
        <v>8.4314999999999998</v>
      </c>
      <c r="P124">
        <v>1</v>
      </c>
      <c r="Q124">
        <v>6.9689285480000001</v>
      </c>
      <c r="R124">
        <v>183.1960105</v>
      </c>
      <c r="S124">
        <v>17.659564929999998</v>
      </c>
      <c r="T124">
        <v>17.659564929999998</v>
      </c>
      <c r="U124">
        <v>0.14417411299999999</v>
      </c>
      <c r="V124">
        <v>0.14417411299999999</v>
      </c>
      <c r="W124">
        <v>4.35E-5</v>
      </c>
      <c r="X124">
        <v>2.0699999999999999E-4</v>
      </c>
      <c r="Y124">
        <v>2.5000000000000001E-4</v>
      </c>
      <c r="AB124">
        <v>3.16227766</v>
      </c>
      <c r="AE124">
        <v>0.1</v>
      </c>
      <c r="AG124">
        <v>0.3</v>
      </c>
      <c r="AH124" t="s">
        <v>48</v>
      </c>
      <c r="AI124" t="s">
        <v>49</v>
      </c>
      <c r="AJ124" t="s">
        <v>50</v>
      </c>
      <c r="AL124">
        <v>17.659564929999998</v>
      </c>
      <c r="AM124">
        <v>8.7100000000000003E-5</v>
      </c>
      <c r="AN124">
        <v>1.5200000000000001E-4</v>
      </c>
      <c r="AQ124" t="s">
        <v>54</v>
      </c>
    </row>
    <row r="125" spans="1:43" x14ac:dyDescent="0.25">
      <c r="A125" t="s">
        <v>581</v>
      </c>
      <c r="B125" t="s">
        <v>503</v>
      </c>
      <c r="C125">
        <v>43.07</v>
      </c>
      <c r="D125">
        <v>214.33</v>
      </c>
      <c r="E125">
        <v>0.30299999999999999</v>
      </c>
      <c r="F125">
        <v>1000000</v>
      </c>
      <c r="G125">
        <v>7.3300000000000001E-6</v>
      </c>
      <c r="H125">
        <v>0.13300000000000001</v>
      </c>
      <c r="I125">
        <v>1.42E-5</v>
      </c>
      <c r="J125">
        <v>0.52500000000000002</v>
      </c>
      <c r="K125">
        <v>9.0429999999999993</v>
      </c>
      <c r="M125">
        <v>0.67822499999999997</v>
      </c>
      <c r="N125">
        <v>0.36171999999999999</v>
      </c>
      <c r="P125">
        <v>1</v>
      </c>
      <c r="U125">
        <v>56</v>
      </c>
      <c r="V125">
        <v>56</v>
      </c>
      <c r="W125">
        <v>4.1499999999999999E-9</v>
      </c>
      <c r="X125">
        <v>1.31E-8</v>
      </c>
      <c r="AB125">
        <v>0.93430000000000002</v>
      </c>
      <c r="AC125">
        <v>0.93430000000000002</v>
      </c>
      <c r="AF125">
        <v>65</v>
      </c>
      <c r="AH125">
        <v>1.9E-2</v>
      </c>
      <c r="AJ125" t="s">
        <v>50</v>
      </c>
    </row>
    <row r="126" spans="1:43" x14ac:dyDescent="0.25">
      <c r="A126" t="s">
        <v>689</v>
      </c>
      <c r="B126" t="s">
        <v>271</v>
      </c>
      <c r="C126">
        <v>44.1</v>
      </c>
      <c r="D126">
        <v>162</v>
      </c>
      <c r="E126">
        <v>1.73</v>
      </c>
      <c r="F126">
        <v>1000000</v>
      </c>
      <c r="G126">
        <v>1.4799999999999999E-4</v>
      </c>
      <c r="H126">
        <v>0.104</v>
      </c>
      <c r="I126">
        <v>1.45E-5</v>
      </c>
      <c r="J126">
        <v>0.501</v>
      </c>
      <c r="K126">
        <v>0.51</v>
      </c>
      <c r="L126">
        <v>5.0000000000000001E-3</v>
      </c>
      <c r="M126">
        <v>0.04</v>
      </c>
      <c r="N126">
        <v>0.02</v>
      </c>
      <c r="O126">
        <v>21.3</v>
      </c>
      <c r="P126">
        <v>1</v>
      </c>
      <c r="Q126">
        <v>6.44</v>
      </c>
      <c r="R126">
        <v>1270</v>
      </c>
      <c r="S126">
        <v>8.3800000000000008</v>
      </c>
      <c r="T126">
        <v>8.3800000000000008</v>
      </c>
      <c r="U126">
        <v>1.8100000000000001E-4</v>
      </c>
      <c r="V126">
        <v>1.8100000000000001E-4</v>
      </c>
      <c r="W126">
        <v>5.1499999999999998E-6</v>
      </c>
      <c r="X126">
        <v>2.4499999999999999E-5</v>
      </c>
      <c r="Y126">
        <v>2.9600000000000001E-5</v>
      </c>
      <c r="Z126">
        <v>3.98E-6</v>
      </c>
      <c r="AB126">
        <v>3.16</v>
      </c>
      <c r="AF126">
        <v>1.02</v>
      </c>
      <c r="AG126">
        <v>0.03</v>
      </c>
      <c r="AH126">
        <v>8.7999999999999998E-5</v>
      </c>
      <c r="AI126" t="s">
        <v>49</v>
      </c>
      <c r="AJ126" t="s">
        <v>50</v>
      </c>
      <c r="AL126">
        <v>8.3800000000000008</v>
      </c>
      <c r="AM126">
        <v>1.03E-5</v>
      </c>
      <c r="AN126">
        <v>1.8E-5</v>
      </c>
      <c r="AQ126" t="s">
        <v>54</v>
      </c>
    </row>
    <row r="127" spans="1:43" x14ac:dyDescent="0.25">
      <c r="A127" t="s">
        <v>720</v>
      </c>
      <c r="B127" t="s">
        <v>272</v>
      </c>
      <c r="C127">
        <v>391</v>
      </c>
      <c r="D127">
        <v>218</v>
      </c>
      <c r="E127">
        <v>8.9500000000000001E-11</v>
      </c>
      <c r="F127">
        <v>0.34</v>
      </c>
      <c r="G127">
        <v>9.9999999999999995E-8</v>
      </c>
      <c r="H127">
        <v>3.5099999999999999E-2</v>
      </c>
      <c r="I127">
        <v>3.6600000000000001E-6</v>
      </c>
      <c r="J127">
        <v>126000</v>
      </c>
      <c r="K127">
        <v>111000</v>
      </c>
      <c r="L127">
        <v>2300000</v>
      </c>
      <c r="M127">
        <v>8330</v>
      </c>
      <c r="N127">
        <v>4440</v>
      </c>
      <c r="O127">
        <v>11</v>
      </c>
      <c r="P127">
        <v>0.13100000000000001</v>
      </c>
      <c r="Q127">
        <v>1960</v>
      </c>
      <c r="R127">
        <v>8.5400000000000005E-4</v>
      </c>
      <c r="S127">
        <v>4.3700000000000003E-2</v>
      </c>
      <c r="T127">
        <v>4.3700000000000003E-2</v>
      </c>
      <c r="U127">
        <v>151000</v>
      </c>
      <c r="V127">
        <v>151000</v>
      </c>
      <c r="W127">
        <v>8.3999999999999995E-3</v>
      </c>
      <c r="X127">
        <v>3.9899999999999998E-2</v>
      </c>
      <c r="Y127">
        <v>4.8300000000000003E-2</v>
      </c>
      <c r="Z127">
        <v>1.27</v>
      </c>
      <c r="AB127">
        <v>53.3</v>
      </c>
      <c r="AC127">
        <v>194</v>
      </c>
      <c r="AE127">
        <v>0.02</v>
      </c>
      <c r="AF127">
        <v>1.4E-2</v>
      </c>
      <c r="AH127">
        <v>2.3999999999999999E-6</v>
      </c>
      <c r="AI127" t="s">
        <v>49</v>
      </c>
      <c r="AJ127" t="s">
        <v>50</v>
      </c>
      <c r="AK127" t="s">
        <v>152</v>
      </c>
      <c r="AL127">
        <v>4.3700000000000003E-2</v>
      </c>
      <c r="AM127">
        <v>1.6799999999999999E-2</v>
      </c>
      <c r="AN127">
        <v>2.9399999999999999E-2</v>
      </c>
      <c r="AQ127" t="s">
        <v>54</v>
      </c>
    </row>
    <row r="128" spans="1:43" x14ac:dyDescent="0.25">
      <c r="A128" t="s">
        <v>275</v>
      </c>
      <c r="B128" t="s">
        <v>276</v>
      </c>
      <c r="C128">
        <v>202</v>
      </c>
      <c r="D128">
        <v>383</v>
      </c>
      <c r="E128">
        <v>1.03E-8</v>
      </c>
      <c r="F128">
        <v>0.21</v>
      </c>
      <c r="G128">
        <v>1.5999999999999999E-5</v>
      </c>
      <c r="H128">
        <v>1E-3</v>
      </c>
      <c r="I128">
        <v>1.0000000000000001E-5</v>
      </c>
      <c r="J128">
        <v>100000</v>
      </c>
      <c r="K128">
        <v>49100</v>
      </c>
      <c r="L128">
        <v>11000</v>
      </c>
      <c r="M128">
        <v>3680</v>
      </c>
      <c r="N128">
        <v>1960</v>
      </c>
      <c r="O128">
        <v>0.56999999999999995</v>
      </c>
      <c r="P128">
        <v>0.99199999999999999</v>
      </c>
      <c r="Q128">
        <v>1640</v>
      </c>
      <c r="R128">
        <v>0.15</v>
      </c>
      <c r="S128">
        <v>4.99E-2</v>
      </c>
      <c r="T128">
        <v>4.99E-2</v>
      </c>
      <c r="U128">
        <v>738</v>
      </c>
      <c r="V128">
        <v>738</v>
      </c>
      <c r="W128">
        <v>8.26E-3</v>
      </c>
      <c r="X128">
        <v>3.9199999999999999E-2</v>
      </c>
      <c r="Y128">
        <v>4.7500000000000001E-2</v>
      </c>
      <c r="Z128">
        <v>0.96499999999999997</v>
      </c>
      <c r="AB128">
        <v>1410</v>
      </c>
      <c r="AC128">
        <v>4490</v>
      </c>
      <c r="AE128">
        <v>0.04</v>
      </c>
      <c r="AH128">
        <v>1.3999999999999999E-4</v>
      </c>
      <c r="AI128" t="s">
        <v>49</v>
      </c>
      <c r="AJ128" t="s">
        <v>50</v>
      </c>
      <c r="AK128" t="s">
        <v>72</v>
      </c>
      <c r="AL128">
        <v>4.99E-2</v>
      </c>
      <c r="AM128">
        <v>1.6500000000000001E-2</v>
      </c>
      <c r="AN128">
        <v>2.8899999999999999E-2</v>
      </c>
      <c r="AQ128" t="s">
        <v>54</v>
      </c>
    </row>
    <row r="129" spans="1:43" x14ac:dyDescent="0.25">
      <c r="A129" t="s">
        <v>277</v>
      </c>
      <c r="B129" t="s">
        <v>278</v>
      </c>
      <c r="C129">
        <v>166</v>
      </c>
      <c r="D129">
        <v>383</v>
      </c>
      <c r="E129">
        <v>8.2900000000000002E-7</v>
      </c>
      <c r="F129">
        <v>2</v>
      </c>
      <c r="G129">
        <v>6.3999999999999997E-5</v>
      </c>
      <c r="H129">
        <v>1E-3</v>
      </c>
      <c r="I129">
        <v>1.0000000000000001E-5</v>
      </c>
      <c r="J129">
        <v>15800</v>
      </c>
      <c r="K129">
        <v>7710</v>
      </c>
      <c r="L129">
        <v>2100</v>
      </c>
      <c r="M129">
        <v>578</v>
      </c>
      <c r="N129">
        <v>308</v>
      </c>
      <c r="O129">
        <v>4.22</v>
      </c>
      <c r="P129">
        <v>1</v>
      </c>
      <c r="Q129">
        <v>398</v>
      </c>
      <c r="R129">
        <v>0.19</v>
      </c>
      <c r="S129">
        <v>0.14499999999999999</v>
      </c>
      <c r="T129">
        <v>0.14499999999999999</v>
      </c>
      <c r="U129">
        <v>26</v>
      </c>
      <c r="V129">
        <v>26</v>
      </c>
      <c r="W129">
        <v>6.1599999999999997E-3</v>
      </c>
      <c r="X129">
        <v>2.93E-2</v>
      </c>
      <c r="Y129">
        <v>3.5400000000000001E-2</v>
      </c>
      <c r="Z129">
        <v>0.11700000000000001</v>
      </c>
      <c r="AB129">
        <v>342</v>
      </c>
      <c r="AC129">
        <v>472</v>
      </c>
      <c r="AE129">
        <v>0.04</v>
      </c>
      <c r="AH129" t="s">
        <v>48</v>
      </c>
      <c r="AI129" t="s">
        <v>49</v>
      </c>
      <c r="AJ129" t="s">
        <v>50</v>
      </c>
      <c r="AK129" t="s">
        <v>72</v>
      </c>
      <c r="AL129">
        <v>0.14499999999999999</v>
      </c>
      <c r="AM129">
        <v>1.23E-2</v>
      </c>
      <c r="AN129">
        <v>2.1600000000000001E-2</v>
      </c>
      <c r="AQ129" t="s">
        <v>54</v>
      </c>
    </row>
    <row r="130" spans="1:43" x14ac:dyDescent="0.25">
      <c r="A130" t="s">
        <v>279</v>
      </c>
      <c r="B130" t="s">
        <v>280</v>
      </c>
      <c r="C130">
        <v>30</v>
      </c>
      <c r="D130">
        <v>181</v>
      </c>
      <c r="E130">
        <v>6.89</v>
      </c>
      <c r="F130">
        <v>550000</v>
      </c>
      <c r="G130">
        <v>3.3599999999999999E-7</v>
      </c>
      <c r="H130">
        <v>0.17799999999999999</v>
      </c>
      <c r="I130">
        <v>1.98E-5</v>
      </c>
      <c r="J130">
        <v>2.2400000000000002</v>
      </c>
      <c r="K130">
        <v>2.21</v>
      </c>
      <c r="L130">
        <v>0.02</v>
      </c>
      <c r="M130">
        <v>0.17</v>
      </c>
      <c r="N130">
        <v>0.09</v>
      </c>
      <c r="O130">
        <v>36.1</v>
      </c>
      <c r="P130">
        <v>1</v>
      </c>
      <c r="Q130">
        <v>6.74</v>
      </c>
      <c r="R130">
        <v>305</v>
      </c>
      <c r="S130">
        <v>8.3800000000000008</v>
      </c>
      <c r="T130">
        <v>8.3800000000000008</v>
      </c>
      <c r="U130">
        <v>0.39200000000000002</v>
      </c>
      <c r="V130">
        <v>0.39200000000000002</v>
      </c>
      <c r="W130">
        <v>2.5400000000000001E-5</v>
      </c>
      <c r="X130">
        <v>1.21E-4</v>
      </c>
      <c r="Y130">
        <v>1.46E-4</v>
      </c>
      <c r="Z130">
        <v>1.7499999999999998E-5</v>
      </c>
      <c r="AB130">
        <v>3.16</v>
      </c>
      <c r="AE130">
        <v>0.2</v>
      </c>
      <c r="AG130">
        <v>8.9999999999999993E-3</v>
      </c>
      <c r="AH130">
        <v>5.0000000000000004E-6</v>
      </c>
      <c r="AI130" t="s">
        <v>49</v>
      </c>
      <c r="AJ130" t="s">
        <v>50</v>
      </c>
      <c r="AL130">
        <v>8.3800000000000008</v>
      </c>
      <c r="AM130">
        <v>5.0800000000000002E-5</v>
      </c>
      <c r="AN130">
        <v>8.8800000000000004E-5</v>
      </c>
      <c r="AQ130" t="s">
        <v>54</v>
      </c>
    </row>
    <row r="131" spans="1:43" x14ac:dyDescent="0.25">
      <c r="A131" t="s">
        <v>690</v>
      </c>
      <c r="B131" t="s">
        <v>281</v>
      </c>
      <c r="C131">
        <v>76.099999999999994</v>
      </c>
      <c r="D131">
        <v>188</v>
      </c>
      <c r="E131">
        <v>1.2500000000000001E-2</v>
      </c>
      <c r="F131">
        <v>1000000</v>
      </c>
      <c r="G131">
        <v>9.5099999999999998E-7</v>
      </c>
      <c r="H131">
        <v>0.106</v>
      </c>
      <c r="I131">
        <v>1.2300000000000001E-5</v>
      </c>
      <c r="J131">
        <v>0.17</v>
      </c>
      <c r="K131">
        <v>0.17499999999999999</v>
      </c>
      <c r="L131">
        <v>1.75E-3</v>
      </c>
      <c r="M131">
        <v>1.3100000000000001E-2</v>
      </c>
      <c r="N131">
        <v>7.0099999999999997E-3</v>
      </c>
      <c r="O131">
        <v>8.43</v>
      </c>
      <c r="P131">
        <v>1</v>
      </c>
      <c r="Q131">
        <v>6.39</v>
      </c>
      <c r="R131">
        <v>3650</v>
      </c>
      <c r="S131">
        <v>108</v>
      </c>
      <c r="T131">
        <v>108</v>
      </c>
      <c r="U131">
        <v>8.8900000000000003E-3</v>
      </c>
      <c r="V131">
        <v>8.8900000000000003E-3</v>
      </c>
      <c r="W131">
        <v>1.9099999999999999E-6</v>
      </c>
      <c r="X131">
        <v>9.0699999999999996E-6</v>
      </c>
      <c r="Y131">
        <v>1.1E-5</v>
      </c>
      <c r="AB131">
        <v>3.16</v>
      </c>
      <c r="AG131">
        <v>0.02</v>
      </c>
      <c r="AH131" t="s">
        <v>48</v>
      </c>
      <c r="AI131" t="s">
        <v>49</v>
      </c>
      <c r="AJ131" t="s">
        <v>50</v>
      </c>
      <c r="AL131">
        <v>108</v>
      </c>
      <c r="AM131">
        <v>3.8199999999999998E-6</v>
      </c>
      <c r="AN131">
        <v>6.6800000000000004E-6</v>
      </c>
      <c r="AQ131" t="s">
        <v>54</v>
      </c>
    </row>
    <row r="132" spans="1:43" x14ac:dyDescent="0.25">
      <c r="A132" t="s">
        <v>282</v>
      </c>
      <c r="B132" t="s">
        <v>283</v>
      </c>
      <c r="C132">
        <v>425</v>
      </c>
      <c r="D132">
        <v>538</v>
      </c>
      <c r="E132">
        <v>7.3699999999999995E-15</v>
      </c>
      <c r="F132">
        <v>2.3999999999999999E-6</v>
      </c>
      <c r="G132">
        <v>1.2E-5</v>
      </c>
      <c r="H132">
        <v>9.0499999999999997E-2</v>
      </c>
      <c r="I132">
        <v>7.9999999999999996E-6</v>
      </c>
      <c r="J132">
        <v>100000000</v>
      </c>
      <c r="K132">
        <v>61700000</v>
      </c>
      <c r="L132">
        <v>617000</v>
      </c>
      <c r="M132">
        <v>4620000</v>
      </c>
      <c r="N132">
        <v>2470000</v>
      </c>
      <c r="O132">
        <v>0.03</v>
      </c>
      <c r="P132">
        <v>3.0000000000000001E-3</v>
      </c>
      <c r="Q132">
        <v>336000</v>
      </c>
      <c r="R132">
        <v>0.54500000000000004</v>
      </c>
      <c r="S132">
        <v>9.2000000000000003E-4</v>
      </c>
      <c r="T132">
        <v>9.2000000000000003E-4</v>
      </c>
      <c r="U132">
        <v>910000</v>
      </c>
      <c r="V132">
        <v>910000</v>
      </c>
      <c r="W132">
        <v>1.8500000000000001E-3</v>
      </c>
      <c r="X132">
        <v>8.77E-3</v>
      </c>
      <c r="Y132">
        <v>1.06E-2</v>
      </c>
      <c r="Z132">
        <v>2.5499999999999998E-2</v>
      </c>
      <c r="AA132">
        <v>0.39</v>
      </c>
      <c r="AB132">
        <v>2750</v>
      </c>
      <c r="AD132">
        <v>5.0000000000000001E-3</v>
      </c>
      <c r="AE132">
        <v>7.0000000000000005E-8</v>
      </c>
      <c r="AF132">
        <v>14000</v>
      </c>
      <c r="AG132">
        <v>3.9999999999999998E-6</v>
      </c>
      <c r="AH132">
        <v>4</v>
      </c>
      <c r="AI132" t="s">
        <v>49</v>
      </c>
      <c r="AJ132" t="s">
        <v>50</v>
      </c>
      <c r="AK132" t="s">
        <v>262</v>
      </c>
      <c r="AL132">
        <v>9.2000000000000003E-4</v>
      </c>
      <c r="AM132">
        <v>3.6900000000000001E-3</v>
      </c>
      <c r="AN132">
        <v>6.4599999999999996E-3</v>
      </c>
      <c r="AO132">
        <v>0.01</v>
      </c>
      <c r="AQ132" t="s">
        <v>54</v>
      </c>
    </row>
    <row r="133" spans="1:43" x14ac:dyDescent="0.25">
      <c r="A133" t="s">
        <v>284</v>
      </c>
      <c r="B133" t="s">
        <v>285</v>
      </c>
      <c r="C133">
        <v>409</v>
      </c>
      <c r="D133">
        <v>510</v>
      </c>
      <c r="E133">
        <v>4.61E-14</v>
      </c>
      <c r="F133">
        <v>1.35E-6</v>
      </c>
      <c r="G133">
        <v>1.4100000000000001E-5</v>
      </c>
      <c r="H133">
        <v>2.0299999999999999E-2</v>
      </c>
      <c r="I133">
        <v>7.9999999999999996E-6</v>
      </c>
      <c r="J133">
        <v>25100000</v>
      </c>
      <c r="K133">
        <v>15500000</v>
      </c>
      <c r="L133">
        <v>155000</v>
      </c>
      <c r="M133">
        <v>1160000</v>
      </c>
      <c r="N133">
        <v>620000</v>
      </c>
      <c r="O133">
        <v>0.03</v>
      </c>
      <c r="P133">
        <v>0.01</v>
      </c>
      <c r="Q133">
        <v>116000</v>
      </c>
      <c r="R133">
        <v>0.748</v>
      </c>
      <c r="S133">
        <v>2.0500000000000002E-3</v>
      </c>
      <c r="T133">
        <v>2.0500000000000002E-3</v>
      </c>
      <c r="U133">
        <v>830000</v>
      </c>
      <c r="V133">
        <v>830000</v>
      </c>
      <c r="W133">
        <v>3.46E-3</v>
      </c>
      <c r="X133">
        <v>1.6400000000000001E-2</v>
      </c>
      <c r="Y133">
        <v>1.9900000000000001E-2</v>
      </c>
      <c r="Z133">
        <v>2.0899999999999998E-2</v>
      </c>
      <c r="AA133">
        <v>0.32</v>
      </c>
      <c r="AB133">
        <v>18300</v>
      </c>
      <c r="AD133">
        <v>5.0000000000000001E-3</v>
      </c>
      <c r="AE133">
        <v>7.0000000000000005E-8</v>
      </c>
      <c r="AF133">
        <v>14000</v>
      </c>
      <c r="AG133">
        <v>3.9999999999999998E-6</v>
      </c>
      <c r="AH133">
        <v>4</v>
      </c>
      <c r="AI133" t="s">
        <v>49</v>
      </c>
      <c r="AJ133" t="s">
        <v>50</v>
      </c>
      <c r="AK133" t="s">
        <v>219</v>
      </c>
      <c r="AL133">
        <v>2.0500000000000002E-3</v>
      </c>
      <c r="AM133">
        <v>6.9199999999999999E-3</v>
      </c>
      <c r="AN133">
        <v>1.21E-2</v>
      </c>
      <c r="AO133">
        <v>0.01</v>
      </c>
      <c r="AQ133" t="s">
        <v>54</v>
      </c>
    </row>
    <row r="134" spans="1:43" x14ac:dyDescent="0.25">
      <c r="A134" t="s">
        <v>286</v>
      </c>
      <c r="B134" t="s">
        <v>287</v>
      </c>
      <c r="C134">
        <v>409</v>
      </c>
      <c r="D134">
        <v>495</v>
      </c>
      <c r="E134">
        <v>4.04E-13</v>
      </c>
      <c r="F134">
        <v>1.3999999999999999E-6</v>
      </c>
      <c r="G134">
        <v>1.4E-5</v>
      </c>
      <c r="H134">
        <v>2.0299999999999999E-2</v>
      </c>
      <c r="I134">
        <v>7.9999999999999996E-6</v>
      </c>
      <c r="J134">
        <v>25100000</v>
      </c>
      <c r="K134">
        <v>15500000</v>
      </c>
      <c r="L134">
        <v>155000</v>
      </c>
      <c r="M134">
        <v>1160000</v>
      </c>
      <c r="N134">
        <v>620000</v>
      </c>
      <c r="O134">
        <v>0.03</v>
      </c>
      <c r="P134">
        <v>5.7000000000000002E-2</v>
      </c>
      <c r="Q134">
        <v>116000</v>
      </c>
      <c r="R134">
        <v>0.748</v>
      </c>
      <c r="S134">
        <v>2.0500000000000002E-3</v>
      </c>
      <c r="T134">
        <v>2.0500000000000002E-3</v>
      </c>
      <c r="U134">
        <v>830000</v>
      </c>
      <c r="V134">
        <v>830000</v>
      </c>
      <c r="W134">
        <v>3.46E-3</v>
      </c>
      <c r="X134">
        <v>1.6400000000000001E-2</v>
      </c>
      <c r="Y134">
        <v>1.9900000000000001E-2</v>
      </c>
      <c r="Z134">
        <v>2.4199999999999999E-2</v>
      </c>
      <c r="AA134">
        <v>0.48</v>
      </c>
      <c r="AB134">
        <v>18300</v>
      </c>
      <c r="AD134">
        <v>5.0000000000000001E-3</v>
      </c>
      <c r="AE134">
        <v>7.0000000000000005E-8</v>
      </c>
      <c r="AF134">
        <v>14000</v>
      </c>
      <c r="AG134">
        <v>3.9999999999999998E-6</v>
      </c>
      <c r="AH134">
        <v>4</v>
      </c>
      <c r="AI134" t="s">
        <v>49</v>
      </c>
      <c r="AJ134" t="s">
        <v>50</v>
      </c>
      <c r="AK134" t="s">
        <v>219</v>
      </c>
      <c r="AL134">
        <v>2.0500000000000002E-3</v>
      </c>
      <c r="AM134">
        <v>6.9199999999999999E-3</v>
      </c>
      <c r="AN134">
        <v>1.21E-2</v>
      </c>
      <c r="AO134">
        <v>0.01</v>
      </c>
      <c r="AQ134" t="s">
        <v>54</v>
      </c>
    </row>
    <row r="135" spans="1:43" x14ac:dyDescent="0.25">
      <c r="A135" t="s">
        <v>691</v>
      </c>
      <c r="B135" t="s">
        <v>288</v>
      </c>
      <c r="C135">
        <v>326</v>
      </c>
      <c r="D135">
        <v>283</v>
      </c>
      <c r="E135">
        <v>1.01E-7</v>
      </c>
      <c r="F135">
        <v>4.2999999999999997E-2</v>
      </c>
      <c r="G135">
        <v>2.8299999999999999E-4</v>
      </c>
      <c r="H135">
        <v>1E-3</v>
      </c>
      <c r="I135">
        <v>1.0000000000000001E-5</v>
      </c>
      <c r="J135">
        <v>3160000</v>
      </c>
      <c r="K135">
        <v>2450000</v>
      </c>
      <c r="L135">
        <v>24500</v>
      </c>
      <c r="M135">
        <v>184000</v>
      </c>
      <c r="N135">
        <v>98100</v>
      </c>
      <c r="O135">
        <v>0.03</v>
      </c>
      <c r="P135">
        <v>0.99199999999999999</v>
      </c>
      <c r="Q135">
        <v>23500</v>
      </c>
      <c r="R135">
        <v>0.95799999999999996</v>
      </c>
      <c r="S135">
        <v>6.7799999999999996E-3</v>
      </c>
      <c r="T135">
        <v>6.7799999999999996E-3</v>
      </c>
      <c r="U135">
        <v>1650</v>
      </c>
      <c r="V135">
        <v>1650</v>
      </c>
      <c r="W135">
        <v>6.5199999999999998E-3</v>
      </c>
      <c r="X135">
        <v>3.1E-2</v>
      </c>
      <c r="Y135">
        <v>3.7499999999999999E-2</v>
      </c>
      <c r="Z135">
        <v>12.8</v>
      </c>
      <c r="AB135">
        <v>84100</v>
      </c>
      <c r="AD135">
        <v>2</v>
      </c>
      <c r="AE135">
        <v>4.5000000000000003E-5</v>
      </c>
      <c r="AF135">
        <v>42</v>
      </c>
      <c r="AG135">
        <v>1.2999999999999999E-3</v>
      </c>
      <c r="AH135">
        <v>8.5714290000000002E-3</v>
      </c>
      <c r="AI135" t="s">
        <v>49</v>
      </c>
      <c r="AJ135" t="s">
        <v>50</v>
      </c>
      <c r="AK135" t="s">
        <v>65</v>
      </c>
      <c r="AL135">
        <v>0.01</v>
      </c>
      <c r="AM135">
        <v>1.2999999999999999E-2</v>
      </c>
      <c r="AN135">
        <v>3.2000000000000001E-2</v>
      </c>
      <c r="AQ135" t="s">
        <v>54</v>
      </c>
    </row>
    <row r="136" spans="1:43" x14ac:dyDescent="0.25">
      <c r="A136" t="s">
        <v>289</v>
      </c>
      <c r="B136" t="s">
        <v>290</v>
      </c>
      <c r="C136">
        <v>391</v>
      </c>
      <c r="D136">
        <v>547</v>
      </c>
      <c r="E136">
        <v>5.0000000000000002E-14</v>
      </c>
      <c r="F136">
        <v>4.42E-6</v>
      </c>
      <c r="G136">
        <v>1.0699999999999999E-5</v>
      </c>
      <c r="H136">
        <v>9.4399999999999998E-2</v>
      </c>
      <c r="I136">
        <v>7.9999999999999996E-6</v>
      </c>
      <c r="J136">
        <v>63100000</v>
      </c>
      <c r="K136">
        <v>38900000</v>
      </c>
      <c r="L136">
        <v>389000</v>
      </c>
      <c r="M136">
        <v>2920000</v>
      </c>
      <c r="N136">
        <v>1560000</v>
      </c>
      <c r="O136">
        <v>0.03</v>
      </c>
      <c r="P136">
        <v>2.4E-2</v>
      </c>
      <c r="Q136">
        <v>236000</v>
      </c>
      <c r="R136">
        <v>0.60499999999999998</v>
      </c>
      <c r="S136">
        <v>1.1999999999999999E-3</v>
      </c>
      <c r="T136">
        <v>1.1999999999999999E-3</v>
      </c>
      <c r="U136">
        <v>520000</v>
      </c>
      <c r="V136">
        <v>520000</v>
      </c>
      <c r="W136">
        <v>2.32E-3</v>
      </c>
      <c r="X136">
        <v>1.0999999999999999E-2</v>
      </c>
      <c r="Y136">
        <v>1.3299999999999999E-2</v>
      </c>
      <c r="Z136">
        <v>4.53E-2</v>
      </c>
      <c r="AA136">
        <v>1.83</v>
      </c>
      <c r="AB136">
        <v>5180</v>
      </c>
      <c r="AD136">
        <v>0.04</v>
      </c>
      <c r="AE136">
        <v>6.9999999999999998E-9</v>
      </c>
      <c r="AF136">
        <v>140000</v>
      </c>
      <c r="AG136">
        <v>3.9999999999999998E-7</v>
      </c>
      <c r="AH136">
        <v>40</v>
      </c>
      <c r="AI136" t="s">
        <v>49</v>
      </c>
      <c r="AJ136" t="s">
        <v>50</v>
      </c>
      <c r="AK136" t="s">
        <v>262</v>
      </c>
      <c r="AL136">
        <v>1.1999999999999999E-3</v>
      </c>
      <c r="AM136">
        <v>4.6299999999999996E-3</v>
      </c>
      <c r="AN136">
        <v>8.1099999999999992E-3</v>
      </c>
      <c r="AO136">
        <v>0.1</v>
      </c>
      <c r="AQ136" t="s">
        <v>54</v>
      </c>
    </row>
    <row r="137" spans="1:43" x14ac:dyDescent="0.25">
      <c r="A137" t="s">
        <v>291</v>
      </c>
      <c r="B137" t="s">
        <v>292</v>
      </c>
      <c r="C137">
        <v>391</v>
      </c>
      <c r="D137">
        <v>559</v>
      </c>
      <c r="E137">
        <v>4.7299999999999998E-14</v>
      </c>
      <c r="F137">
        <v>4.4000000000000002E-6</v>
      </c>
      <c r="G137">
        <v>1.1E-5</v>
      </c>
      <c r="H137">
        <v>9.4399999999999998E-2</v>
      </c>
      <c r="I137">
        <v>7.9999999999999996E-6</v>
      </c>
      <c r="J137">
        <v>20000000</v>
      </c>
      <c r="K137">
        <v>12300000</v>
      </c>
      <c r="L137">
        <v>123000</v>
      </c>
      <c r="M137">
        <v>923000</v>
      </c>
      <c r="N137">
        <v>492000</v>
      </c>
      <c r="O137">
        <v>0.03</v>
      </c>
      <c r="P137">
        <v>2.9000000000000001E-2</v>
      </c>
      <c r="Q137">
        <v>97100</v>
      </c>
      <c r="R137">
        <v>0.78900000000000003</v>
      </c>
      <c r="S137">
        <v>2.3400000000000001E-3</v>
      </c>
      <c r="T137">
        <v>2.33E-3</v>
      </c>
      <c r="U137">
        <v>520000</v>
      </c>
      <c r="V137">
        <v>520000</v>
      </c>
      <c r="W137">
        <v>3.7799999999999999E-3</v>
      </c>
      <c r="X137">
        <v>1.7999999999999999E-2</v>
      </c>
      <c r="Y137">
        <v>2.1700000000000001E-2</v>
      </c>
      <c r="Z137">
        <v>3.6999999999999998E-2</v>
      </c>
      <c r="AA137">
        <v>1.17</v>
      </c>
      <c r="AB137">
        <v>25100</v>
      </c>
      <c r="AD137">
        <v>0.04</v>
      </c>
      <c r="AE137">
        <v>6.9999999999999998E-9</v>
      </c>
      <c r="AF137">
        <v>6200</v>
      </c>
      <c r="AG137">
        <v>3.9999999999999998E-7</v>
      </c>
      <c r="AH137">
        <v>40</v>
      </c>
      <c r="AI137" t="s">
        <v>49</v>
      </c>
      <c r="AJ137" t="s">
        <v>50</v>
      </c>
      <c r="AK137" t="s">
        <v>262</v>
      </c>
      <c r="AL137">
        <v>2.3400000000000001E-3</v>
      </c>
      <c r="AM137">
        <v>7.5599999999999999E-3</v>
      </c>
      <c r="AN137">
        <v>1.32E-2</v>
      </c>
      <c r="AO137">
        <v>0.1</v>
      </c>
      <c r="AQ137" t="s">
        <v>54</v>
      </c>
    </row>
    <row r="138" spans="1:43" x14ac:dyDescent="0.25">
      <c r="A138" t="s">
        <v>293</v>
      </c>
      <c r="B138" t="s">
        <v>294</v>
      </c>
      <c r="C138">
        <v>391</v>
      </c>
      <c r="D138">
        <v>517</v>
      </c>
      <c r="E138">
        <v>6.4500000000000003E-14</v>
      </c>
      <c r="F138">
        <v>4.4000000000000002E-6</v>
      </c>
      <c r="G138">
        <v>1.1E-5</v>
      </c>
      <c r="H138">
        <v>9.4399999999999998E-2</v>
      </c>
      <c r="I138">
        <v>7.9999999999999996E-6</v>
      </c>
      <c r="J138">
        <v>20000000</v>
      </c>
      <c r="K138">
        <v>12300000</v>
      </c>
      <c r="L138">
        <v>123000</v>
      </c>
      <c r="M138">
        <v>923000</v>
      </c>
      <c r="N138">
        <v>492000</v>
      </c>
      <c r="O138">
        <v>0.03</v>
      </c>
      <c r="P138">
        <v>1.6E-2</v>
      </c>
      <c r="Q138">
        <v>97100</v>
      </c>
      <c r="R138">
        <v>0.78900000000000003</v>
      </c>
      <c r="S138">
        <v>2.3400000000000001E-3</v>
      </c>
      <c r="T138">
        <v>2.3400000000000001E-3</v>
      </c>
      <c r="U138">
        <v>520000</v>
      </c>
      <c r="V138">
        <v>520000</v>
      </c>
      <c r="W138">
        <v>3.7799999999999999E-3</v>
      </c>
      <c r="X138">
        <v>1.7999999999999999E-2</v>
      </c>
      <c r="Y138">
        <v>2.1700000000000001E-2</v>
      </c>
      <c r="Z138">
        <v>2.3300000000000001E-2</v>
      </c>
      <c r="AA138">
        <v>0.63</v>
      </c>
      <c r="AB138">
        <v>25100</v>
      </c>
      <c r="AD138">
        <v>0.04</v>
      </c>
      <c r="AE138">
        <v>6.9999999999999998E-9</v>
      </c>
      <c r="AF138">
        <v>140000</v>
      </c>
      <c r="AG138">
        <v>3.9999999999999998E-7</v>
      </c>
      <c r="AH138">
        <v>40</v>
      </c>
      <c r="AI138" t="s">
        <v>49</v>
      </c>
      <c r="AJ138" t="s">
        <v>50</v>
      </c>
      <c r="AK138" t="s">
        <v>262</v>
      </c>
      <c r="AL138">
        <v>2.3400000000000001E-3</v>
      </c>
      <c r="AM138">
        <v>7.5599999999999999E-3</v>
      </c>
      <c r="AN138">
        <v>1.32E-2</v>
      </c>
      <c r="AO138">
        <v>0.1</v>
      </c>
      <c r="AQ138" t="s">
        <v>54</v>
      </c>
    </row>
    <row r="139" spans="1:43" x14ac:dyDescent="0.25">
      <c r="A139" t="s">
        <v>295</v>
      </c>
      <c r="B139" t="s">
        <v>296</v>
      </c>
      <c r="C139">
        <v>375</v>
      </c>
      <c r="D139">
        <v>499</v>
      </c>
      <c r="E139">
        <v>3.1600000000000002E-13</v>
      </c>
      <c r="F139">
        <v>8.2500000000000006E-6</v>
      </c>
      <c r="G139">
        <v>1.43E-5</v>
      </c>
      <c r="H139">
        <v>2.12E-2</v>
      </c>
      <c r="I139">
        <v>7.9999999999999996E-6</v>
      </c>
      <c r="J139">
        <v>10000000</v>
      </c>
      <c r="K139">
        <v>6170000</v>
      </c>
      <c r="L139">
        <v>61700</v>
      </c>
      <c r="M139">
        <v>462000</v>
      </c>
      <c r="N139">
        <v>247000</v>
      </c>
      <c r="O139">
        <v>0.03</v>
      </c>
      <c r="P139">
        <v>4.9000000000000002E-2</v>
      </c>
      <c r="Q139">
        <v>57000</v>
      </c>
      <c r="R139">
        <v>0.92500000000000004</v>
      </c>
      <c r="S139">
        <v>3.48E-3</v>
      </c>
      <c r="T139">
        <v>3.48E-3</v>
      </c>
      <c r="U139">
        <v>162000</v>
      </c>
      <c r="V139">
        <v>162000</v>
      </c>
      <c r="W139">
        <v>4.7999999999999996E-3</v>
      </c>
      <c r="X139">
        <v>2.2800000000000001E-2</v>
      </c>
      <c r="Y139">
        <v>2.76E-2</v>
      </c>
      <c r="Z139">
        <v>4.5100000000000001E-2</v>
      </c>
      <c r="AA139">
        <v>1.58</v>
      </c>
      <c r="AB139">
        <v>49000</v>
      </c>
      <c r="AD139">
        <v>0.04</v>
      </c>
      <c r="AE139">
        <v>6.9999999999999998E-9</v>
      </c>
      <c r="AF139">
        <v>140000</v>
      </c>
      <c r="AG139">
        <v>3.9999999999999998E-7</v>
      </c>
      <c r="AH139">
        <v>40</v>
      </c>
      <c r="AI139" t="s">
        <v>49</v>
      </c>
      <c r="AJ139" t="s">
        <v>50</v>
      </c>
      <c r="AK139" t="s">
        <v>219</v>
      </c>
      <c r="AL139">
        <v>3.48E-3</v>
      </c>
      <c r="AM139">
        <v>9.5999999999999992E-3</v>
      </c>
      <c r="AN139">
        <v>1.6799999999999999E-2</v>
      </c>
      <c r="AO139">
        <v>0.1</v>
      </c>
      <c r="AQ139" t="s">
        <v>54</v>
      </c>
    </row>
    <row r="140" spans="1:43" x14ac:dyDescent="0.25">
      <c r="A140" t="s">
        <v>297</v>
      </c>
      <c r="B140" t="s">
        <v>298</v>
      </c>
      <c r="C140">
        <v>375</v>
      </c>
      <c r="D140">
        <v>506</v>
      </c>
      <c r="E140">
        <v>2.8899999999999998E-13</v>
      </c>
      <c r="F140">
        <v>1.77E-5</v>
      </c>
      <c r="G140">
        <v>7.3100000000000003E-6</v>
      </c>
      <c r="H140">
        <v>2.12E-2</v>
      </c>
      <c r="I140">
        <v>7.9999999999999996E-6</v>
      </c>
      <c r="J140">
        <v>10000000</v>
      </c>
      <c r="K140">
        <v>6170000</v>
      </c>
      <c r="L140">
        <v>61700</v>
      </c>
      <c r="M140">
        <v>462000</v>
      </c>
      <c r="N140">
        <v>247000</v>
      </c>
      <c r="O140">
        <v>0.03</v>
      </c>
      <c r="P140">
        <v>5.1999999999999998E-2</v>
      </c>
      <c r="Q140">
        <v>57000</v>
      </c>
      <c r="R140">
        <v>0.92500000000000004</v>
      </c>
      <c r="S140">
        <v>3.48E-3</v>
      </c>
      <c r="T140">
        <v>3.48E-3</v>
      </c>
      <c r="U140">
        <v>162000</v>
      </c>
      <c r="V140">
        <v>162000</v>
      </c>
      <c r="W140">
        <v>4.7999999999999996E-3</v>
      </c>
      <c r="X140">
        <v>2.2800000000000001E-2</v>
      </c>
      <c r="Y140">
        <v>2.76E-2</v>
      </c>
      <c r="Z140">
        <v>4.53E-2</v>
      </c>
      <c r="AA140">
        <v>1.62</v>
      </c>
      <c r="AB140">
        <v>49000</v>
      </c>
      <c r="AD140">
        <v>0.04</v>
      </c>
      <c r="AE140">
        <v>6.9999999999999998E-9</v>
      </c>
      <c r="AF140">
        <v>140000</v>
      </c>
      <c r="AG140">
        <v>3.9999999999999998E-7</v>
      </c>
      <c r="AH140">
        <v>40</v>
      </c>
      <c r="AI140" t="s">
        <v>49</v>
      </c>
      <c r="AJ140" t="s">
        <v>50</v>
      </c>
      <c r="AK140" t="s">
        <v>219</v>
      </c>
      <c r="AL140">
        <v>3.48E-3</v>
      </c>
      <c r="AM140">
        <v>9.5999999999999992E-3</v>
      </c>
      <c r="AN140">
        <v>1.6799999999999999E-2</v>
      </c>
      <c r="AO140">
        <v>0.1</v>
      </c>
      <c r="AQ140" t="s">
        <v>54</v>
      </c>
    </row>
    <row r="141" spans="1:43" x14ac:dyDescent="0.25">
      <c r="A141" t="s">
        <v>299</v>
      </c>
      <c r="B141" t="s">
        <v>300</v>
      </c>
      <c r="C141">
        <v>375</v>
      </c>
      <c r="D141">
        <v>521</v>
      </c>
      <c r="E141">
        <v>3.68E-13</v>
      </c>
      <c r="F141">
        <v>1.2999999999999999E-5</v>
      </c>
      <c r="G141">
        <v>1.1E-5</v>
      </c>
      <c r="H141">
        <v>2.12E-2</v>
      </c>
      <c r="I141">
        <v>7.9999999999999996E-6</v>
      </c>
      <c r="J141">
        <v>10000000</v>
      </c>
      <c r="K141">
        <v>6170000</v>
      </c>
      <c r="L141">
        <v>61700</v>
      </c>
      <c r="M141">
        <v>462000</v>
      </c>
      <c r="N141">
        <v>247000</v>
      </c>
      <c r="O141">
        <v>0.03</v>
      </c>
      <c r="P141">
        <v>0.09</v>
      </c>
      <c r="Q141">
        <v>57000</v>
      </c>
      <c r="R141">
        <v>0.92500000000000004</v>
      </c>
      <c r="S141">
        <v>3.48E-3</v>
      </c>
      <c r="T141">
        <v>3.48E-3</v>
      </c>
      <c r="U141">
        <v>162000</v>
      </c>
      <c r="V141">
        <v>162000</v>
      </c>
      <c r="W141">
        <v>4.7999999999999996E-3</v>
      </c>
      <c r="X141">
        <v>2.2800000000000001E-2</v>
      </c>
      <c r="Y141">
        <v>2.76E-2</v>
      </c>
      <c r="AB141">
        <v>49000</v>
      </c>
      <c r="AD141">
        <v>0.04</v>
      </c>
      <c r="AE141">
        <v>6.9999999999999998E-9</v>
      </c>
      <c r="AF141">
        <v>140000</v>
      </c>
      <c r="AG141">
        <v>3.9999999999999998E-7</v>
      </c>
      <c r="AH141">
        <v>40</v>
      </c>
      <c r="AI141" t="s">
        <v>49</v>
      </c>
      <c r="AJ141" t="s">
        <v>50</v>
      </c>
      <c r="AK141" t="s">
        <v>219</v>
      </c>
      <c r="AL141">
        <v>3.48E-3</v>
      </c>
      <c r="AM141">
        <v>9.5999999999999992E-3</v>
      </c>
      <c r="AN141">
        <v>1.6799999999999999E-2</v>
      </c>
      <c r="AO141">
        <v>0.1</v>
      </c>
      <c r="AQ141" t="s">
        <v>54</v>
      </c>
    </row>
    <row r="142" spans="1:43" x14ac:dyDescent="0.25">
      <c r="A142" t="s">
        <v>301</v>
      </c>
      <c r="B142" t="s">
        <v>302</v>
      </c>
      <c r="C142">
        <v>375</v>
      </c>
      <c r="D142">
        <v>513</v>
      </c>
      <c r="E142">
        <v>2.6299999999999999E-13</v>
      </c>
      <c r="F142">
        <v>1.2999999999999999E-5</v>
      </c>
      <c r="G142">
        <v>1.1E-5</v>
      </c>
      <c r="H142">
        <v>2.12E-2</v>
      </c>
      <c r="I142">
        <v>7.9999999999999996E-6</v>
      </c>
      <c r="J142">
        <v>10000000</v>
      </c>
      <c r="K142">
        <v>6170000</v>
      </c>
      <c r="L142">
        <v>61700</v>
      </c>
      <c r="M142">
        <v>462000</v>
      </c>
      <c r="N142">
        <v>247000</v>
      </c>
      <c r="O142">
        <v>0.03</v>
      </c>
      <c r="P142">
        <v>5.5E-2</v>
      </c>
      <c r="Q142">
        <v>57000</v>
      </c>
      <c r="R142">
        <v>0.92500000000000004</v>
      </c>
      <c r="S142">
        <v>3.48E-3</v>
      </c>
      <c r="T142">
        <v>3.48E-3</v>
      </c>
      <c r="U142">
        <v>162000</v>
      </c>
      <c r="V142">
        <v>162000</v>
      </c>
      <c r="W142">
        <v>4.7999999999999996E-3</v>
      </c>
      <c r="X142">
        <v>2.2800000000000001E-2</v>
      </c>
      <c r="Y142">
        <v>2.76E-2</v>
      </c>
      <c r="Z142">
        <v>2.7099999999999999E-2</v>
      </c>
      <c r="AA142">
        <v>0.79</v>
      </c>
      <c r="AB142">
        <v>49000</v>
      </c>
      <c r="AD142">
        <v>0.04</v>
      </c>
      <c r="AE142">
        <v>6.9999999999999998E-9</v>
      </c>
      <c r="AF142">
        <v>140000</v>
      </c>
      <c r="AG142">
        <v>3.9999999999999998E-7</v>
      </c>
      <c r="AH142">
        <v>40</v>
      </c>
      <c r="AI142" t="s">
        <v>49</v>
      </c>
      <c r="AJ142" t="s">
        <v>50</v>
      </c>
      <c r="AK142" t="s">
        <v>219</v>
      </c>
      <c r="AL142">
        <v>3.48E-3</v>
      </c>
      <c r="AM142">
        <v>9.5999999999999992E-3</v>
      </c>
      <c r="AN142">
        <v>1.6799999999999999E-2</v>
      </c>
      <c r="AO142">
        <v>0.1</v>
      </c>
      <c r="AQ142" t="s">
        <v>54</v>
      </c>
    </row>
    <row r="143" spans="1:43" x14ac:dyDescent="0.25">
      <c r="A143" t="s">
        <v>303</v>
      </c>
      <c r="B143" t="s">
        <v>304</v>
      </c>
      <c r="C143">
        <v>261</v>
      </c>
      <c r="D143">
        <v>252</v>
      </c>
      <c r="E143">
        <v>2.8899999999999998E-4</v>
      </c>
      <c r="F143">
        <v>3.2</v>
      </c>
      <c r="G143">
        <v>8.0999999999999996E-3</v>
      </c>
      <c r="H143">
        <v>5.6099999999999997E-2</v>
      </c>
      <c r="I143">
        <v>6.1600000000000003E-6</v>
      </c>
      <c r="J143">
        <v>63100</v>
      </c>
      <c r="K143">
        <v>7580</v>
      </c>
      <c r="L143">
        <v>7600</v>
      </c>
      <c r="M143">
        <v>568</v>
      </c>
      <c r="N143">
        <v>303</v>
      </c>
      <c r="O143">
        <v>1.41</v>
      </c>
      <c r="P143">
        <v>1</v>
      </c>
      <c r="Q143">
        <v>1150</v>
      </c>
      <c r="R143">
        <v>0.152</v>
      </c>
      <c r="S143">
        <v>6.5000000000000002E-2</v>
      </c>
      <c r="T143">
        <v>6.5100000000000005E-2</v>
      </c>
      <c r="U143">
        <v>0.89300000000000002</v>
      </c>
      <c r="V143">
        <v>0.89300000000000002</v>
      </c>
      <c r="W143">
        <v>7.8899999999999994E-3</v>
      </c>
      <c r="X143">
        <v>3.7499999999999999E-2</v>
      </c>
      <c r="Y143">
        <v>4.5400000000000003E-2</v>
      </c>
      <c r="Z143">
        <v>0.42799999999999999</v>
      </c>
      <c r="AB143">
        <v>991</v>
      </c>
      <c r="AC143">
        <v>2430</v>
      </c>
      <c r="AE143">
        <v>1E-3</v>
      </c>
      <c r="AF143">
        <v>7.8E-2</v>
      </c>
      <c r="AH143">
        <v>2.1999999999999999E-5</v>
      </c>
      <c r="AI143" t="s">
        <v>49</v>
      </c>
      <c r="AJ143" t="s">
        <v>50</v>
      </c>
      <c r="AL143">
        <v>6.5000000000000002E-2</v>
      </c>
      <c r="AM143">
        <v>1.5800000000000002E-2</v>
      </c>
      <c r="AN143">
        <v>2.76E-2</v>
      </c>
      <c r="AQ143" t="s">
        <v>54</v>
      </c>
    </row>
    <row r="144" spans="1:43" x14ac:dyDescent="0.25">
      <c r="A144" t="s">
        <v>305</v>
      </c>
      <c r="B144" t="s">
        <v>306</v>
      </c>
      <c r="C144">
        <v>285</v>
      </c>
      <c r="D144">
        <v>503</v>
      </c>
      <c r="E144">
        <v>2.37E-8</v>
      </c>
      <c r="F144">
        <v>6.1999999999999999E-6</v>
      </c>
      <c r="G144">
        <v>1.2999999999999999E-3</v>
      </c>
      <c r="H144">
        <v>5.4199999999999998E-2</v>
      </c>
      <c r="I144">
        <v>5.9100000000000002E-6</v>
      </c>
      <c r="J144">
        <v>200000</v>
      </c>
      <c r="K144">
        <v>80000</v>
      </c>
      <c r="L144">
        <v>110</v>
      </c>
      <c r="M144">
        <v>6000</v>
      </c>
      <c r="N144">
        <v>3200</v>
      </c>
      <c r="O144">
        <v>0.12</v>
      </c>
      <c r="P144">
        <v>1</v>
      </c>
      <c r="Q144">
        <v>2800</v>
      </c>
      <c r="R144">
        <v>25</v>
      </c>
      <c r="S144">
        <v>3.3500000000000002E-2</v>
      </c>
      <c r="T144">
        <v>3.3000000000000002E-2</v>
      </c>
      <c r="U144">
        <v>19</v>
      </c>
      <c r="V144">
        <v>19</v>
      </c>
      <c r="W144">
        <v>8.5500000000000003E-3</v>
      </c>
      <c r="X144">
        <v>4.0599999999999997E-2</v>
      </c>
      <c r="Y144">
        <v>4.9200000000000001E-2</v>
      </c>
      <c r="Z144">
        <v>2.5299999999999998</v>
      </c>
      <c r="AB144">
        <v>2400</v>
      </c>
      <c r="AC144">
        <v>11500</v>
      </c>
      <c r="AE144">
        <v>8.0000000000000004E-4</v>
      </c>
      <c r="AF144">
        <v>1.6</v>
      </c>
      <c r="AH144">
        <v>4.6000000000000001E-4</v>
      </c>
      <c r="AI144" t="s">
        <v>49</v>
      </c>
      <c r="AJ144" t="s">
        <v>50</v>
      </c>
      <c r="AL144">
        <v>3.3500000000000002E-2</v>
      </c>
      <c r="AM144">
        <v>1.7100000000000001E-2</v>
      </c>
      <c r="AN144">
        <v>2.9899999999999999E-2</v>
      </c>
      <c r="AQ144" t="s">
        <v>54</v>
      </c>
    </row>
    <row r="145" spans="1:43" x14ac:dyDescent="0.25">
      <c r="A145" t="s">
        <v>692</v>
      </c>
      <c r="B145" t="s">
        <v>308</v>
      </c>
      <c r="C145">
        <v>326</v>
      </c>
      <c r="D145">
        <v>283</v>
      </c>
      <c r="E145">
        <v>1.01E-7</v>
      </c>
      <c r="F145">
        <v>4.2999999999999997E-2</v>
      </c>
      <c r="G145">
        <v>2.8299999999999999E-4</v>
      </c>
      <c r="H145">
        <v>1E-3</v>
      </c>
      <c r="I145">
        <v>1.0000000000000001E-5</v>
      </c>
      <c r="J145">
        <v>3160000</v>
      </c>
      <c r="K145">
        <v>2450000</v>
      </c>
      <c r="L145">
        <v>24500</v>
      </c>
      <c r="M145">
        <v>184000</v>
      </c>
      <c r="N145">
        <v>98100</v>
      </c>
      <c r="O145">
        <v>0.03</v>
      </c>
      <c r="P145">
        <v>0.99199999999999999</v>
      </c>
      <c r="Q145">
        <v>23500</v>
      </c>
      <c r="R145">
        <v>0.95799999999999996</v>
      </c>
      <c r="S145">
        <v>6.7799999999999996E-3</v>
      </c>
      <c r="T145">
        <v>6.7799999999999996E-3</v>
      </c>
      <c r="U145">
        <v>1650</v>
      </c>
      <c r="V145">
        <v>1650</v>
      </c>
      <c r="W145">
        <v>6.5199999999999998E-3</v>
      </c>
      <c r="X145">
        <v>3.1E-2</v>
      </c>
      <c r="Y145">
        <v>3.7499999999999999E-2</v>
      </c>
      <c r="Z145">
        <v>12.8</v>
      </c>
      <c r="AB145">
        <v>84100</v>
      </c>
      <c r="AD145">
        <v>2</v>
      </c>
      <c r="AE145">
        <v>4.5000000000000003E-5</v>
      </c>
      <c r="AF145">
        <v>42000</v>
      </c>
      <c r="AG145">
        <v>1.3E-6</v>
      </c>
      <c r="AH145">
        <v>8.5714285710000002</v>
      </c>
      <c r="AI145" t="s">
        <v>49</v>
      </c>
      <c r="AJ145" t="s">
        <v>50</v>
      </c>
      <c r="AK145" t="s">
        <v>65</v>
      </c>
      <c r="AL145">
        <v>0.01</v>
      </c>
      <c r="AM145">
        <v>1.2999999999999999E-2</v>
      </c>
      <c r="AN145">
        <v>3.2000000000000001E-2</v>
      </c>
      <c r="AQ145" t="s">
        <v>54</v>
      </c>
    </row>
    <row r="146" spans="1:43" x14ac:dyDescent="0.25">
      <c r="A146" t="s">
        <v>309</v>
      </c>
      <c r="B146" t="s">
        <v>310</v>
      </c>
      <c r="C146">
        <v>273</v>
      </c>
      <c r="D146">
        <v>284</v>
      </c>
      <c r="E146">
        <v>7.8899999999999993E-5</v>
      </c>
      <c r="F146">
        <v>1.8</v>
      </c>
      <c r="G146">
        <v>2.7E-2</v>
      </c>
      <c r="H146">
        <v>1E-3</v>
      </c>
      <c r="I146">
        <v>1.0000000000000001E-5</v>
      </c>
      <c r="J146">
        <v>110000</v>
      </c>
      <c r="K146">
        <v>11700</v>
      </c>
      <c r="L146">
        <v>117</v>
      </c>
      <c r="M146">
        <v>880</v>
      </c>
      <c r="N146">
        <v>470</v>
      </c>
      <c r="O146">
        <v>9.0299999999999994</v>
      </c>
      <c r="P146">
        <v>1</v>
      </c>
      <c r="Q146">
        <v>1770</v>
      </c>
      <c r="R146">
        <v>15</v>
      </c>
      <c r="S146">
        <v>4.7300000000000002E-2</v>
      </c>
      <c r="T146">
        <v>4.7300000000000002E-2</v>
      </c>
      <c r="U146">
        <v>0.48299999999999998</v>
      </c>
      <c r="V146">
        <v>0.48299999999999998</v>
      </c>
      <c r="W146">
        <v>8.3199999999999993E-3</v>
      </c>
      <c r="X146">
        <v>3.95E-2</v>
      </c>
      <c r="Y146">
        <v>4.7800000000000002E-2</v>
      </c>
      <c r="Z146">
        <v>0.64100000000000001</v>
      </c>
      <c r="AB146">
        <v>1520</v>
      </c>
      <c r="AC146">
        <v>5520</v>
      </c>
      <c r="AE146">
        <v>6.0000000000000001E-3</v>
      </c>
      <c r="AG146">
        <v>2.0000000000000001E-4</v>
      </c>
      <c r="AH146" t="s">
        <v>48</v>
      </c>
      <c r="AI146" t="s">
        <v>49</v>
      </c>
      <c r="AJ146" t="s">
        <v>50</v>
      </c>
      <c r="AL146">
        <v>4.7300000000000002E-2</v>
      </c>
      <c r="AM146">
        <v>1.66E-2</v>
      </c>
      <c r="AN146">
        <v>2.9100000000000001E-2</v>
      </c>
      <c r="AQ146" t="s">
        <v>54</v>
      </c>
    </row>
    <row r="147" spans="1:43" x14ac:dyDescent="0.25">
      <c r="A147" t="s">
        <v>311</v>
      </c>
      <c r="B147" t="s">
        <v>312</v>
      </c>
      <c r="C147">
        <v>236.74</v>
      </c>
      <c r="D147">
        <v>459.95</v>
      </c>
      <c r="E147">
        <v>2.7599999999999999E-4</v>
      </c>
      <c r="F147">
        <v>50</v>
      </c>
      <c r="G147">
        <v>3.8899999999999998E-3</v>
      </c>
      <c r="H147">
        <v>2.5000000000000001E-3</v>
      </c>
      <c r="I147">
        <v>6.8000000000000001E-6</v>
      </c>
      <c r="J147">
        <v>8511.3803819999994</v>
      </c>
      <c r="K147">
        <v>1550.84</v>
      </c>
      <c r="L147">
        <v>15.51</v>
      </c>
      <c r="M147">
        <v>116.31</v>
      </c>
      <c r="N147">
        <v>62.03</v>
      </c>
      <c r="O147">
        <v>1.41</v>
      </c>
      <c r="P147">
        <v>1</v>
      </c>
      <c r="Q147">
        <v>247</v>
      </c>
      <c r="R147">
        <v>15.9</v>
      </c>
      <c r="S147">
        <v>0.20699999999999999</v>
      </c>
      <c r="T147">
        <v>0.20699999999999999</v>
      </c>
      <c r="U147">
        <v>0.22</v>
      </c>
      <c r="V147">
        <v>0.22</v>
      </c>
      <c r="W147">
        <v>5.2253439999999998E-3</v>
      </c>
      <c r="X147">
        <v>2.4820384000000001E-2</v>
      </c>
      <c r="Y147">
        <v>3.0045728000000001E-2</v>
      </c>
      <c r="Z147">
        <v>7.6740051000000004E-2</v>
      </c>
      <c r="AB147">
        <v>212</v>
      </c>
      <c r="AE147">
        <v>6.9999999999999999E-4</v>
      </c>
      <c r="AF147">
        <v>0.04</v>
      </c>
      <c r="AH147">
        <v>3.9999999999999998E-6</v>
      </c>
      <c r="AI147" t="s">
        <v>49</v>
      </c>
      <c r="AJ147" t="s">
        <v>50</v>
      </c>
      <c r="AL147">
        <v>0.20699999999999999</v>
      </c>
      <c r="AM147">
        <v>1.0450688E-2</v>
      </c>
      <c r="AN147">
        <v>1.8288703999999999E-2</v>
      </c>
      <c r="AQ147" t="s">
        <v>54</v>
      </c>
    </row>
    <row r="148" spans="1:43" x14ac:dyDescent="0.25">
      <c r="A148" t="s">
        <v>742</v>
      </c>
      <c r="B148" t="s">
        <v>525</v>
      </c>
      <c r="C148">
        <v>138.01</v>
      </c>
      <c r="D148">
        <v>118.34</v>
      </c>
      <c r="E148">
        <v>19.8</v>
      </c>
      <c r="F148">
        <v>302.8</v>
      </c>
      <c r="G148">
        <v>24.1</v>
      </c>
      <c r="J148">
        <v>141</v>
      </c>
      <c r="K148">
        <v>196.8</v>
      </c>
      <c r="M148">
        <v>14.76</v>
      </c>
      <c r="N148">
        <v>7.8720000000000008</v>
      </c>
      <c r="P148">
        <v>0.67600000000000005</v>
      </c>
      <c r="AB148">
        <v>11.08</v>
      </c>
      <c r="AC148">
        <v>11.08</v>
      </c>
    </row>
    <row r="149" spans="1:43" x14ac:dyDescent="0.25">
      <c r="A149" t="s">
        <v>610</v>
      </c>
      <c r="B149" t="s">
        <v>313</v>
      </c>
      <c r="C149">
        <v>168</v>
      </c>
      <c r="D149">
        <v>206</v>
      </c>
      <c r="E149">
        <v>3.9499999999999998E-5</v>
      </c>
      <c r="F149">
        <v>117</v>
      </c>
      <c r="G149">
        <v>5.6799999999999998E-5</v>
      </c>
      <c r="H149">
        <v>6.2399999999999997E-2</v>
      </c>
      <c r="I149">
        <v>7.2200000000000003E-6</v>
      </c>
      <c r="J149">
        <v>1580</v>
      </c>
      <c r="K149">
        <v>1400</v>
      </c>
      <c r="L149">
        <v>14</v>
      </c>
      <c r="M149">
        <v>105</v>
      </c>
      <c r="N149">
        <v>56</v>
      </c>
      <c r="O149">
        <v>8.43</v>
      </c>
      <c r="P149">
        <v>1</v>
      </c>
      <c r="Q149">
        <v>67.599999999999994</v>
      </c>
      <c r="R149">
        <v>4.83</v>
      </c>
      <c r="S149">
        <v>0.54800000000000004</v>
      </c>
      <c r="T149">
        <v>0.54800000000000004</v>
      </c>
      <c r="U149">
        <v>2.52</v>
      </c>
      <c r="V149">
        <v>2.52</v>
      </c>
      <c r="W149">
        <v>2.8300000000000001E-3</v>
      </c>
      <c r="X149">
        <v>1.35E-2</v>
      </c>
      <c r="Y149">
        <v>1.6299999999999999E-2</v>
      </c>
      <c r="AB149">
        <v>58.1</v>
      </c>
      <c r="AG149">
        <v>1.0000000000000001E-5</v>
      </c>
      <c r="AH149" t="s">
        <v>48</v>
      </c>
      <c r="AI149" t="s">
        <v>49</v>
      </c>
      <c r="AJ149" t="s">
        <v>50</v>
      </c>
      <c r="AL149">
        <v>0.54800000000000004</v>
      </c>
      <c r="AM149">
        <v>5.6699999999999997E-3</v>
      </c>
      <c r="AN149">
        <v>9.92E-3</v>
      </c>
      <c r="AQ149" t="s">
        <v>54</v>
      </c>
    </row>
    <row r="150" spans="1:43" x14ac:dyDescent="0.25">
      <c r="A150" t="s">
        <v>611</v>
      </c>
      <c r="B150" t="s">
        <v>314</v>
      </c>
      <c r="C150">
        <v>146.22999999999999</v>
      </c>
      <c r="D150">
        <v>276.55</v>
      </c>
      <c r="E150">
        <v>5.9500000000000003E-5</v>
      </c>
      <c r="F150">
        <v>6577</v>
      </c>
      <c r="G150">
        <v>1.73E-7</v>
      </c>
      <c r="J150">
        <v>35.5</v>
      </c>
      <c r="K150">
        <v>10</v>
      </c>
      <c r="M150">
        <v>0.75</v>
      </c>
      <c r="N150">
        <v>0.4</v>
      </c>
      <c r="P150">
        <v>1</v>
      </c>
      <c r="AB150" t="s">
        <v>63</v>
      </c>
      <c r="AH150" t="s">
        <v>48</v>
      </c>
      <c r="AI150" t="s">
        <v>49</v>
      </c>
      <c r="AJ150" t="s">
        <v>50</v>
      </c>
      <c r="AQ150" t="s">
        <v>54</v>
      </c>
    </row>
    <row r="151" spans="1:43" x14ac:dyDescent="0.25">
      <c r="A151" t="s">
        <v>693</v>
      </c>
      <c r="B151" t="s">
        <v>317</v>
      </c>
      <c r="C151">
        <v>35.450000000000003</v>
      </c>
      <c r="D151">
        <v>159</v>
      </c>
      <c r="E151">
        <v>46.6</v>
      </c>
      <c r="F151">
        <v>720000</v>
      </c>
      <c r="G151">
        <v>2.3600000000000001E-3</v>
      </c>
      <c r="H151">
        <v>1E-3</v>
      </c>
      <c r="I151">
        <v>1.0000000000000001E-5</v>
      </c>
      <c r="J151">
        <v>3.47</v>
      </c>
      <c r="K151">
        <v>13.22</v>
      </c>
      <c r="M151">
        <v>0.99150000000000005</v>
      </c>
      <c r="N151">
        <v>0.52880000000000005</v>
      </c>
      <c r="P151">
        <v>0.53899999999999992</v>
      </c>
      <c r="W151">
        <v>1.1E-5</v>
      </c>
      <c r="X151">
        <v>5.2299999999999997E-5</v>
      </c>
      <c r="Y151">
        <v>6.3299999999999994E-5</v>
      </c>
      <c r="AB151">
        <v>3.16</v>
      </c>
      <c r="AG151">
        <v>0.02</v>
      </c>
      <c r="AH151" t="s">
        <v>48</v>
      </c>
      <c r="AI151" t="s">
        <v>49</v>
      </c>
      <c r="AJ151" t="s">
        <v>110</v>
      </c>
      <c r="AM151">
        <v>2.1999999999999999E-5</v>
      </c>
      <c r="AN151">
        <v>3.8600000000000003E-5</v>
      </c>
      <c r="AQ151" t="s">
        <v>54</v>
      </c>
    </row>
    <row r="152" spans="1:43" x14ac:dyDescent="0.25">
      <c r="A152" t="s">
        <v>612</v>
      </c>
      <c r="B152" t="s">
        <v>318</v>
      </c>
      <c r="C152">
        <v>20</v>
      </c>
      <c r="D152">
        <v>190</v>
      </c>
      <c r="E152">
        <v>1.21</v>
      </c>
      <c r="F152">
        <v>1000000</v>
      </c>
      <c r="G152">
        <v>7.6200000000000006E-14</v>
      </c>
      <c r="J152">
        <v>1.71</v>
      </c>
      <c r="K152">
        <v>13.2</v>
      </c>
      <c r="M152">
        <v>0.98999999999999988</v>
      </c>
      <c r="N152">
        <v>0.52800000000000002</v>
      </c>
      <c r="O152">
        <v>1.27</v>
      </c>
      <c r="P152">
        <v>0.74</v>
      </c>
      <c r="AB152" t="s">
        <v>63</v>
      </c>
      <c r="AE152">
        <v>0.04</v>
      </c>
      <c r="AG152">
        <v>1.4E-2</v>
      </c>
      <c r="AH152" t="s">
        <v>48</v>
      </c>
      <c r="AI152" t="s">
        <v>49</v>
      </c>
      <c r="AJ152" t="s">
        <v>110</v>
      </c>
      <c r="AQ152" t="s">
        <v>54</v>
      </c>
    </row>
    <row r="153" spans="1:43" x14ac:dyDescent="0.25">
      <c r="A153" t="s">
        <v>613</v>
      </c>
      <c r="B153" t="s">
        <v>319</v>
      </c>
      <c r="C153">
        <v>110</v>
      </c>
      <c r="D153">
        <v>445</v>
      </c>
      <c r="E153">
        <v>1.3200000000000001E-8</v>
      </c>
      <c r="F153">
        <v>72000</v>
      </c>
      <c r="G153">
        <v>2.0199999999999999E-11</v>
      </c>
      <c r="H153">
        <v>8.2699999999999996E-2</v>
      </c>
      <c r="I153">
        <v>9.5799999999999998E-6</v>
      </c>
      <c r="J153">
        <v>3.89</v>
      </c>
      <c r="K153">
        <v>3.8</v>
      </c>
      <c r="L153">
        <v>3.7999999999999999E-2</v>
      </c>
      <c r="M153">
        <v>0.28499999999999998</v>
      </c>
      <c r="N153">
        <v>0.152</v>
      </c>
      <c r="O153">
        <v>36.1</v>
      </c>
      <c r="P153">
        <v>0.95699999999999996</v>
      </c>
      <c r="Q153">
        <v>6.97</v>
      </c>
      <c r="R153">
        <v>183</v>
      </c>
      <c r="S153">
        <v>17.7</v>
      </c>
      <c r="T153">
        <v>17.7</v>
      </c>
      <c r="U153">
        <v>11800</v>
      </c>
      <c r="V153">
        <v>11800</v>
      </c>
      <c r="W153">
        <v>4.35E-5</v>
      </c>
      <c r="X153">
        <v>2.0699999999999999E-4</v>
      </c>
      <c r="Y153">
        <v>2.5000000000000001E-4</v>
      </c>
      <c r="AB153">
        <v>3.16</v>
      </c>
      <c r="AE153">
        <v>0.04</v>
      </c>
      <c r="AF153">
        <v>5.6000000000000001E-2</v>
      </c>
      <c r="AH153" t="s">
        <v>48</v>
      </c>
      <c r="AI153" t="s">
        <v>49</v>
      </c>
      <c r="AJ153" t="s">
        <v>50</v>
      </c>
      <c r="AL153">
        <v>17.7</v>
      </c>
      <c r="AM153">
        <v>8.7100000000000003E-5</v>
      </c>
      <c r="AN153">
        <v>1.5200000000000001E-4</v>
      </c>
      <c r="AQ153" t="s">
        <v>54</v>
      </c>
    </row>
    <row r="154" spans="1:43" x14ac:dyDescent="0.25">
      <c r="A154" t="s">
        <v>721</v>
      </c>
      <c r="B154" t="s">
        <v>321</v>
      </c>
      <c r="C154">
        <v>276</v>
      </c>
      <c r="D154">
        <v>433</v>
      </c>
      <c r="E154">
        <v>1.3199999999999999E-13</v>
      </c>
      <c r="F154">
        <v>2.1999999999999999E-5</v>
      </c>
      <c r="G154">
        <v>1.5999999999999999E-6</v>
      </c>
      <c r="H154">
        <v>1E-3</v>
      </c>
      <c r="I154">
        <v>1.0000000000000001E-5</v>
      </c>
      <c r="J154">
        <v>3980000</v>
      </c>
      <c r="K154">
        <v>3080000</v>
      </c>
      <c r="L154">
        <v>530000</v>
      </c>
      <c r="M154">
        <v>231000</v>
      </c>
      <c r="N154">
        <v>123000</v>
      </c>
      <c r="O154">
        <v>0.48</v>
      </c>
      <c r="P154">
        <v>5.0000000000000001E-3</v>
      </c>
      <c r="Q154">
        <v>28100</v>
      </c>
      <c r="R154">
        <v>5.2900000000000003E-2</v>
      </c>
      <c r="S154">
        <v>5.9300000000000004E-3</v>
      </c>
      <c r="T154">
        <v>5.9300000000000004E-3</v>
      </c>
      <c r="U154">
        <v>373000</v>
      </c>
      <c r="V154">
        <v>373000</v>
      </c>
      <c r="W154">
        <v>6.1900000000000002E-3</v>
      </c>
      <c r="X154">
        <v>2.9399999999999999E-2</v>
      </c>
      <c r="Y154">
        <v>3.56E-2</v>
      </c>
      <c r="Z154">
        <v>65.3</v>
      </c>
      <c r="AB154">
        <v>24100</v>
      </c>
      <c r="AC154">
        <v>618000</v>
      </c>
      <c r="AF154">
        <v>0.12</v>
      </c>
      <c r="AH154">
        <v>1.2999999999999999E-4</v>
      </c>
      <c r="AI154" t="s">
        <v>49</v>
      </c>
      <c r="AJ154" t="s">
        <v>50</v>
      </c>
      <c r="AK154" t="s">
        <v>72</v>
      </c>
      <c r="AL154">
        <v>5.9300000000000004E-3</v>
      </c>
      <c r="AM154">
        <v>1.24E-2</v>
      </c>
      <c r="AN154">
        <v>2.1700000000000001E-2</v>
      </c>
      <c r="AQ154" t="s">
        <v>54</v>
      </c>
    </row>
    <row r="155" spans="1:43" x14ac:dyDescent="0.25">
      <c r="A155" t="s">
        <v>322</v>
      </c>
      <c r="B155" t="s">
        <v>323</v>
      </c>
      <c r="C155">
        <v>138</v>
      </c>
      <c r="D155">
        <v>265</v>
      </c>
      <c r="E155">
        <v>5.7600000000000001E-4</v>
      </c>
      <c r="F155">
        <v>12000</v>
      </c>
      <c r="G155">
        <v>6.64E-6</v>
      </c>
      <c r="H155">
        <v>6.2300000000000001E-2</v>
      </c>
      <c r="I155">
        <v>6.7599999999999997E-6</v>
      </c>
      <c r="J155">
        <v>46.8</v>
      </c>
      <c r="K155">
        <v>43.8</v>
      </c>
      <c r="L155">
        <v>0.44</v>
      </c>
      <c r="M155">
        <v>3.29</v>
      </c>
      <c r="N155">
        <v>1.75</v>
      </c>
      <c r="O155">
        <v>9.0299999999999994</v>
      </c>
      <c r="P155">
        <v>1</v>
      </c>
      <c r="Q155">
        <v>10.8</v>
      </c>
      <c r="R155">
        <v>24.6</v>
      </c>
      <c r="S155">
        <v>4.2</v>
      </c>
      <c r="T155">
        <v>4.2</v>
      </c>
      <c r="U155">
        <v>0.50600000000000001</v>
      </c>
      <c r="V155">
        <v>0.50600000000000001</v>
      </c>
      <c r="W155">
        <v>3.57E-4</v>
      </c>
      <c r="X155">
        <v>1.6999999999999999E-3</v>
      </c>
      <c r="Y155">
        <v>2.0500000000000002E-3</v>
      </c>
      <c r="Z155">
        <v>3.97E-4</v>
      </c>
      <c r="AB155">
        <v>3.85</v>
      </c>
      <c r="AC155">
        <v>3.85</v>
      </c>
      <c r="AE155">
        <v>0.2</v>
      </c>
      <c r="AF155">
        <v>9.5E-4</v>
      </c>
      <c r="AG155">
        <v>2</v>
      </c>
      <c r="AH155" t="s">
        <v>48</v>
      </c>
      <c r="AI155" t="s">
        <v>49</v>
      </c>
      <c r="AJ155" t="s">
        <v>50</v>
      </c>
      <c r="AL155">
        <v>4.2</v>
      </c>
      <c r="AM155">
        <v>7.1400000000000001E-4</v>
      </c>
      <c r="AN155">
        <v>1.25E-3</v>
      </c>
      <c r="AQ155" t="s">
        <v>54</v>
      </c>
    </row>
    <row r="156" spans="1:43" x14ac:dyDescent="0.25">
      <c r="A156" t="s">
        <v>324</v>
      </c>
      <c r="B156" t="s">
        <v>325</v>
      </c>
      <c r="C156">
        <v>209</v>
      </c>
      <c r="D156">
        <v>603</v>
      </c>
      <c r="E156">
        <v>0</v>
      </c>
      <c r="F156">
        <v>9580</v>
      </c>
      <c r="G156">
        <v>2.5000000000000001E-2</v>
      </c>
      <c r="H156">
        <v>7.7200000000000005E-2</v>
      </c>
      <c r="I156">
        <v>9.5699999999999999E-6</v>
      </c>
      <c r="J156">
        <v>5.37</v>
      </c>
      <c r="L156">
        <v>900</v>
      </c>
      <c r="M156">
        <v>900</v>
      </c>
      <c r="N156">
        <v>900</v>
      </c>
      <c r="P156">
        <v>0</v>
      </c>
      <c r="R156">
        <v>8.9999999999999993E-3</v>
      </c>
      <c r="S156">
        <v>1.3599999999999999E-2</v>
      </c>
      <c r="T156">
        <v>4.4999999999999998E-2</v>
      </c>
      <c r="W156">
        <v>2.5000000000000001E-4</v>
      </c>
      <c r="X156">
        <v>2.9999999999999997E-4</v>
      </c>
      <c r="AB156">
        <v>0.09</v>
      </c>
      <c r="AF156">
        <v>8.5000000000000006E-3</v>
      </c>
      <c r="AG156">
        <v>1.4999999999999999E-4</v>
      </c>
      <c r="AH156">
        <v>1.2E-5</v>
      </c>
      <c r="AI156" t="s">
        <v>49</v>
      </c>
      <c r="AJ156" t="s">
        <v>110</v>
      </c>
      <c r="AK156" t="s">
        <v>111</v>
      </c>
      <c r="AL156">
        <v>8.9999999999999993E-3</v>
      </c>
      <c r="AQ156" t="s">
        <v>54</v>
      </c>
    </row>
    <row r="157" spans="1:43" x14ac:dyDescent="0.25">
      <c r="A157" t="s">
        <v>682</v>
      </c>
      <c r="B157" t="s">
        <v>681</v>
      </c>
      <c r="C157">
        <v>209</v>
      </c>
      <c r="D157">
        <v>603</v>
      </c>
      <c r="E157">
        <v>0</v>
      </c>
      <c r="F157">
        <v>9580</v>
      </c>
      <c r="G157">
        <v>2.5000000000000001E-2</v>
      </c>
      <c r="H157">
        <v>7.7200000000000005E-2</v>
      </c>
      <c r="I157">
        <v>9.5699999999999999E-6</v>
      </c>
      <c r="J157">
        <v>5.37</v>
      </c>
      <c r="L157">
        <v>900</v>
      </c>
      <c r="M157">
        <v>900</v>
      </c>
      <c r="N157">
        <v>900</v>
      </c>
      <c r="P157">
        <v>0</v>
      </c>
      <c r="R157">
        <v>8.9999999999999993E-3</v>
      </c>
      <c r="S157">
        <v>1.3599999999999999E-2</v>
      </c>
      <c r="T157">
        <v>4.4999999999999998E-2</v>
      </c>
      <c r="W157">
        <v>2.5000000000000001E-4</v>
      </c>
      <c r="X157">
        <v>2.9999999999999997E-4</v>
      </c>
      <c r="AB157">
        <v>0.09</v>
      </c>
      <c r="AF157">
        <v>8.5000000000000006E-3</v>
      </c>
      <c r="AG157">
        <v>1.4999999999999999E-4</v>
      </c>
      <c r="AH157">
        <v>1.2E-5</v>
      </c>
      <c r="AI157" t="s">
        <v>49</v>
      </c>
      <c r="AJ157" t="s">
        <v>110</v>
      </c>
      <c r="AK157" t="s">
        <v>111</v>
      </c>
      <c r="AL157">
        <v>8.9999999999999993E-3</v>
      </c>
      <c r="AQ157" t="s">
        <v>54</v>
      </c>
    </row>
    <row r="158" spans="1:43" x14ac:dyDescent="0.25">
      <c r="A158" t="s">
        <v>614</v>
      </c>
      <c r="B158" t="s">
        <v>326</v>
      </c>
      <c r="C158">
        <v>98.1</v>
      </c>
      <c r="D158">
        <v>326</v>
      </c>
      <c r="E158">
        <v>2.1100000000000001E-4</v>
      </c>
      <c r="F158">
        <v>4910</v>
      </c>
      <c r="G158">
        <v>4.2100000000000003E-6</v>
      </c>
      <c r="H158">
        <v>8.9399999999999993E-2</v>
      </c>
      <c r="I158">
        <v>1.03E-5</v>
      </c>
      <c r="J158">
        <v>41.7</v>
      </c>
      <c r="K158">
        <v>39.200000000000003</v>
      </c>
      <c r="L158">
        <v>0.39200000000000002</v>
      </c>
      <c r="M158">
        <v>2.94</v>
      </c>
      <c r="N158">
        <v>1.57</v>
      </c>
      <c r="O158">
        <v>8.43</v>
      </c>
      <c r="P158">
        <v>1</v>
      </c>
      <c r="Q158">
        <v>10.4</v>
      </c>
      <c r="R158">
        <v>26.6</v>
      </c>
      <c r="S158">
        <v>4.4800000000000004</v>
      </c>
      <c r="T158">
        <v>4.4800000000000004</v>
      </c>
      <c r="U158">
        <v>0.70599999999999996</v>
      </c>
      <c r="V158">
        <v>0.70599999999999996</v>
      </c>
      <c r="W158">
        <v>3.28E-4</v>
      </c>
      <c r="X158">
        <v>1.56E-3</v>
      </c>
      <c r="Y158">
        <v>1.89E-3</v>
      </c>
      <c r="AB158">
        <v>3.53</v>
      </c>
      <c r="AE158">
        <v>0.1</v>
      </c>
      <c r="AG158">
        <v>6.9999999999999999E-4</v>
      </c>
      <c r="AH158" t="s">
        <v>48</v>
      </c>
      <c r="AI158" t="s">
        <v>49</v>
      </c>
      <c r="AJ158" t="s">
        <v>50</v>
      </c>
      <c r="AL158">
        <v>4.4800000000000004</v>
      </c>
      <c r="AM158">
        <v>6.5600000000000001E-4</v>
      </c>
      <c r="AN158">
        <v>1.15E-3</v>
      </c>
      <c r="AQ158" t="s">
        <v>54</v>
      </c>
    </row>
    <row r="159" spans="1:43" x14ac:dyDescent="0.25">
      <c r="A159" t="s">
        <v>615</v>
      </c>
      <c r="B159" t="s">
        <v>327</v>
      </c>
      <c r="C159">
        <v>55</v>
      </c>
      <c r="D159">
        <v>1470</v>
      </c>
      <c r="E159">
        <v>0</v>
      </c>
      <c r="F159">
        <v>55</v>
      </c>
      <c r="G159">
        <v>0</v>
      </c>
      <c r="H159">
        <v>0.13100000000000001</v>
      </c>
      <c r="I159">
        <v>0</v>
      </c>
      <c r="J159">
        <v>1.7</v>
      </c>
      <c r="K159">
        <v>13.22</v>
      </c>
      <c r="M159">
        <v>0.99150000000000005</v>
      </c>
      <c r="N159">
        <v>0.52880000000000005</v>
      </c>
      <c r="O159">
        <v>2.5299999999999999E-6</v>
      </c>
      <c r="P159">
        <v>0</v>
      </c>
      <c r="AB159" t="s">
        <v>63</v>
      </c>
      <c r="AE159">
        <v>0.14000000000000001</v>
      </c>
      <c r="AG159">
        <v>2.0000000000000001E-4</v>
      </c>
      <c r="AH159" t="s">
        <v>48</v>
      </c>
      <c r="AI159" t="s">
        <v>49</v>
      </c>
      <c r="AJ159" t="s">
        <v>110</v>
      </c>
      <c r="AK159" t="s">
        <v>111</v>
      </c>
      <c r="AQ159" t="s">
        <v>54</v>
      </c>
    </row>
    <row r="160" spans="1:43" x14ac:dyDescent="0.25">
      <c r="A160" t="s">
        <v>697</v>
      </c>
      <c r="B160" t="s">
        <v>328</v>
      </c>
      <c r="C160">
        <v>271.52</v>
      </c>
      <c r="D160">
        <v>550.1</v>
      </c>
      <c r="E160">
        <v>1.2E-4</v>
      </c>
      <c r="F160">
        <v>69000</v>
      </c>
      <c r="G160">
        <v>7.1000000000000003E-10</v>
      </c>
      <c r="H160">
        <v>4.5312606999999998E-2</v>
      </c>
      <c r="I160">
        <v>5.2499999999999997E-6</v>
      </c>
      <c r="J160">
        <v>0.60953689700000002</v>
      </c>
      <c r="L160">
        <v>58000</v>
      </c>
      <c r="M160">
        <v>100000</v>
      </c>
      <c r="N160">
        <v>50000</v>
      </c>
      <c r="P160">
        <v>0.85</v>
      </c>
      <c r="R160">
        <v>3.5999999999999997E-2</v>
      </c>
      <c r="S160">
        <v>1.4500000000000001E-2</v>
      </c>
      <c r="U160">
        <v>1800</v>
      </c>
      <c r="V160">
        <v>1800</v>
      </c>
      <c r="W160">
        <v>2.2620000000000001E-3</v>
      </c>
      <c r="X160">
        <v>5.2199999999999998E-3</v>
      </c>
      <c r="Y160">
        <v>3.3899999999999997E-5</v>
      </c>
      <c r="Z160">
        <v>2.3924999999999998E-2</v>
      </c>
      <c r="AB160" t="s">
        <v>63</v>
      </c>
      <c r="AH160" t="s">
        <v>48</v>
      </c>
      <c r="AI160" t="s">
        <v>49</v>
      </c>
      <c r="AJ160" t="s">
        <v>110</v>
      </c>
      <c r="AK160" t="s">
        <v>329</v>
      </c>
      <c r="AL160">
        <v>9.2999999999999992E-3</v>
      </c>
      <c r="AM160">
        <v>2.3924999999999998E-2</v>
      </c>
      <c r="AN160">
        <v>2.3924999999999998E-2</v>
      </c>
      <c r="AQ160" t="s">
        <v>54</v>
      </c>
    </row>
    <row r="161" spans="1:43" x14ac:dyDescent="0.25">
      <c r="A161" t="s">
        <v>330</v>
      </c>
      <c r="B161" t="s">
        <v>331</v>
      </c>
      <c r="C161">
        <v>201</v>
      </c>
      <c r="D161">
        <v>234</v>
      </c>
      <c r="E161">
        <v>2.6299999999999998E-6</v>
      </c>
      <c r="F161">
        <v>0.06</v>
      </c>
      <c r="G161">
        <v>7.1000000000000004E-3</v>
      </c>
      <c r="H161">
        <v>1.09E-2</v>
      </c>
      <c r="I161">
        <v>3.01E-5</v>
      </c>
      <c r="J161">
        <v>4.17</v>
      </c>
      <c r="L161">
        <v>1000</v>
      </c>
      <c r="M161">
        <v>1000</v>
      </c>
      <c r="N161">
        <v>3000</v>
      </c>
      <c r="P161">
        <v>1</v>
      </c>
      <c r="AB161" t="s">
        <v>63</v>
      </c>
      <c r="AE161">
        <v>1.6000000000000001E-4</v>
      </c>
      <c r="AG161">
        <v>2.9999999999999997E-4</v>
      </c>
      <c r="AH161" t="s">
        <v>48</v>
      </c>
      <c r="AI161" t="s">
        <v>49</v>
      </c>
      <c r="AJ161" t="s">
        <v>110</v>
      </c>
      <c r="AK161" t="s">
        <v>111</v>
      </c>
      <c r="AQ161" t="s">
        <v>54</v>
      </c>
    </row>
    <row r="162" spans="1:43" x14ac:dyDescent="0.25">
      <c r="A162" t="s">
        <v>616</v>
      </c>
      <c r="B162" t="s">
        <v>332</v>
      </c>
      <c r="C162">
        <v>16.04</v>
      </c>
      <c r="D162">
        <v>121.07</v>
      </c>
      <c r="E162">
        <v>696</v>
      </c>
      <c r="F162">
        <v>2610</v>
      </c>
      <c r="G162">
        <v>0.41399999999999998</v>
      </c>
      <c r="J162">
        <v>6.03</v>
      </c>
      <c r="K162">
        <v>3.9790000000000001</v>
      </c>
      <c r="M162">
        <v>0.298425</v>
      </c>
      <c r="N162">
        <v>0.15916</v>
      </c>
      <c r="P162">
        <v>1</v>
      </c>
      <c r="AB162">
        <v>1.9219999999999999</v>
      </c>
      <c r="AC162">
        <v>1.9219999999999999</v>
      </c>
      <c r="AH162" t="s">
        <v>48</v>
      </c>
      <c r="AI162" t="s">
        <v>49</v>
      </c>
      <c r="AJ162" t="s">
        <v>50</v>
      </c>
      <c r="AQ162" t="s">
        <v>54</v>
      </c>
    </row>
    <row r="163" spans="1:43" x14ac:dyDescent="0.25">
      <c r="A163" t="s">
        <v>333</v>
      </c>
      <c r="B163" t="s">
        <v>334</v>
      </c>
      <c r="C163">
        <v>32</v>
      </c>
      <c r="D163">
        <v>175</v>
      </c>
      <c r="E163">
        <v>0.16600000000000001</v>
      </c>
      <c r="F163">
        <v>1000000</v>
      </c>
      <c r="G163">
        <v>4.5499999999999996E-6</v>
      </c>
      <c r="H163">
        <v>0.15</v>
      </c>
      <c r="I163">
        <v>1.6399999999999999E-5</v>
      </c>
      <c r="J163">
        <v>0.17</v>
      </c>
      <c r="K163">
        <v>0.18</v>
      </c>
      <c r="L163">
        <v>2E-3</v>
      </c>
      <c r="M163">
        <v>0.01</v>
      </c>
      <c r="N163">
        <v>7.0000000000000001E-3</v>
      </c>
      <c r="O163">
        <v>36.1</v>
      </c>
      <c r="P163">
        <v>1</v>
      </c>
      <c r="Q163">
        <v>6.39</v>
      </c>
      <c r="R163">
        <v>3650</v>
      </c>
      <c r="S163">
        <v>8.3800000000000008</v>
      </c>
      <c r="T163">
        <v>8.3800000000000008</v>
      </c>
      <c r="U163">
        <v>1.8600000000000001E-3</v>
      </c>
      <c r="V163">
        <v>1.8600000000000001E-3</v>
      </c>
      <c r="W163">
        <v>1.9099999999999999E-6</v>
      </c>
      <c r="X163">
        <v>9.0699999999999996E-6</v>
      </c>
      <c r="Y163">
        <v>1.1E-5</v>
      </c>
      <c r="Z163">
        <v>1.55E-6</v>
      </c>
      <c r="AB163">
        <v>3.16</v>
      </c>
      <c r="AE163">
        <v>2</v>
      </c>
      <c r="AG163">
        <v>20</v>
      </c>
      <c r="AH163" t="s">
        <v>48</v>
      </c>
      <c r="AI163" t="s">
        <v>49</v>
      </c>
      <c r="AJ163" t="s">
        <v>50</v>
      </c>
      <c r="AL163">
        <v>8.3800000000000008</v>
      </c>
      <c r="AM163">
        <v>3.8199999999999998E-6</v>
      </c>
      <c r="AN163">
        <v>6.6800000000000004E-6</v>
      </c>
      <c r="AQ163" t="s">
        <v>54</v>
      </c>
    </row>
    <row r="164" spans="1:43" x14ac:dyDescent="0.25">
      <c r="A164" t="s">
        <v>669</v>
      </c>
      <c r="B164" t="s">
        <v>514</v>
      </c>
      <c r="C164">
        <v>164.2</v>
      </c>
      <c r="D164">
        <v>298.95</v>
      </c>
      <c r="E164">
        <v>4.5499999999999996E-6</v>
      </c>
      <c r="F164">
        <v>1000000</v>
      </c>
      <c r="G164">
        <v>9.9999999999999994E-12</v>
      </c>
      <c r="J164">
        <v>3.4700000000000002E-2</v>
      </c>
      <c r="K164">
        <v>10</v>
      </c>
      <c r="M164">
        <v>0.75</v>
      </c>
      <c r="N164">
        <v>0.4</v>
      </c>
      <c r="P164">
        <v>0.99978</v>
      </c>
      <c r="AB164">
        <v>0.89390000000000003</v>
      </c>
      <c r="AC164">
        <v>0.89390000000000003</v>
      </c>
      <c r="AQ164" t="s">
        <v>54</v>
      </c>
    </row>
    <row r="165" spans="1:43" x14ac:dyDescent="0.25">
      <c r="A165" t="s">
        <v>695</v>
      </c>
      <c r="B165" t="s">
        <v>335</v>
      </c>
      <c r="C165">
        <v>94.9</v>
      </c>
      <c r="D165">
        <v>179</v>
      </c>
      <c r="E165">
        <v>2.13</v>
      </c>
      <c r="F165">
        <v>15200</v>
      </c>
      <c r="G165">
        <v>6.2399999999999999E-3</v>
      </c>
      <c r="H165">
        <v>7.2800000000000004E-2</v>
      </c>
      <c r="I165">
        <v>1.2099999999999999E-5</v>
      </c>
      <c r="J165">
        <v>15.5</v>
      </c>
      <c r="K165">
        <v>9</v>
      </c>
      <c r="L165">
        <v>0.09</v>
      </c>
      <c r="M165">
        <v>0.67500000000000004</v>
      </c>
      <c r="N165">
        <v>0.36</v>
      </c>
      <c r="O165">
        <v>9.0299999999999994</v>
      </c>
      <c r="P165">
        <v>1</v>
      </c>
      <c r="Q165">
        <v>8.2200000000000006</v>
      </c>
      <c r="R165">
        <v>91.4</v>
      </c>
      <c r="S165">
        <v>7.95</v>
      </c>
      <c r="T165">
        <v>7.95</v>
      </c>
      <c r="U165">
        <v>1.66E-4</v>
      </c>
      <c r="V165">
        <v>1.66E-4</v>
      </c>
      <c r="W165">
        <v>1.4999999999999999E-4</v>
      </c>
      <c r="X165">
        <v>7.1100000000000004E-4</v>
      </c>
      <c r="Y165">
        <v>8.61E-4</v>
      </c>
      <c r="Z165">
        <v>1.03E-4</v>
      </c>
      <c r="AB165">
        <v>1.65</v>
      </c>
      <c r="AE165">
        <v>1.4E-3</v>
      </c>
      <c r="AG165">
        <v>5.0000000000000001E-3</v>
      </c>
      <c r="AH165" t="s">
        <v>48</v>
      </c>
      <c r="AI165" t="s">
        <v>49</v>
      </c>
      <c r="AJ165" t="s">
        <v>50</v>
      </c>
      <c r="AL165">
        <v>7.95</v>
      </c>
      <c r="AM165">
        <v>2.99E-4</v>
      </c>
      <c r="AN165">
        <v>5.2400000000000005E-4</v>
      </c>
      <c r="AQ165" t="s">
        <v>54</v>
      </c>
    </row>
    <row r="166" spans="1:43" x14ac:dyDescent="0.25">
      <c r="A166" t="s">
        <v>738</v>
      </c>
      <c r="B166" t="s">
        <v>739</v>
      </c>
      <c r="C166">
        <v>118</v>
      </c>
      <c r="D166">
        <v>203</v>
      </c>
      <c r="E166">
        <v>2.63E-3</v>
      </c>
      <c r="F166">
        <v>1000000</v>
      </c>
      <c r="G166">
        <v>3.1100000000000002E-7</v>
      </c>
      <c r="H166">
        <v>6.5799999999999997E-2</v>
      </c>
      <c r="I166">
        <v>8.7099999999999996E-6</v>
      </c>
      <c r="J166">
        <v>1.1599999999999999</v>
      </c>
      <c r="K166">
        <v>2.4900000000000002</v>
      </c>
      <c r="L166">
        <v>2.4899999999999999E-2</v>
      </c>
      <c r="M166">
        <v>0.187</v>
      </c>
      <c r="N166">
        <v>9.9599999999999994E-2</v>
      </c>
      <c r="O166">
        <v>6.96</v>
      </c>
      <c r="P166">
        <v>1</v>
      </c>
      <c r="Q166">
        <v>6.59</v>
      </c>
      <c r="R166">
        <v>264</v>
      </c>
      <c r="S166">
        <v>33.9</v>
      </c>
      <c r="T166">
        <v>33.9</v>
      </c>
      <c r="U166">
        <v>0.23</v>
      </c>
      <c r="V166">
        <v>0.23</v>
      </c>
      <c r="W166">
        <v>1.4100000000000001E-5</v>
      </c>
      <c r="X166">
        <v>6.6799999999999997E-5</v>
      </c>
      <c r="Y166">
        <v>8.0900000000000001E-5</v>
      </c>
      <c r="AB166">
        <v>3.16</v>
      </c>
      <c r="AC166">
        <v>0.92800000000000005</v>
      </c>
      <c r="AE166">
        <v>8.0000000000000002E-3</v>
      </c>
      <c r="AG166">
        <v>0.09</v>
      </c>
      <c r="AH166" t="s">
        <v>48</v>
      </c>
      <c r="AI166" t="s">
        <v>49</v>
      </c>
      <c r="AJ166" t="s">
        <v>50</v>
      </c>
      <c r="AL166">
        <v>38.700000000000003</v>
      </c>
      <c r="AM166">
        <v>2.8099999999999999E-5</v>
      </c>
      <c r="AN166">
        <v>4.9200000000000003E-5</v>
      </c>
      <c r="AQ166" t="s">
        <v>54</v>
      </c>
    </row>
    <row r="167" spans="1:43" x14ac:dyDescent="0.25">
      <c r="A167" t="s">
        <v>338</v>
      </c>
      <c r="B167" t="s">
        <v>339</v>
      </c>
      <c r="C167">
        <v>118</v>
      </c>
      <c r="D167">
        <v>203</v>
      </c>
      <c r="E167">
        <v>2.63E-3</v>
      </c>
      <c r="F167">
        <v>1000000</v>
      </c>
      <c r="G167">
        <v>3.1100000000000002E-7</v>
      </c>
      <c r="H167">
        <v>6.5799999999999997E-2</v>
      </c>
      <c r="I167">
        <v>8.7099999999999996E-6</v>
      </c>
      <c r="J167">
        <v>1.1599999999999999</v>
      </c>
      <c r="K167">
        <v>2.4900000000000002</v>
      </c>
      <c r="L167">
        <v>2.4899999999999999E-2</v>
      </c>
      <c r="M167">
        <v>0.187</v>
      </c>
      <c r="N167">
        <v>9.9599999999999994E-2</v>
      </c>
      <c r="O167">
        <v>6.96</v>
      </c>
      <c r="P167">
        <v>1</v>
      </c>
      <c r="Q167">
        <v>6.59</v>
      </c>
      <c r="R167">
        <v>264</v>
      </c>
      <c r="S167">
        <v>33.9</v>
      </c>
      <c r="T167">
        <v>33.9</v>
      </c>
      <c r="U167">
        <v>0.23</v>
      </c>
      <c r="V167">
        <v>0.23</v>
      </c>
      <c r="W167">
        <v>1.4100000000000001E-5</v>
      </c>
      <c r="X167">
        <v>6.6799999999999997E-5</v>
      </c>
      <c r="Y167">
        <v>8.0900000000000001E-5</v>
      </c>
      <c r="AB167">
        <v>3.16</v>
      </c>
      <c r="AC167">
        <v>0.92800000000000005</v>
      </c>
      <c r="AE167">
        <v>8.0000000000000002E-3</v>
      </c>
      <c r="AG167">
        <v>0.09</v>
      </c>
      <c r="AH167" t="s">
        <v>48</v>
      </c>
      <c r="AI167" t="s">
        <v>49</v>
      </c>
      <c r="AJ167" t="s">
        <v>50</v>
      </c>
      <c r="AL167">
        <v>38.700000000000003</v>
      </c>
      <c r="AM167">
        <v>2.8099999999999999E-5</v>
      </c>
      <c r="AN167">
        <v>4.9200000000000003E-5</v>
      </c>
      <c r="AQ167" t="s">
        <v>54</v>
      </c>
    </row>
    <row r="168" spans="1:43" x14ac:dyDescent="0.25">
      <c r="A168" t="s">
        <v>694</v>
      </c>
      <c r="B168" t="s">
        <v>340</v>
      </c>
      <c r="C168">
        <v>50.5</v>
      </c>
      <c r="D168">
        <v>175</v>
      </c>
      <c r="E168">
        <v>5.66</v>
      </c>
      <c r="F168">
        <v>5330</v>
      </c>
      <c r="G168">
        <v>8.8199999999999997E-3</v>
      </c>
      <c r="H168">
        <v>0.126</v>
      </c>
      <c r="I168">
        <v>6.4999999999999996E-6</v>
      </c>
      <c r="J168">
        <v>8.1300000000000008</v>
      </c>
      <c r="K168">
        <v>6.3</v>
      </c>
      <c r="L168">
        <v>0.06</v>
      </c>
      <c r="M168">
        <v>0.47</v>
      </c>
      <c r="N168">
        <v>0.25</v>
      </c>
      <c r="O168">
        <v>9.0299999999999994</v>
      </c>
      <c r="P168">
        <v>1</v>
      </c>
      <c r="Q168">
        <v>7.47</v>
      </c>
      <c r="R168">
        <v>119</v>
      </c>
      <c r="S168">
        <v>8.3800000000000008</v>
      </c>
      <c r="T168">
        <v>8.3800000000000008</v>
      </c>
      <c r="U168">
        <v>5.8999999999999998E-5</v>
      </c>
      <c r="V168">
        <v>5.8999999999999998E-5</v>
      </c>
      <c r="W168">
        <v>8.5900000000000001E-5</v>
      </c>
      <c r="X168">
        <v>4.08E-4</v>
      </c>
      <c r="Y168">
        <v>4.9399999999999997E-4</v>
      </c>
      <c r="Z168">
        <v>6.3499999999999999E-5</v>
      </c>
      <c r="AB168">
        <v>3.16</v>
      </c>
      <c r="AG168">
        <v>0.09</v>
      </c>
      <c r="AH168" t="s">
        <v>48</v>
      </c>
      <c r="AI168" t="s">
        <v>49</v>
      </c>
      <c r="AJ168" t="s">
        <v>50</v>
      </c>
      <c r="AL168">
        <v>8.3800000000000008</v>
      </c>
      <c r="AM168">
        <v>1.7200000000000001E-4</v>
      </c>
      <c r="AN168">
        <v>3.01E-4</v>
      </c>
      <c r="AQ168" t="s">
        <v>54</v>
      </c>
    </row>
    <row r="169" spans="1:43" x14ac:dyDescent="0.25">
      <c r="A169" t="s">
        <v>566</v>
      </c>
      <c r="B169" t="s">
        <v>80</v>
      </c>
      <c r="C169">
        <v>242</v>
      </c>
      <c r="D169">
        <v>423</v>
      </c>
      <c r="E169">
        <v>3.3299999999999999E-10</v>
      </c>
      <c r="F169">
        <v>6.2E-2</v>
      </c>
      <c r="G169">
        <v>1.3E-6</v>
      </c>
      <c r="H169">
        <v>4.8899999999999999E-2</v>
      </c>
      <c r="I169">
        <v>5.66E-6</v>
      </c>
      <c r="J169">
        <v>1170000</v>
      </c>
      <c r="K169">
        <v>927000</v>
      </c>
      <c r="L169">
        <v>9270</v>
      </c>
      <c r="M169">
        <v>69500</v>
      </c>
      <c r="N169">
        <v>37100</v>
      </c>
      <c r="O169">
        <v>2.11</v>
      </c>
      <c r="P169">
        <v>0.35899999999999999</v>
      </c>
      <c r="Q169">
        <v>11000</v>
      </c>
      <c r="R169">
        <v>1.18</v>
      </c>
      <c r="S169">
        <v>1.2E-2</v>
      </c>
      <c r="T169">
        <v>1.2E-2</v>
      </c>
      <c r="U169">
        <v>125000</v>
      </c>
      <c r="V169">
        <v>125000</v>
      </c>
      <c r="W169">
        <v>7.7499999999999999E-3</v>
      </c>
      <c r="X169">
        <v>3.6799999999999999E-2</v>
      </c>
      <c r="Y169">
        <v>4.4600000000000001E-2</v>
      </c>
      <c r="Z169">
        <v>4.3600000000000003</v>
      </c>
      <c r="AB169">
        <v>9420</v>
      </c>
      <c r="AC169">
        <v>177000</v>
      </c>
      <c r="AF169">
        <v>1.7</v>
      </c>
      <c r="AH169">
        <v>1.8E-3</v>
      </c>
      <c r="AI169" t="s">
        <v>49</v>
      </c>
      <c r="AJ169" t="s">
        <v>50</v>
      </c>
      <c r="AK169" t="s">
        <v>72</v>
      </c>
      <c r="AL169">
        <v>1.2E-2</v>
      </c>
      <c r="AM169">
        <v>1.55E-2</v>
      </c>
      <c r="AN169">
        <v>2.7099999999999999E-2</v>
      </c>
      <c r="AQ169" t="s">
        <v>54</v>
      </c>
    </row>
    <row r="170" spans="1:43" x14ac:dyDescent="0.25">
      <c r="A170" t="s">
        <v>696</v>
      </c>
      <c r="B170" t="s">
        <v>341</v>
      </c>
      <c r="C170">
        <v>72.099999999999994</v>
      </c>
      <c r="D170">
        <v>186</v>
      </c>
      <c r="E170">
        <v>0.125</v>
      </c>
      <c r="F170">
        <v>220000</v>
      </c>
      <c r="G170">
        <v>5.5999999999999999E-5</v>
      </c>
      <c r="H170">
        <v>8.0799999999999997E-2</v>
      </c>
      <c r="I170">
        <v>9.7999999999999993E-6</v>
      </c>
      <c r="J170">
        <v>1.95</v>
      </c>
      <c r="K170">
        <v>1.93</v>
      </c>
      <c r="L170">
        <v>0.28999999999999998</v>
      </c>
      <c r="M170">
        <v>0.14000000000000001</v>
      </c>
      <c r="N170">
        <v>0.08</v>
      </c>
      <c r="O170">
        <v>36.1</v>
      </c>
      <c r="P170">
        <v>1</v>
      </c>
      <c r="Q170">
        <v>6.7</v>
      </c>
      <c r="R170">
        <v>23.1</v>
      </c>
      <c r="S170">
        <v>8.3800000000000008</v>
      </c>
      <c r="T170">
        <v>8.3800000000000008</v>
      </c>
      <c r="U170">
        <v>2.0300000000000001E-3</v>
      </c>
      <c r="V170">
        <v>2.0300000000000001E-3</v>
      </c>
      <c r="W170">
        <v>2.2099999999999998E-5</v>
      </c>
      <c r="X170">
        <v>1.05E-4</v>
      </c>
      <c r="Y170">
        <v>1.27E-4</v>
      </c>
      <c r="Z170">
        <v>1.5099999999999999E-5</v>
      </c>
      <c r="AB170">
        <v>3.16</v>
      </c>
      <c r="AE170">
        <v>0.6</v>
      </c>
      <c r="AG170">
        <v>5</v>
      </c>
      <c r="AH170" t="s">
        <v>48</v>
      </c>
      <c r="AI170" t="s">
        <v>49</v>
      </c>
      <c r="AJ170" t="s">
        <v>50</v>
      </c>
      <c r="AL170">
        <v>8.3800000000000008</v>
      </c>
      <c r="AM170">
        <v>4.4199999999999997E-5</v>
      </c>
      <c r="AN170">
        <v>7.7299999999999995E-5</v>
      </c>
      <c r="AQ170" t="s">
        <v>54</v>
      </c>
    </row>
    <row r="171" spans="1:43" x14ac:dyDescent="0.25">
      <c r="A171" t="s">
        <v>617</v>
      </c>
      <c r="B171" t="s">
        <v>343</v>
      </c>
      <c r="C171">
        <v>46.1</v>
      </c>
      <c r="D171">
        <v>221</v>
      </c>
      <c r="E171">
        <v>6.5799999999999997E-2</v>
      </c>
      <c r="F171">
        <v>1000000</v>
      </c>
      <c r="G171">
        <v>3.0299999999999998E-6</v>
      </c>
      <c r="H171">
        <v>0.14799999999999999</v>
      </c>
      <c r="I171">
        <v>1.7099999999999999E-5</v>
      </c>
      <c r="J171">
        <v>8.9099999999999999E-2</v>
      </c>
      <c r="K171">
        <v>9.2899999999999996E-2</v>
      </c>
      <c r="L171">
        <v>9.2900000000000003E-4</v>
      </c>
      <c r="M171">
        <v>6.9699999999999996E-3</v>
      </c>
      <c r="N171">
        <v>3.7200000000000002E-3</v>
      </c>
      <c r="O171">
        <v>10.5</v>
      </c>
      <c r="P171">
        <v>1</v>
      </c>
      <c r="Q171">
        <v>6.39</v>
      </c>
      <c r="R171">
        <v>6880</v>
      </c>
      <c r="S171">
        <v>157</v>
      </c>
      <c r="T171">
        <v>157</v>
      </c>
      <c r="U171">
        <v>1.4E-3</v>
      </c>
      <c r="V171">
        <v>1.4E-3</v>
      </c>
      <c r="W171">
        <v>1.9099999999999999E-6</v>
      </c>
      <c r="X171">
        <v>9.0699999999999996E-6</v>
      </c>
      <c r="Y171">
        <v>1.1E-5</v>
      </c>
      <c r="AB171">
        <v>3.16</v>
      </c>
      <c r="AE171">
        <v>1E-3</v>
      </c>
      <c r="AF171">
        <v>3</v>
      </c>
      <c r="AH171">
        <v>1E-3</v>
      </c>
      <c r="AI171" t="s">
        <v>49</v>
      </c>
      <c r="AJ171" t="s">
        <v>50</v>
      </c>
      <c r="AL171">
        <v>157</v>
      </c>
      <c r="AM171">
        <v>3.8199999999999998E-6</v>
      </c>
      <c r="AN171">
        <v>6.6800000000000004E-6</v>
      </c>
      <c r="AQ171" t="s">
        <v>54</v>
      </c>
    </row>
    <row r="172" spans="1:43" x14ac:dyDescent="0.25">
      <c r="A172" t="s">
        <v>663</v>
      </c>
      <c r="B172" t="s">
        <v>345</v>
      </c>
      <c r="C172">
        <v>142</v>
      </c>
      <c r="D172">
        <v>207</v>
      </c>
      <c r="E172">
        <v>0.53300000000000003</v>
      </c>
      <c r="F172">
        <v>13800</v>
      </c>
      <c r="G172">
        <v>5.4799999999999996E-3</v>
      </c>
      <c r="H172">
        <v>6.9800000000000001E-2</v>
      </c>
      <c r="I172">
        <v>8.0900000000000005E-6</v>
      </c>
      <c r="J172">
        <v>32.4</v>
      </c>
      <c r="K172">
        <v>18.8</v>
      </c>
      <c r="L172">
        <v>0.188</v>
      </c>
      <c r="M172">
        <v>1.41</v>
      </c>
      <c r="N172">
        <v>0.752</v>
      </c>
      <c r="O172">
        <v>9.0299999999999994</v>
      </c>
      <c r="P172">
        <v>1</v>
      </c>
      <c r="Q172">
        <v>9.69</v>
      </c>
      <c r="R172">
        <v>51.5</v>
      </c>
      <c r="S172">
        <v>5.19</v>
      </c>
      <c r="T172">
        <v>5.19</v>
      </c>
      <c r="U172">
        <v>4.1399999999999998E-4</v>
      </c>
      <c r="V172">
        <v>4.1399999999999998E-4</v>
      </c>
      <c r="W172">
        <v>2.7E-4</v>
      </c>
      <c r="X172">
        <v>1.2800000000000001E-3</v>
      </c>
      <c r="Y172">
        <v>1.5499999999999999E-3</v>
      </c>
      <c r="AB172">
        <v>2.9</v>
      </c>
      <c r="AF172">
        <v>2.9</v>
      </c>
      <c r="AH172" t="s">
        <v>48</v>
      </c>
      <c r="AI172" t="s">
        <v>49</v>
      </c>
      <c r="AJ172" t="s">
        <v>50</v>
      </c>
      <c r="AL172">
        <v>5.19</v>
      </c>
      <c r="AM172">
        <v>5.4100000000000003E-4</v>
      </c>
      <c r="AN172">
        <v>9.4600000000000001E-4</v>
      </c>
      <c r="AQ172" t="s">
        <v>54</v>
      </c>
    </row>
    <row r="173" spans="1:43" x14ac:dyDescent="0.25">
      <c r="A173" t="s">
        <v>698</v>
      </c>
      <c r="B173" t="s">
        <v>346</v>
      </c>
      <c r="C173">
        <v>100</v>
      </c>
      <c r="D173">
        <v>189</v>
      </c>
      <c r="E173">
        <v>2.63E-2</v>
      </c>
      <c r="F173">
        <v>19000</v>
      </c>
      <c r="G173">
        <v>1.3999999999999999E-4</v>
      </c>
      <c r="H173">
        <v>7.4999999999999997E-2</v>
      </c>
      <c r="I173">
        <v>7.7999999999999999E-6</v>
      </c>
      <c r="J173">
        <v>15.9</v>
      </c>
      <c r="K173">
        <v>15.1</v>
      </c>
      <c r="L173">
        <v>2.2000000000000002</v>
      </c>
      <c r="M173">
        <v>1.1299999999999999</v>
      </c>
      <c r="N173">
        <v>0.61</v>
      </c>
      <c r="O173">
        <v>36.1</v>
      </c>
      <c r="P173">
        <v>1</v>
      </c>
      <c r="Q173">
        <v>8.26</v>
      </c>
      <c r="R173">
        <v>3.75</v>
      </c>
      <c r="S173">
        <v>7.84</v>
      </c>
      <c r="T173">
        <v>7.84</v>
      </c>
      <c r="U173">
        <v>7.5700000000000003E-3</v>
      </c>
      <c r="V173">
        <v>7.5700000000000003E-3</v>
      </c>
      <c r="W173">
        <v>1.5300000000000001E-4</v>
      </c>
      <c r="X173">
        <v>7.2499999999999995E-4</v>
      </c>
      <c r="Y173">
        <v>8.7699999999999996E-4</v>
      </c>
      <c r="Z173">
        <v>1.2300000000000001E-4</v>
      </c>
      <c r="AB173">
        <v>1.67</v>
      </c>
      <c r="AG173">
        <v>3</v>
      </c>
      <c r="AH173" t="s">
        <v>48</v>
      </c>
      <c r="AI173" t="s">
        <v>49</v>
      </c>
      <c r="AJ173" t="s">
        <v>50</v>
      </c>
      <c r="AL173">
        <v>7.84</v>
      </c>
      <c r="AM173">
        <v>3.0499999999999999E-4</v>
      </c>
      <c r="AN173">
        <v>5.3399999999999997E-4</v>
      </c>
      <c r="AQ173" t="s">
        <v>54</v>
      </c>
    </row>
    <row r="174" spans="1:43" x14ac:dyDescent="0.25">
      <c r="A174" t="s">
        <v>699</v>
      </c>
      <c r="B174" t="s">
        <v>478</v>
      </c>
      <c r="C174">
        <v>57.05</v>
      </c>
      <c r="D174">
        <v>77.8</v>
      </c>
      <c r="E174">
        <v>0.57640000000000002</v>
      </c>
      <c r="F174">
        <v>29000</v>
      </c>
      <c r="G174">
        <v>9.2599999999999996E-4</v>
      </c>
      <c r="H174">
        <v>0.11700000000000001</v>
      </c>
      <c r="I174">
        <v>1.31E-5</v>
      </c>
      <c r="J174">
        <v>6.17</v>
      </c>
      <c r="K174">
        <v>39.6</v>
      </c>
      <c r="M174">
        <v>2.97</v>
      </c>
      <c r="N174">
        <v>1.5840000000000001</v>
      </c>
      <c r="P174">
        <v>1</v>
      </c>
      <c r="U174">
        <v>13.4</v>
      </c>
      <c r="V174">
        <v>13.4</v>
      </c>
      <c r="W174">
        <v>4.8699999999999999E-8</v>
      </c>
      <c r="X174">
        <v>1.54E-7</v>
      </c>
      <c r="AB174">
        <v>1.3540000000000001</v>
      </c>
      <c r="AC174">
        <v>1.3540000000000001</v>
      </c>
      <c r="AG174">
        <v>1</v>
      </c>
      <c r="AQ174" t="s">
        <v>54</v>
      </c>
    </row>
    <row r="175" spans="1:43" x14ac:dyDescent="0.25">
      <c r="A175" t="s">
        <v>700</v>
      </c>
      <c r="B175" t="s">
        <v>347</v>
      </c>
      <c r="C175">
        <v>216</v>
      </c>
      <c r="G175">
        <v>4.7E-7</v>
      </c>
      <c r="H175">
        <v>5.2777777999999997E-2</v>
      </c>
      <c r="I175">
        <v>6.1099999999999999E-6</v>
      </c>
      <c r="L175">
        <v>7000</v>
      </c>
      <c r="M175">
        <v>100000</v>
      </c>
      <c r="N175">
        <v>3000</v>
      </c>
      <c r="R175">
        <v>9.9000000000000005E-2</v>
      </c>
      <c r="S175">
        <v>2.9399999999999999E-2</v>
      </c>
      <c r="W175">
        <v>3.3799999999999998E-4</v>
      </c>
      <c r="X175">
        <v>7.7999999999999999E-4</v>
      </c>
      <c r="Y175">
        <v>5.0699999999999997E-6</v>
      </c>
      <c r="Z175">
        <v>3.5750000000000001E-3</v>
      </c>
      <c r="AB175" t="s">
        <v>63</v>
      </c>
      <c r="AC175">
        <v>6800000</v>
      </c>
      <c r="AE175">
        <v>1E-4</v>
      </c>
      <c r="AG175">
        <v>3.5E-4</v>
      </c>
      <c r="AH175" t="s">
        <v>48</v>
      </c>
      <c r="AI175" t="s">
        <v>49</v>
      </c>
      <c r="AJ175" t="s">
        <v>50</v>
      </c>
      <c r="AL175">
        <v>1.9E-2</v>
      </c>
      <c r="AM175">
        <v>3.5750000000000001E-3</v>
      </c>
      <c r="AN175">
        <v>3.5750000000000001E-3</v>
      </c>
      <c r="AQ175" t="s">
        <v>54</v>
      </c>
    </row>
    <row r="176" spans="1:43" x14ac:dyDescent="0.25">
      <c r="A176" t="s">
        <v>618</v>
      </c>
      <c r="B176" t="s">
        <v>348</v>
      </c>
      <c r="C176">
        <v>100</v>
      </c>
      <c r="D176">
        <v>225</v>
      </c>
      <c r="E176">
        <v>5.0700000000000002E-2</v>
      </c>
      <c r="F176">
        <v>15000</v>
      </c>
      <c r="G176">
        <v>3.3799999999999998E-4</v>
      </c>
      <c r="H176">
        <v>8.8099999999999998E-2</v>
      </c>
      <c r="I176">
        <v>1.0200000000000001E-5</v>
      </c>
      <c r="J176">
        <v>24</v>
      </c>
      <c r="K176">
        <v>22.7</v>
      </c>
      <c r="L176">
        <v>0.22700000000000001</v>
      </c>
      <c r="M176">
        <v>1.71</v>
      </c>
      <c r="N176">
        <v>0.91</v>
      </c>
      <c r="O176">
        <v>8.43</v>
      </c>
      <c r="P176">
        <v>1</v>
      </c>
      <c r="Q176">
        <v>8.99</v>
      </c>
      <c r="R176">
        <v>39.5</v>
      </c>
      <c r="S176">
        <v>6.17</v>
      </c>
      <c r="T176">
        <v>6.17</v>
      </c>
      <c r="U176">
        <v>4.8799999999999998E-3</v>
      </c>
      <c r="V176">
        <v>4.8799999999999998E-3</v>
      </c>
      <c r="W176">
        <v>2.14E-4</v>
      </c>
      <c r="X176">
        <v>1.0200000000000001E-3</v>
      </c>
      <c r="Y176">
        <v>1.23E-3</v>
      </c>
      <c r="AB176">
        <v>2.31</v>
      </c>
      <c r="AE176">
        <v>1.4</v>
      </c>
      <c r="AG176">
        <v>0.7</v>
      </c>
      <c r="AH176" t="s">
        <v>48</v>
      </c>
      <c r="AI176" t="s">
        <v>49</v>
      </c>
      <c r="AJ176" t="s">
        <v>50</v>
      </c>
      <c r="AL176">
        <v>6.17</v>
      </c>
      <c r="AM176">
        <v>4.28E-4</v>
      </c>
      <c r="AN176">
        <v>7.4899999999999999E-4</v>
      </c>
      <c r="AQ176" t="s">
        <v>54</v>
      </c>
    </row>
    <row r="177" spans="1:43" x14ac:dyDescent="0.25">
      <c r="A177" t="s">
        <v>619</v>
      </c>
      <c r="B177" t="s">
        <v>349</v>
      </c>
      <c r="C177">
        <v>88.2</v>
      </c>
      <c r="D177">
        <v>164</v>
      </c>
      <c r="E177">
        <v>0.32900000000000001</v>
      </c>
      <c r="F177">
        <v>51000</v>
      </c>
      <c r="G177">
        <v>5.6899999999999995E-4</v>
      </c>
      <c r="H177">
        <v>9.5899999999999999E-2</v>
      </c>
      <c r="I177">
        <v>1.11E-5</v>
      </c>
      <c r="J177">
        <v>8.7100000000000009</v>
      </c>
      <c r="K177">
        <v>8.4</v>
      </c>
      <c r="L177">
        <v>8.4000000000000005E-2</v>
      </c>
      <c r="M177">
        <v>0.63</v>
      </c>
      <c r="N177">
        <v>0.33600000000000002</v>
      </c>
      <c r="O177">
        <v>8.43</v>
      </c>
      <c r="P177">
        <v>1</v>
      </c>
      <c r="Q177">
        <v>7.54</v>
      </c>
      <c r="R177">
        <v>89.7</v>
      </c>
      <c r="S177">
        <v>11.1</v>
      </c>
      <c r="T177">
        <v>11.1</v>
      </c>
      <c r="U177">
        <v>9.859999999999999E-4</v>
      </c>
      <c r="V177">
        <v>9.859999999999999E-4</v>
      </c>
      <c r="W177">
        <v>9.1299999999999997E-5</v>
      </c>
      <c r="X177">
        <v>4.3399999999999998E-4</v>
      </c>
      <c r="Y177">
        <v>5.2499999999999997E-4</v>
      </c>
      <c r="AB177">
        <v>3.16</v>
      </c>
      <c r="AE177">
        <v>0.14000000000000001</v>
      </c>
      <c r="AF177">
        <v>1.8E-3</v>
      </c>
      <c r="AG177">
        <v>3</v>
      </c>
      <c r="AH177">
        <v>2.6E-7</v>
      </c>
      <c r="AI177" t="s">
        <v>49</v>
      </c>
      <c r="AJ177" t="s">
        <v>50</v>
      </c>
      <c r="AL177">
        <v>11.1</v>
      </c>
      <c r="AM177">
        <v>1.83E-4</v>
      </c>
      <c r="AN177">
        <v>3.19E-4</v>
      </c>
      <c r="AQ177" t="s">
        <v>54</v>
      </c>
    </row>
    <row r="178" spans="1:43" x14ac:dyDescent="0.25">
      <c r="A178" t="s">
        <v>701</v>
      </c>
      <c r="B178" t="s">
        <v>351</v>
      </c>
      <c r="C178">
        <v>256</v>
      </c>
      <c r="D178">
        <v>423</v>
      </c>
      <c r="E178">
        <v>2.6300000000000002E-10</v>
      </c>
      <c r="F178">
        <v>6.0999999999999999E-2</v>
      </c>
      <c r="G178">
        <v>1.11E-6</v>
      </c>
      <c r="H178">
        <v>4.7100000000000003E-2</v>
      </c>
      <c r="I178">
        <v>5.4500000000000003E-6</v>
      </c>
      <c r="J178">
        <v>631000</v>
      </c>
      <c r="K178">
        <v>503000</v>
      </c>
      <c r="L178">
        <v>5030</v>
      </c>
      <c r="M178">
        <v>37700</v>
      </c>
      <c r="N178">
        <v>20100</v>
      </c>
      <c r="O178">
        <v>0.7</v>
      </c>
      <c r="P178">
        <v>0.307</v>
      </c>
      <c r="Q178">
        <v>6790</v>
      </c>
      <c r="R178">
        <v>1.35</v>
      </c>
      <c r="S178">
        <v>1.72E-2</v>
      </c>
      <c r="T178">
        <v>1.72E-2</v>
      </c>
      <c r="U178">
        <v>76000</v>
      </c>
      <c r="V178">
        <v>76000</v>
      </c>
      <c r="W178">
        <v>8.2699999999999996E-3</v>
      </c>
      <c r="X178">
        <v>3.9300000000000002E-2</v>
      </c>
      <c r="Y178">
        <v>4.7600000000000003E-2</v>
      </c>
      <c r="Z178">
        <v>3.79</v>
      </c>
      <c r="AB178">
        <v>5830</v>
      </c>
      <c r="AC178">
        <v>133000</v>
      </c>
      <c r="AF178">
        <v>255</v>
      </c>
      <c r="AI178" t="s">
        <v>49</v>
      </c>
      <c r="AJ178" t="s">
        <v>50</v>
      </c>
      <c r="AK178" t="s">
        <v>72</v>
      </c>
      <c r="AL178">
        <v>1.72E-2</v>
      </c>
      <c r="AM178">
        <v>1.6500000000000001E-2</v>
      </c>
      <c r="AN178">
        <v>2.9000000000000001E-2</v>
      </c>
      <c r="AQ178" t="s">
        <v>54</v>
      </c>
    </row>
    <row r="179" spans="1:43" x14ac:dyDescent="0.25">
      <c r="A179" t="s">
        <v>747</v>
      </c>
      <c r="B179" t="s">
        <v>748</v>
      </c>
      <c r="C179">
        <v>266</v>
      </c>
      <c r="D179">
        <v>453</v>
      </c>
      <c r="E179">
        <v>7.2399999999999998E-12</v>
      </c>
      <c r="F179">
        <v>1.6000000000000001E-3</v>
      </c>
      <c r="G179">
        <v>1.1000000000000001E-6</v>
      </c>
      <c r="H179">
        <v>4.2999999999999997E-2</v>
      </c>
      <c r="I179">
        <v>9.0000000000000002E-6</v>
      </c>
      <c r="J179">
        <v>1000000</v>
      </c>
      <c r="K179">
        <v>969000</v>
      </c>
      <c r="L179">
        <v>160000</v>
      </c>
      <c r="M179">
        <v>72700</v>
      </c>
      <c r="N179">
        <v>38800</v>
      </c>
      <c r="O179">
        <v>0.48</v>
      </c>
      <c r="P179">
        <v>0.29399999999999998</v>
      </c>
      <c r="Q179">
        <v>9680</v>
      </c>
      <c r="R179">
        <v>6.0499999999999998E-2</v>
      </c>
      <c r="S179">
        <v>1.32E-2</v>
      </c>
      <c r="T179">
        <v>1.32E-2</v>
      </c>
      <c r="U179">
        <v>125000</v>
      </c>
      <c r="V179">
        <v>125000</v>
      </c>
      <c r="W179">
        <v>7.9100000000000004E-3</v>
      </c>
      <c r="X179">
        <v>3.7600000000000001E-2</v>
      </c>
      <c r="Y179">
        <v>4.5499999999999999E-2</v>
      </c>
      <c r="Z179">
        <v>10.7</v>
      </c>
      <c r="AB179">
        <v>961.6</v>
      </c>
      <c r="AC179">
        <v>1165</v>
      </c>
      <c r="AF179">
        <v>1.7</v>
      </c>
      <c r="AH179">
        <v>1.8E-3</v>
      </c>
      <c r="AI179" t="s">
        <v>49</v>
      </c>
      <c r="AJ179" t="s">
        <v>50</v>
      </c>
      <c r="AK179" t="s">
        <v>72</v>
      </c>
      <c r="AL179">
        <v>1.32E-2</v>
      </c>
      <c r="AM179">
        <v>1.5800000000000002E-2</v>
      </c>
      <c r="AN179">
        <v>2.7699999999999999E-2</v>
      </c>
      <c r="AQ179" t="s">
        <v>54</v>
      </c>
    </row>
    <row r="180" spans="1:43" x14ac:dyDescent="0.25">
      <c r="A180" t="s">
        <v>562</v>
      </c>
      <c r="B180" t="s">
        <v>76</v>
      </c>
      <c r="C180">
        <v>268</v>
      </c>
      <c r="D180">
        <v>443</v>
      </c>
      <c r="E180">
        <v>1.9199999999999999E-11</v>
      </c>
      <c r="F180">
        <v>2.8999999999999998E-3</v>
      </c>
      <c r="G180">
        <v>1.7799999999999999E-6</v>
      </c>
      <c r="H180">
        <v>4.5699999999999998E-2</v>
      </c>
      <c r="I180">
        <v>5.2900000000000002E-6</v>
      </c>
      <c r="J180">
        <v>2630000</v>
      </c>
      <c r="K180">
        <v>2050000</v>
      </c>
      <c r="L180">
        <v>20500</v>
      </c>
      <c r="M180">
        <v>154000</v>
      </c>
      <c r="N180">
        <v>81900</v>
      </c>
      <c r="O180">
        <v>0.25</v>
      </c>
      <c r="P180">
        <v>3.1300000000000001E-2</v>
      </c>
      <c r="Q180">
        <v>20400</v>
      </c>
      <c r="R180">
        <v>0.996</v>
      </c>
      <c r="S180">
        <v>7.5399999999999998E-3</v>
      </c>
      <c r="T180">
        <v>7.5399999999999998E-3</v>
      </c>
      <c r="U180">
        <v>216000</v>
      </c>
      <c r="V180">
        <v>216000</v>
      </c>
      <c r="W180">
        <v>6.7799999999999996E-3</v>
      </c>
      <c r="X180">
        <v>3.2199999999999999E-2</v>
      </c>
      <c r="Y180">
        <v>3.9E-2</v>
      </c>
      <c r="Z180">
        <v>4.3600000000000003</v>
      </c>
      <c r="AB180">
        <v>17500</v>
      </c>
      <c r="AC180">
        <v>497000</v>
      </c>
      <c r="AF180">
        <v>22</v>
      </c>
      <c r="AH180">
        <v>0.01</v>
      </c>
      <c r="AI180" t="s">
        <v>49</v>
      </c>
      <c r="AJ180" t="s">
        <v>50</v>
      </c>
      <c r="AK180" t="s">
        <v>72</v>
      </c>
      <c r="AL180">
        <v>7.5399999999999998E-3</v>
      </c>
      <c r="AM180">
        <v>1.3599999999999999E-2</v>
      </c>
      <c r="AN180">
        <v>2.3699999999999999E-2</v>
      </c>
      <c r="AQ180" t="s">
        <v>54</v>
      </c>
    </row>
    <row r="181" spans="1:43" x14ac:dyDescent="0.25">
      <c r="A181" t="s">
        <v>702</v>
      </c>
      <c r="B181" t="s">
        <v>352</v>
      </c>
      <c r="C181">
        <v>84.9</v>
      </c>
      <c r="D181">
        <v>178</v>
      </c>
      <c r="E181">
        <v>0.56599999999999995</v>
      </c>
      <c r="F181">
        <v>13000</v>
      </c>
      <c r="G181">
        <v>2.2000000000000001E-3</v>
      </c>
      <c r="H181">
        <v>0.10100000000000001</v>
      </c>
      <c r="I181">
        <v>1.17E-5</v>
      </c>
      <c r="J181">
        <v>20</v>
      </c>
      <c r="K181">
        <v>10</v>
      </c>
      <c r="L181">
        <v>2.4E-2</v>
      </c>
      <c r="M181">
        <v>0.75</v>
      </c>
      <c r="N181">
        <v>0.4</v>
      </c>
      <c r="O181">
        <v>9.0299999999999994</v>
      </c>
      <c r="P181">
        <v>1</v>
      </c>
      <c r="Q181">
        <v>8.64</v>
      </c>
      <c r="R181">
        <v>359</v>
      </c>
      <c r="S181">
        <v>6.86</v>
      </c>
      <c r="T181">
        <v>6.86</v>
      </c>
      <c r="U181">
        <v>6.1600000000000001E-4</v>
      </c>
      <c r="V181">
        <v>6.1600000000000001E-4</v>
      </c>
      <c r="W181">
        <v>1.84E-4</v>
      </c>
      <c r="X181">
        <v>8.7600000000000004E-4</v>
      </c>
      <c r="Y181">
        <v>1.06E-3</v>
      </c>
      <c r="Z181">
        <v>1.4300000000000001E-4</v>
      </c>
      <c r="AB181">
        <v>2</v>
      </c>
      <c r="AE181">
        <v>6.0000000000000001E-3</v>
      </c>
      <c r="AF181">
        <v>2E-3</v>
      </c>
      <c r="AG181">
        <v>0.6</v>
      </c>
      <c r="AH181">
        <v>4.7E-7</v>
      </c>
      <c r="AI181" t="s">
        <v>49</v>
      </c>
      <c r="AJ181" t="s">
        <v>50</v>
      </c>
      <c r="AL181">
        <v>6.86</v>
      </c>
      <c r="AM181">
        <v>3.6900000000000002E-4</v>
      </c>
      <c r="AN181">
        <v>6.4499999999999996E-4</v>
      </c>
      <c r="AQ181" t="s">
        <v>54</v>
      </c>
    </row>
    <row r="182" spans="1:43" x14ac:dyDescent="0.25">
      <c r="A182" t="s">
        <v>564</v>
      </c>
      <c r="B182" t="s">
        <v>77</v>
      </c>
      <c r="C182">
        <v>198.268</v>
      </c>
      <c r="D182">
        <v>365.65</v>
      </c>
      <c r="E182">
        <v>3.9085200000000004E-3</v>
      </c>
      <c r="F182">
        <v>1000</v>
      </c>
      <c r="G182">
        <v>7.7499999999999997E-4</v>
      </c>
      <c r="H182">
        <v>5.5899999999999998E-2</v>
      </c>
      <c r="I182">
        <v>6.4699999999999999E-6</v>
      </c>
      <c r="J182">
        <v>38.904514499999998</v>
      </c>
      <c r="K182">
        <v>36.580530549999999</v>
      </c>
      <c r="L182">
        <v>0.36580530500000003</v>
      </c>
      <c r="M182">
        <v>2.7435397909999999</v>
      </c>
      <c r="N182">
        <v>1.463221222</v>
      </c>
      <c r="O182">
        <v>3.3725999999999998</v>
      </c>
      <c r="P182">
        <v>0.99999984799999997</v>
      </c>
      <c r="Q182">
        <v>10.201339949999999</v>
      </c>
      <c r="R182">
        <v>27.88734827</v>
      </c>
      <c r="S182">
        <v>4.666378903</v>
      </c>
      <c r="T182">
        <v>4.666378903</v>
      </c>
      <c r="U182">
        <v>3.5603330000000002E-3</v>
      </c>
      <c r="V182">
        <v>3.5603330000000002E-3</v>
      </c>
      <c r="W182">
        <v>3.1100000000000002E-4</v>
      </c>
      <c r="X182">
        <v>1.48E-3</v>
      </c>
      <c r="Y182">
        <v>1.7899999999999999E-3</v>
      </c>
      <c r="AB182">
        <v>3.3442597350000001</v>
      </c>
      <c r="AE182">
        <v>0.08</v>
      </c>
      <c r="AF182">
        <v>1.6</v>
      </c>
      <c r="AG182">
        <v>0.02</v>
      </c>
      <c r="AH182">
        <v>4.6000000000000001E-4</v>
      </c>
      <c r="AI182" t="s">
        <v>49</v>
      </c>
      <c r="AJ182" t="s">
        <v>50</v>
      </c>
      <c r="AL182">
        <v>4.666378903</v>
      </c>
      <c r="AM182">
        <v>6.2200000000000005E-4</v>
      </c>
      <c r="AN182">
        <v>1.09E-3</v>
      </c>
      <c r="AQ182" t="s">
        <v>54</v>
      </c>
    </row>
    <row r="183" spans="1:43" x14ac:dyDescent="0.25">
      <c r="A183" t="s">
        <v>565</v>
      </c>
      <c r="B183" t="s">
        <v>78</v>
      </c>
      <c r="C183">
        <v>250</v>
      </c>
      <c r="D183">
        <v>311</v>
      </c>
      <c r="E183">
        <v>6.58E-9</v>
      </c>
      <c r="F183">
        <v>0.82899999999999996</v>
      </c>
      <c r="G183">
        <v>1.99E-6</v>
      </c>
      <c r="H183">
        <v>4.7800000000000002E-2</v>
      </c>
      <c r="I183">
        <v>5.5400000000000003E-6</v>
      </c>
      <c r="J183">
        <v>166000</v>
      </c>
      <c r="K183">
        <v>135000</v>
      </c>
      <c r="L183">
        <v>1350</v>
      </c>
      <c r="M183">
        <v>10200</v>
      </c>
      <c r="N183">
        <v>5420</v>
      </c>
      <c r="O183">
        <v>3.37</v>
      </c>
      <c r="P183">
        <v>0.91700000000000004</v>
      </c>
      <c r="Q183">
        <v>2430</v>
      </c>
      <c r="R183">
        <v>1.79</v>
      </c>
      <c r="S183">
        <v>3.7199999999999997E-2</v>
      </c>
      <c r="T183">
        <v>3.7199999999999997E-2</v>
      </c>
      <c r="U183">
        <v>10200</v>
      </c>
      <c r="V183">
        <v>10200</v>
      </c>
      <c r="W183">
        <v>8.5100000000000002E-3</v>
      </c>
      <c r="X183">
        <v>4.0399999999999998E-2</v>
      </c>
      <c r="Y183">
        <v>4.8899999999999999E-2</v>
      </c>
      <c r="AB183">
        <v>2090</v>
      </c>
      <c r="AC183">
        <v>10400</v>
      </c>
      <c r="AG183">
        <v>5.9999999999999995E-4</v>
      </c>
      <c r="AH183" t="s">
        <v>48</v>
      </c>
      <c r="AI183" t="s">
        <v>49</v>
      </c>
      <c r="AJ183" t="s">
        <v>50</v>
      </c>
      <c r="AL183">
        <v>82.7</v>
      </c>
      <c r="AM183">
        <v>1.7000000000000001E-2</v>
      </c>
      <c r="AN183">
        <v>2.98E-2</v>
      </c>
      <c r="AQ183" t="s">
        <v>54</v>
      </c>
    </row>
    <row r="184" spans="1:43" x14ac:dyDescent="0.25">
      <c r="A184" t="s">
        <v>620</v>
      </c>
      <c r="B184" t="s">
        <v>354</v>
      </c>
      <c r="C184">
        <v>142.19999999999999</v>
      </c>
      <c r="D184">
        <v>296.14999999999998</v>
      </c>
      <c r="E184">
        <v>4.8199999999999999E-5</v>
      </c>
      <c r="F184">
        <v>40.619999999999997</v>
      </c>
      <c r="G184">
        <v>5.8E-4</v>
      </c>
      <c r="H184">
        <v>5.28E-2</v>
      </c>
      <c r="I184">
        <v>7.8499999999999994E-6</v>
      </c>
      <c r="J184">
        <v>5250</v>
      </c>
      <c r="K184">
        <v>2528</v>
      </c>
      <c r="L184">
        <v>62.3</v>
      </c>
      <c r="M184">
        <v>189.6</v>
      </c>
      <c r="N184">
        <v>101.12</v>
      </c>
      <c r="O184">
        <v>8.4</v>
      </c>
      <c r="P184">
        <v>1</v>
      </c>
      <c r="Q184">
        <v>218</v>
      </c>
      <c r="R184">
        <v>3.5</v>
      </c>
      <c r="S184">
        <v>0.22800000000000001</v>
      </c>
      <c r="T184">
        <v>0.22800000000000001</v>
      </c>
      <c r="U184">
        <v>0.219</v>
      </c>
      <c r="V184">
        <v>0.219</v>
      </c>
      <c r="W184">
        <v>5.8600000000000001E-5</v>
      </c>
      <c r="X184">
        <v>1.85E-4</v>
      </c>
      <c r="Y184">
        <v>2.86E-2</v>
      </c>
      <c r="Z184">
        <v>1.8700000000000001E-2</v>
      </c>
      <c r="AB184">
        <v>498.2</v>
      </c>
      <c r="AC184">
        <v>500.2</v>
      </c>
      <c r="AH184" t="s">
        <v>48</v>
      </c>
      <c r="AI184" t="s">
        <v>49</v>
      </c>
      <c r="AJ184" t="s">
        <v>50</v>
      </c>
      <c r="AK184" t="s">
        <v>72</v>
      </c>
      <c r="AL184">
        <v>0.22800000000000001</v>
      </c>
      <c r="AM184">
        <v>9.9600000000000001E-3</v>
      </c>
      <c r="AN184">
        <v>1.7399999999999999E-2</v>
      </c>
      <c r="AQ184" t="s">
        <v>54</v>
      </c>
    </row>
    <row r="185" spans="1:43" x14ac:dyDescent="0.25">
      <c r="A185" t="s">
        <v>559</v>
      </c>
      <c r="B185" t="s">
        <v>71</v>
      </c>
      <c r="C185">
        <v>142</v>
      </c>
      <c r="D185">
        <v>307</v>
      </c>
      <c r="E185">
        <v>7.2399999999999998E-5</v>
      </c>
      <c r="F185">
        <v>24.6</v>
      </c>
      <c r="G185">
        <v>4.1899999999999999E-4</v>
      </c>
      <c r="H185">
        <v>6.9699999999999998E-2</v>
      </c>
      <c r="I185">
        <v>8.0800000000000006E-6</v>
      </c>
      <c r="J185">
        <v>7240</v>
      </c>
      <c r="K185">
        <v>6230</v>
      </c>
      <c r="L185">
        <v>62.3</v>
      </c>
      <c r="M185">
        <v>467</v>
      </c>
      <c r="N185">
        <v>249</v>
      </c>
      <c r="O185">
        <v>8.4</v>
      </c>
      <c r="P185">
        <v>1</v>
      </c>
      <c r="Q185">
        <v>218</v>
      </c>
      <c r="R185">
        <v>3.5</v>
      </c>
      <c r="S185">
        <v>0.22800000000000001</v>
      </c>
      <c r="T185">
        <v>0.22800000000000001</v>
      </c>
      <c r="U185">
        <v>1.72</v>
      </c>
      <c r="V185">
        <v>1.72</v>
      </c>
      <c r="W185">
        <v>4.9800000000000001E-3</v>
      </c>
      <c r="X185">
        <v>2.3699999999999999E-2</v>
      </c>
      <c r="Y185">
        <v>2.86E-2</v>
      </c>
      <c r="Z185">
        <v>1.8700000000000001E-2</v>
      </c>
      <c r="AB185">
        <v>187</v>
      </c>
      <c r="AC185">
        <v>500.2</v>
      </c>
      <c r="AE185">
        <v>4.0000000000000001E-3</v>
      </c>
      <c r="AH185" t="s">
        <v>48</v>
      </c>
      <c r="AI185" t="s">
        <v>49</v>
      </c>
      <c r="AJ185" t="s">
        <v>50</v>
      </c>
      <c r="AK185" t="s">
        <v>72</v>
      </c>
      <c r="AL185">
        <v>0.22800000000000001</v>
      </c>
      <c r="AM185">
        <v>9.9600000000000001E-3</v>
      </c>
      <c r="AN185">
        <v>1.7399999999999999E-2</v>
      </c>
      <c r="AQ185" t="s">
        <v>54</v>
      </c>
    </row>
    <row r="186" spans="1:43" x14ac:dyDescent="0.25">
      <c r="A186" t="s">
        <v>745</v>
      </c>
      <c r="B186" t="s">
        <v>746</v>
      </c>
      <c r="C186">
        <v>216.28</v>
      </c>
      <c r="D186">
        <v>406</v>
      </c>
      <c r="E186">
        <v>2.2999999999999999E-9</v>
      </c>
      <c r="F186">
        <v>5.8000000000000003E-2</v>
      </c>
      <c r="G186">
        <v>9.1600000000000004E-6</v>
      </c>
      <c r="J186">
        <v>300000</v>
      </c>
      <c r="K186">
        <v>89000</v>
      </c>
      <c r="P186">
        <v>0.96260000000000001</v>
      </c>
      <c r="AB186">
        <v>502.6</v>
      </c>
      <c r="AC186">
        <v>515.9</v>
      </c>
    </row>
    <row r="187" spans="1:43" x14ac:dyDescent="0.25">
      <c r="A187" t="s">
        <v>560</v>
      </c>
      <c r="B187" t="s">
        <v>73</v>
      </c>
      <c r="C187">
        <v>326</v>
      </c>
      <c r="D187">
        <v>283</v>
      </c>
      <c r="E187">
        <v>1.01E-7</v>
      </c>
      <c r="F187">
        <v>4.2999999999999997E-2</v>
      </c>
      <c r="G187">
        <v>2.8299999999999999E-4</v>
      </c>
      <c r="H187">
        <v>1E-3</v>
      </c>
      <c r="I187">
        <v>1.0000000000000001E-5</v>
      </c>
      <c r="J187">
        <v>3160000</v>
      </c>
      <c r="K187">
        <v>2450000</v>
      </c>
      <c r="L187">
        <v>24500</v>
      </c>
      <c r="M187">
        <v>184000</v>
      </c>
      <c r="N187">
        <v>98100</v>
      </c>
      <c r="O187">
        <v>0.03</v>
      </c>
      <c r="P187">
        <v>0.99199999999999999</v>
      </c>
      <c r="Q187">
        <v>23500</v>
      </c>
      <c r="R187">
        <v>0.95799999999999996</v>
      </c>
      <c r="S187">
        <v>6.7799999999999996E-3</v>
      </c>
      <c r="T187">
        <v>6.7799999999999996E-3</v>
      </c>
      <c r="U187">
        <v>1650</v>
      </c>
      <c r="V187">
        <v>1650</v>
      </c>
      <c r="W187">
        <v>6.5199999999999998E-3</v>
      </c>
      <c r="X187">
        <v>3.1E-2</v>
      </c>
      <c r="Y187">
        <v>3.7499999999999999E-2</v>
      </c>
      <c r="Z187">
        <v>12.8</v>
      </c>
      <c r="AB187">
        <v>84100</v>
      </c>
      <c r="AD187">
        <v>2</v>
      </c>
      <c r="AG187">
        <v>1.2999999999999999E-3</v>
      </c>
      <c r="AH187">
        <v>1E-4</v>
      </c>
      <c r="AI187" t="s">
        <v>49</v>
      </c>
      <c r="AJ187" t="s">
        <v>50</v>
      </c>
      <c r="AL187">
        <v>0.01</v>
      </c>
      <c r="AM187">
        <v>1.2999999999999999E-2</v>
      </c>
      <c r="AN187">
        <v>3.2000000000000001E-2</v>
      </c>
      <c r="AQ187" t="s">
        <v>54</v>
      </c>
    </row>
    <row r="188" spans="1:43" x14ac:dyDescent="0.25">
      <c r="A188" t="s">
        <v>355</v>
      </c>
      <c r="B188" t="s">
        <v>356</v>
      </c>
      <c r="C188">
        <v>128</v>
      </c>
      <c r="D188">
        <v>353</v>
      </c>
      <c r="E188">
        <v>1.12E-4</v>
      </c>
      <c r="F188">
        <v>31</v>
      </c>
      <c r="G188">
        <v>4.8000000000000001E-4</v>
      </c>
      <c r="H188">
        <v>5.8999999999999997E-2</v>
      </c>
      <c r="I188">
        <v>7.5000000000000002E-6</v>
      </c>
      <c r="J188">
        <v>2000</v>
      </c>
      <c r="K188">
        <v>1190</v>
      </c>
      <c r="L188">
        <v>300</v>
      </c>
      <c r="M188">
        <v>89.3</v>
      </c>
      <c r="N188">
        <v>47.6</v>
      </c>
      <c r="O188">
        <v>5.27</v>
      </c>
      <c r="P188">
        <v>1</v>
      </c>
      <c r="Q188">
        <v>80.7</v>
      </c>
      <c r="R188">
        <v>0.26900000000000002</v>
      </c>
      <c r="S188">
        <v>0.47899999999999998</v>
      </c>
      <c r="T188">
        <v>0.47899999999999998</v>
      </c>
      <c r="U188">
        <v>0.38100000000000001</v>
      </c>
      <c r="V188">
        <v>0.38100000000000001</v>
      </c>
      <c r="W188">
        <v>3.13E-3</v>
      </c>
      <c r="X188">
        <v>1.49E-2</v>
      </c>
      <c r="Y188">
        <v>1.7999999999999999E-2</v>
      </c>
      <c r="Z188">
        <v>1.8700000000000001E-2</v>
      </c>
      <c r="AB188">
        <v>69.3</v>
      </c>
      <c r="AC188">
        <v>69.3</v>
      </c>
      <c r="AE188">
        <v>0.02</v>
      </c>
      <c r="AG188">
        <v>8.9999999999999993E-3</v>
      </c>
      <c r="AH188">
        <v>3.4E-5</v>
      </c>
      <c r="AI188" t="s">
        <v>49</v>
      </c>
      <c r="AJ188" t="s">
        <v>50</v>
      </c>
      <c r="AK188" t="s">
        <v>72</v>
      </c>
      <c r="AL188">
        <v>0.47899999999999998</v>
      </c>
      <c r="AM188">
        <v>6.2500000000000003E-3</v>
      </c>
      <c r="AN188">
        <v>1.09E-2</v>
      </c>
      <c r="AQ188" t="s">
        <v>54</v>
      </c>
    </row>
    <row r="189" spans="1:43" x14ac:dyDescent="0.25">
      <c r="A189" t="s">
        <v>621</v>
      </c>
      <c r="B189" t="s">
        <v>357</v>
      </c>
      <c r="C189">
        <v>86.2</v>
      </c>
      <c r="D189">
        <v>178</v>
      </c>
      <c r="E189">
        <v>0.19900000000000001</v>
      </c>
      <c r="F189">
        <v>9.5</v>
      </c>
      <c r="G189">
        <v>1.8</v>
      </c>
      <c r="H189">
        <v>9.74E-2</v>
      </c>
      <c r="I189">
        <v>1.13E-5</v>
      </c>
      <c r="J189">
        <v>7940</v>
      </c>
      <c r="K189">
        <v>1470</v>
      </c>
      <c r="L189">
        <v>14.7</v>
      </c>
      <c r="M189">
        <v>110</v>
      </c>
      <c r="N189">
        <v>58.7</v>
      </c>
      <c r="O189">
        <v>14.9</v>
      </c>
      <c r="P189">
        <v>1</v>
      </c>
      <c r="Q189">
        <v>234</v>
      </c>
      <c r="R189">
        <v>15.9</v>
      </c>
      <c r="S189">
        <v>0.216</v>
      </c>
      <c r="T189">
        <v>0.216</v>
      </c>
      <c r="U189">
        <v>4.4200000000000001E-4</v>
      </c>
      <c r="V189">
        <v>4.4200000000000001E-4</v>
      </c>
      <c r="W189">
        <v>5.1200000000000004E-3</v>
      </c>
      <c r="X189">
        <v>2.4299999999999999E-2</v>
      </c>
      <c r="Y189">
        <v>2.9399999999999999E-2</v>
      </c>
      <c r="AB189">
        <v>201</v>
      </c>
      <c r="AG189">
        <v>2</v>
      </c>
      <c r="AH189" t="s">
        <v>48</v>
      </c>
      <c r="AI189" t="s">
        <v>49</v>
      </c>
      <c r="AJ189" t="s">
        <v>50</v>
      </c>
      <c r="AL189">
        <v>0.216</v>
      </c>
      <c r="AM189">
        <v>1.0200000000000001E-2</v>
      </c>
      <c r="AN189">
        <v>1.7899999999999999E-2</v>
      </c>
      <c r="AQ189" t="s">
        <v>54</v>
      </c>
    </row>
    <row r="190" spans="1:43" x14ac:dyDescent="0.25">
      <c r="A190" t="s">
        <v>622</v>
      </c>
      <c r="B190" t="s">
        <v>358</v>
      </c>
      <c r="C190">
        <v>190.29</v>
      </c>
      <c r="D190">
        <v>314.52</v>
      </c>
      <c r="E190">
        <v>2.2299999999999998E-6</v>
      </c>
      <c r="F190">
        <v>5602</v>
      </c>
      <c r="G190">
        <v>2.6799999999999998E-9</v>
      </c>
      <c r="J190">
        <v>18.600000000000001</v>
      </c>
      <c r="K190">
        <v>10</v>
      </c>
      <c r="M190">
        <v>0.75</v>
      </c>
      <c r="N190">
        <v>0.4</v>
      </c>
      <c r="P190">
        <v>0.99931199999999998</v>
      </c>
      <c r="AB190">
        <v>4.4969999999999999</v>
      </c>
      <c r="AC190">
        <v>4.4969999999999999</v>
      </c>
      <c r="AH190" t="s">
        <v>48</v>
      </c>
      <c r="AI190" t="s">
        <v>49</v>
      </c>
      <c r="AJ190" t="s">
        <v>50</v>
      </c>
      <c r="AQ190" t="s">
        <v>54</v>
      </c>
    </row>
    <row r="191" spans="1:43" x14ac:dyDescent="0.25">
      <c r="A191" t="s">
        <v>359</v>
      </c>
      <c r="B191" t="s">
        <v>360</v>
      </c>
      <c r="C191">
        <v>58.7</v>
      </c>
      <c r="D191">
        <v>1770</v>
      </c>
      <c r="E191">
        <v>0</v>
      </c>
      <c r="F191">
        <v>422000</v>
      </c>
      <c r="G191">
        <v>2.5000000000000001E-2</v>
      </c>
      <c r="H191">
        <v>7.7200000000000005E-2</v>
      </c>
      <c r="I191">
        <v>9.5699999999999999E-6</v>
      </c>
      <c r="J191">
        <v>0.26900000000000002</v>
      </c>
      <c r="L191">
        <v>65</v>
      </c>
      <c r="M191">
        <v>65</v>
      </c>
      <c r="N191">
        <v>65</v>
      </c>
      <c r="P191">
        <v>0</v>
      </c>
      <c r="R191">
        <v>8.0000000000000002E-3</v>
      </c>
      <c r="S191">
        <v>9.3100000000000006E-3</v>
      </c>
      <c r="T191">
        <v>3.2000000000000001E-2</v>
      </c>
      <c r="W191">
        <v>1E-3</v>
      </c>
      <c r="X191">
        <v>6.0000000000000001E-3</v>
      </c>
      <c r="AB191">
        <v>78</v>
      </c>
      <c r="AE191">
        <v>0.02</v>
      </c>
      <c r="AG191">
        <v>1.4E-5</v>
      </c>
      <c r="AH191">
        <v>4.8000000000000001E-4</v>
      </c>
      <c r="AI191" t="s">
        <v>49</v>
      </c>
      <c r="AJ191" t="s">
        <v>110</v>
      </c>
      <c r="AK191" t="s">
        <v>111</v>
      </c>
      <c r="AL191">
        <v>6.0000000000000001E-3</v>
      </c>
      <c r="AQ191" t="s">
        <v>54</v>
      </c>
    </row>
    <row r="192" spans="1:43" x14ac:dyDescent="0.25">
      <c r="A192" t="s">
        <v>361</v>
      </c>
      <c r="B192" t="s">
        <v>362</v>
      </c>
      <c r="C192">
        <v>123</v>
      </c>
      <c r="D192">
        <v>279</v>
      </c>
      <c r="E192">
        <v>3.2200000000000002E-4</v>
      </c>
      <c r="F192">
        <v>2090</v>
      </c>
      <c r="G192">
        <v>2.4000000000000001E-5</v>
      </c>
      <c r="H192">
        <v>7.5999999999999998E-2</v>
      </c>
      <c r="I192">
        <v>8.6000000000000007E-6</v>
      </c>
      <c r="J192">
        <v>70.8</v>
      </c>
      <c r="K192">
        <v>119</v>
      </c>
      <c r="L192">
        <v>1.19</v>
      </c>
      <c r="M192">
        <v>8.93</v>
      </c>
      <c r="N192">
        <v>4.76</v>
      </c>
      <c r="O192">
        <v>1.28</v>
      </c>
      <c r="P192">
        <v>1</v>
      </c>
      <c r="Q192">
        <v>12.5</v>
      </c>
      <c r="R192">
        <v>10.5</v>
      </c>
      <c r="S192">
        <v>3.3</v>
      </c>
      <c r="T192">
        <v>3.3</v>
      </c>
      <c r="U192">
        <v>0.217</v>
      </c>
      <c r="V192">
        <v>0.217</v>
      </c>
      <c r="W192">
        <v>4.8200000000000001E-4</v>
      </c>
      <c r="X192">
        <v>2.2899999999999999E-3</v>
      </c>
      <c r="Y192">
        <v>2.7699999999999999E-3</v>
      </c>
      <c r="Z192">
        <v>5.4000000000000001E-4</v>
      </c>
      <c r="AB192">
        <v>5.3</v>
      </c>
      <c r="AE192">
        <v>2E-3</v>
      </c>
      <c r="AG192">
        <v>8.9999999999999993E-3</v>
      </c>
      <c r="AH192">
        <v>4.0000000000000003E-5</v>
      </c>
      <c r="AI192" t="s">
        <v>49</v>
      </c>
      <c r="AJ192" t="s">
        <v>50</v>
      </c>
      <c r="AL192">
        <v>3.3</v>
      </c>
      <c r="AM192">
        <v>9.6299999999999999E-4</v>
      </c>
      <c r="AN192">
        <v>1.6900000000000001E-3</v>
      </c>
      <c r="AQ192" t="s">
        <v>54</v>
      </c>
    </row>
    <row r="193" spans="1:43" x14ac:dyDescent="0.25">
      <c r="A193" t="s">
        <v>740</v>
      </c>
      <c r="B193" t="s">
        <v>741</v>
      </c>
      <c r="C193">
        <v>199.21</v>
      </c>
      <c r="D193">
        <v>384.29</v>
      </c>
      <c r="E193">
        <v>3.8999999999999999E-5</v>
      </c>
      <c r="F193">
        <v>9.8350000000000009</v>
      </c>
      <c r="G193">
        <v>1.5999999999999999E-6</v>
      </c>
      <c r="H193">
        <v>5.57E-2</v>
      </c>
      <c r="I193">
        <v>6.5100000000000004E-6</v>
      </c>
      <c r="J193">
        <v>3720</v>
      </c>
      <c r="K193">
        <v>7966</v>
      </c>
      <c r="P193">
        <v>1</v>
      </c>
      <c r="U193">
        <v>0.23400000000000001</v>
      </c>
      <c r="V193">
        <v>0.23400000000000001</v>
      </c>
      <c r="W193">
        <v>5.2200000000000002E-5</v>
      </c>
      <c r="X193">
        <v>1.65E-4</v>
      </c>
      <c r="AB193">
        <v>405.9</v>
      </c>
      <c r="AC193">
        <v>406.7</v>
      </c>
    </row>
    <row r="194" spans="1:43" x14ac:dyDescent="0.25">
      <c r="A194" t="s">
        <v>465</v>
      </c>
      <c r="B194" t="s">
        <v>466</v>
      </c>
      <c r="C194">
        <v>46</v>
      </c>
      <c r="D194">
        <v>262</v>
      </c>
      <c r="E194">
        <v>0.94799999999999995</v>
      </c>
      <c r="F194">
        <v>1000000</v>
      </c>
      <c r="H194">
        <v>0.14799999999999999</v>
      </c>
      <c r="P194">
        <v>1</v>
      </c>
      <c r="AB194" t="s">
        <v>63</v>
      </c>
      <c r="AH194" t="s">
        <v>48</v>
      </c>
      <c r="AI194" t="s">
        <v>49</v>
      </c>
      <c r="AJ194" t="s">
        <v>110</v>
      </c>
      <c r="AQ194" t="s">
        <v>54</v>
      </c>
    </row>
    <row r="195" spans="1:43" x14ac:dyDescent="0.25">
      <c r="A195" t="s">
        <v>678</v>
      </c>
      <c r="B195" t="s">
        <v>679</v>
      </c>
      <c r="C195">
        <v>46</v>
      </c>
      <c r="D195">
        <v>262</v>
      </c>
      <c r="E195">
        <v>0.94799999999999995</v>
      </c>
      <c r="F195">
        <v>1000000</v>
      </c>
      <c r="H195">
        <v>0.14799999999999999</v>
      </c>
      <c r="P195">
        <v>1</v>
      </c>
      <c r="AB195" t="s">
        <v>63</v>
      </c>
      <c r="AH195" t="s">
        <v>48</v>
      </c>
      <c r="AI195" t="s">
        <v>49</v>
      </c>
      <c r="AJ195" t="s">
        <v>110</v>
      </c>
      <c r="AQ195" t="s">
        <v>54</v>
      </c>
    </row>
    <row r="196" spans="1:43" x14ac:dyDescent="0.25">
      <c r="A196" t="s">
        <v>363</v>
      </c>
      <c r="B196" t="s">
        <v>364</v>
      </c>
      <c r="C196">
        <v>139</v>
      </c>
      <c r="D196">
        <v>387</v>
      </c>
      <c r="E196">
        <v>5.39E-8</v>
      </c>
      <c r="F196">
        <v>11600</v>
      </c>
      <c r="G196">
        <v>4.1500000000000001E-10</v>
      </c>
      <c r="H196">
        <v>1E-3</v>
      </c>
      <c r="I196">
        <v>1.0000000000000001E-5</v>
      </c>
      <c r="J196">
        <v>81.3</v>
      </c>
      <c r="K196">
        <v>75.5</v>
      </c>
      <c r="L196">
        <v>0.75</v>
      </c>
      <c r="M196">
        <v>5.66</v>
      </c>
      <c r="N196">
        <v>3.02</v>
      </c>
      <c r="O196">
        <v>209</v>
      </c>
      <c r="P196">
        <v>0.999</v>
      </c>
      <c r="Q196">
        <v>13.2</v>
      </c>
      <c r="R196">
        <v>17.5</v>
      </c>
      <c r="S196">
        <v>3.05</v>
      </c>
      <c r="T196">
        <v>3.05</v>
      </c>
      <c r="U196">
        <v>14600</v>
      </c>
      <c r="V196">
        <v>14600</v>
      </c>
      <c r="W196">
        <v>5.2999999999999998E-4</v>
      </c>
      <c r="X196">
        <v>2.5200000000000001E-3</v>
      </c>
      <c r="Y196">
        <v>3.0500000000000002E-3</v>
      </c>
      <c r="Z196">
        <v>6.4599999999999998E-4</v>
      </c>
      <c r="AB196">
        <v>5.9</v>
      </c>
      <c r="AH196" t="s">
        <v>48</v>
      </c>
      <c r="AI196" t="s">
        <v>49</v>
      </c>
      <c r="AJ196" t="s">
        <v>50</v>
      </c>
      <c r="AL196">
        <v>3.05</v>
      </c>
      <c r="AM196">
        <v>1.06E-3</v>
      </c>
      <c r="AN196">
        <v>1.8600000000000001E-3</v>
      </c>
      <c r="AQ196" t="s">
        <v>54</v>
      </c>
    </row>
    <row r="197" spans="1:43" x14ac:dyDescent="0.25">
      <c r="A197" t="s">
        <v>563</v>
      </c>
      <c r="B197" t="s">
        <v>74</v>
      </c>
      <c r="C197">
        <v>89.1</v>
      </c>
      <c r="D197">
        <v>182</v>
      </c>
      <c r="E197">
        <v>2.2599999999999999E-2</v>
      </c>
      <c r="F197">
        <v>17000</v>
      </c>
      <c r="G197">
        <v>1.1900000000000001E-4</v>
      </c>
      <c r="H197">
        <v>9.5200000000000007E-2</v>
      </c>
      <c r="I197">
        <v>1.1E-5</v>
      </c>
      <c r="J197">
        <v>8.51</v>
      </c>
      <c r="K197">
        <v>8.2100000000000009</v>
      </c>
      <c r="L197">
        <v>8.2100000000000006E-2</v>
      </c>
      <c r="M197">
        <v>0.61599999999999999</v>
      </c>
      <c r="N197">
        <v>0.32900000000000001</v>
      </c>
      <c r="O197">
        <v>8.43</v>
      </c>
      <c r="P197">
        <v>1</v>
      </c>
      <c r="Q197">
        <v>7.52</v>
      </c>
      <c r="R197">
        <v>91.5</v>
      </c>
      <c r="S197">
        <v>11.2</v>
      </c>
      <c r="T197">
        <v>11.2</v>
      </c>
      <c r="U197">
        <v>4.6100000000000004E-3</v>
      </c>
      <c r="V197">
        <v>4.6100000000000004E-3</v>
      </c>
      <c r="W197">
        <v>8.9400000000000005E-5</v>
      </c>
      <c r="X197">
        <v>4.2499999999999998E-4</v>
      </c>
      <c r="Y197">
        <v>5.1400000000000003E-4</v>
      </c>
      <c r="AB197">
        <v>3.16</v>
      </c>
      <c r="AG197">
        <v>0.02</v>
      </c>
      <c r="AH197" t="s">
        <v>48</v>
      </c>
      <c r="AI197" t="s">
        <v>49</v>
      </c>
      <c r="AJ197" t="s">
        <v>50</v>
      </c>
      <c r="AL197">
        <v>11.2</v>
      </c>
      <c r="AM197">
        <v>1.7899999999999999E-4</v>
      </c>
      <c r="AN197">
        <v>3.1300000000000002E-4</v>
      </c>
      <c r="AQ197" t="s">
        <v>54</v>
      </c>
    </row>
    <row r="198" spans="1:43" x14ac:dyDescent="0.25">
      <c r="A198" t="s">
        <v>476</v>
      </c>
      <c r="B198" t="s">
        <v>477</v>
      </c>
      <c r="C198">
        <v>247.26</v>
      </c>
      <c r="D198">
        <v>444.56</v>
      </c>
      <c r="E198">
        <v>1.09E-10</v>
      </c>
      <c r="F198">
        <v>3.6970000000000003E-2</v>
      </c>
      <c r="G198">
        <v>3.2700000000000002E-8</v>
      </c>
      <c r="J198">
        <v>56200</v>
      </c>
      <c r="K198">
        <v>86000</v>
      </c>
      <c r="M198">
        <v>6450</v>
      </c>
      <c r="N198">
        <v>3440</v>
      </c>
      <c r="P198">
        <v>0.68399999999999994</v>
      </c>
      <c r="AB198">
        <v>103.8</v>
      </c>
      <c r="AC198">
        <v>103.8</v>
      </c>
      <c r="AF198">
        <v>1.2</v>
      </c>
      <c r="AH198">
        <v>1.8000000000000001E-4</v>
      </c>
    </row>
    <row r="199" spans="1:43" x14ac:dyDescent="0.25">
      <c r="A199" t="s">
        <v>517</v>
      </c>
      <c r="B199" t="s">
        <v>365</v>
      </c>
      <c r="C199">
        <v>74.099999999999994</v>
      </c>
      <c r="D199">
        <v>234</v>
      </c>
      <c r="E199">
        <v>3.5500000000000002E-3</v>
      </c>
      <c r="F199">
        <v>1000000</v>
      </c>
      <c r="G199">
        <v>1.8199999999999999E-6</v>
      </c>
      <c r="H199">
        <v>9.8799999999999999E-2</v>
      </c>
      <c r="I199">
        <v>1.15E-5</v>
      </c>
      <c r="J199">
        <v>0.27</v>
      </c>
      <c r="K199">
        <v>22.8</v>
      </c>
      <c r="L199">
        <v>0.22800000000000001</v>
      </c>
      <c r="M199">
        <v>1.71</v>
      </c>
      <c r="N199">
        <v>0.91200000000000003</v>
      </c>
      <c r="O199">
        <v>3.8499999999999998E-4</v>
      </c>
      <c r="P199">
        <v>1</v>
      </c>
      <c r="Q199">
        <v>6.39</v>
      </c>
      <c r="R199">
        <v>28</v>
      </c>
      <c r="S199">
        <v>82.5</v>
      </c>
      <c r="T199">
        <v>82.5</v>
      </c>
      <c r="U199">
        <v>7.62E-3</v>
      </c>
      <c r="V199">
        <v>7.62E-3</v>
      </c>
      <c r="W199">
        <v>2.52E-6</v>
      </c>
      <c r="X199">
        <v>1.2E-5</v>
      </c>
      <c r="Y199">
        <v>1.45E-5</v>
      </c>
      <c r="AB199">
        <v>3.16</v>
      </c>
      <c r="AE199">
        <v>7.9999999999999996E-6</v>
      </c>
      <c r="AF199">
        <v>51</v>
      </c>
      <c r="AH199">
        <v>1.4E-2</v>
      </c>
      <c r="AI199" t="s">
        <v>49</v>
      </c>
      <c r="AJ199" t="s">
        <v>50</v>
      </c>
      <c r="AL199">
        <v>82.7</v>
      </c>
      <c r="AM199">
        <v>5.04E-6</v>
      </c>
      <c r="AN199">
        <v>8.8200000000000003E-6</v>
      </c>
      <c r="AQ199" t="s">
        <v>54</v>
      </c>
    </row>
    <row r="200" spans="1:43" x14ac:dyDescent="0.25">
      <c r="A200" t="s">
        <v>518</v>
      </c>
      <c r="B200" t="s">
        <v>519</v>
      </c>
      <c r="C200">
        <v>116.12</v>
      </c>
      <c r="D200">
        <v>289.93</v>
      </c>
      <c r="E200">
        <v>1.76E-4</v>
      </c>
      <c r="F200">
        <v>246000</v>
      </c>
      <c r="G200">
        <v>1.4100000000000001E-8</v>
      </c>
      <c r="J200">
        <v>0.371</v>
      </c>
      <c r="K200">
        <v>22.51</v>
      </c>
      <c r="M200">
        <v>1.68825</v>
      </c>
      <c r="N200">
        <v>0.90040000000000009</v>
      </c>
      <c r="P200">
        <v>1</v>
      </c>
      <c r="AB200">
        <v>0.90339999999999998</v>
      </c>
      <c r="AC200">
        <v>0.90339999999999998</v>
      </c>
    </row>
    <row r="201" spans="1:43" x14ac:dyDescent="0.25">
      <c r="A201" t="s">
        <v>520</v>
      </c>
      <c r="B201" t="s">
        <v>521</v>
      </c>
      <c r="C201">
        <v>46</v>
      </c>
      <c r="D201">
        <v>262</v>
      </c>
      <c r="E201">
        <v>0.94799999999999995</v>
      </c>
      <c r="F201">
        <v>1000000</v>
      </c>
      <c r="H201">
        <v>0.14799999999999999</v>
      </c>
      <c r="M201">
        <v>0</v>
      </c>
      <c r="N201">
        <v>0</v>
      </c>
      <c r="P201">
        <v>1</v>
      </c>
    </row>
    <row r="202" spans="1:43" x14ac:dyDescent="0.25">
      <c r="A202" t="s">
        <v>366</v>
      </c>
      <c r="B202" t="s">
        <v>367</v>
      </c>
      <c r="C202">
        <v>46</v>
      </c>
      <c r="D202">
        <v>262</v>
      </c>
      <c r="E202">
        <v>0.94799999999999995</v>
      </c>
      <c r="F202">
        <v>1000000</v>
      </c>
      <c r="H202">
        <v>0.14799999999999999</v>
      </c>
      <c r="P202">
        <v>1</v>
      </c>
      <c r="AB202" t="s">
        <v>63</v>
      </c>
      <c r="AH202" t="s">
        <v>48</v>
      </c>
      <c r="AI202" t="s">
        <v>49</v>
      </c>
      <c r="AJ202" t="s">
        <v>110</v>
      </c>
      <c r="AQ202" t="s">
        <v>54</v>
      </c>
    </row>
    <row r="203" spans="1:43" x14ac:dyDescent="0.25">
      <c r="A203" t="s">
        <v>677</v>
      </c>
      <c r="B203" t="s">
        <v>680</v>
      </c>
      <c r="C203">
        <v>46</v>
      </c>
      <c r="D203">
        <v>262</v>
      </c>
      <c r="E203">
        <v>0.94799999999999995</v>
      </c>
      <c r="F203">
        <v>1000000</v>
      </c>
      <c r="H203">
        <v>0.14799999999999999</v>
      </c>
      <c r="P203">
        <v>1</v>
      </c>
      <c r="AB203" t="s">
        <v>63</v>
      </c>
      <c r="AH203" t="s">
        <v>48</v>
      </c>
      <c r="AI203" t="s">
        <v>49</v>
      </c>
      <c r="AJ203" t="s">
        <v>110</v>
      </c>
      <c r="AQ203" t="s">
        <v>54</v>
      </c>
    </row>
    <row r="204" spans="1:43" x14ac:dyDescent="0.25">
      <c r="A204" t="s">
        <v>368</v>
      </c>
      <c r="B204" t="s">
        <v>369</v>
      </c>
      <c r="C204">
        <v>461</v>
      </c>
      <c r="D204">
        <v>599</v>
      </c>
      <c r="E204">
        <v>1.09E-15</v>
      </c>
      <c r="F204">
        <v>7.4000000000000001E-8</v>
      </c>
      <c r="G204">
        <v>6.7499999999999997E-6</v>
      </c>
      <c r="H204">
        <v>8.6900000000000005E-2</v>
      </c>
      <c r="I204">
        <v>7.9999999999999996E-6</v>
      </c>
      <c r="J204">
        <v>158000000</v>
      </c>
      <c r="K204">
        <v>97700000</v>
      </c>
      <c r="L204">
        <v>977000</v>
      </c>
      <c r="M204">
        <v>7330000</v>
      </c>
      <c r="N204">
        <v>3910000</v>
      </c>
      <c r="O204">
        <v>0.03</v>
      </c>
      <c r="P204">
        <v>2E-3</v>
      </c>
      <c r="Q204">
        <v>479000</v>
      </c>
      <c r="R204">
        <v>0.49</v>
      </c>
      <c r="S204">
        <v>7.0500000000000001E-4</v>
      </c>
      <c r="T204">
        <v>7.0500000000000001E-4</v>
      </c>
      <c r="U204">
        <v>2360000</v>
      </c>
      <c r="V204">
        <v>2360000</v>
      </c>
      <c r="W204">
        <v>1.4400000000000001E-3</v>
      </c>
      <c r="X204">
        <v>6.8599999999999998E-3</v>
      </c>
      <c r="Y204">
        <v>8.3000000000000001E-3</v>
      </c>
      <c r="Z204">
        <v>9.9000000000000008E-3</v>
      </c>
      <c r="AA204">
        <v>0.05</v>
      </c>
      <c r="AB204">
        <v>1470</v>
      </c>
      <c r="AD204">
        <v>1E-4</v>
      </c>
      <c r="AE204">
        <v>2.3300000000000001E-6</v>
      </c>
      <c r="AF204">
        <v>420</v>
      </c>
      <c r="AG204">
        <v>1.3333299999999999E-4</v>
      </c>
      <c r="AH204">
        <v>0.12</v>
      </c>
      <c r="AI204" t="s">
        <v>49</v>
      </c>
      <c r="AJ204" t="s">
        <v>50</v>
      </c>
      <c r="AK204" t="s">
        <v>262</v>
      </c>
      <c r="AL204">
        <v>7.0500000000000001E-4</v>
      </c>
      <c r="AM204">
        <v>2.8900000000000002E-3</v>
      </c>
      <c r="AN204">
        <v>5.0499999999999998E-3</v>
      </c>
      <c r="AO204">
        <v>2.9999999999999997E-4</v>
      </c>
      <c r="AQ204" t="s">
        <v>54</v>
      </c>
    </row>
    <row r="205" spans="1:43" x14ac:dyDescent="0.25">
      <c r="A205" t="s">
        <v>370</v>
      </c>
      <c r="B205" t="s">
        <v>371</v>
      </c>
      <c r="C205">
        <v>445</v>
      </c>
      <c r="D205">
        <v>532</v>
      </c>
      <c r="E205">
        <v>4.93E-15</v>
      </c>
      <c r="F205">
        <v>1.1599999999999999E-6</v>
      </c>
      <c r="G205">
        <v>1.88E-6</v>
      </c>
      <c r="H205">
        <v>1.95E-2</v>
      </c>
      <c r="I205">
        <v>7.9999999999999996E-6</v>
      </c>
      <c r="J205">
        <v>100000000</v>
      </c>
      <c r="K205">
        <v>61700000</v>
      </c>
      <c r="L205">
        <v>617000</v>
      </c>
      <c r="M205">
        <v>4620000</v>
      </c>
      <c r="N205">
        <v>2470000</v>
      </c>
      <c r="O205">
        <v>0.03</v>
      </c>
      <c r="P205">
        <v>2E-3</v>
      </c>
      <c r="Q205">
        <v>479000</v>
      </c>
      <c r="R205">
        <v>0.77600000000000002</v>
      </c>
      <c r="S205">
        <v>9.2000000000000003E-4</v>
      </c>
      <c r="T205">
        <v>9.2000000000000003E-4</v>
      </c>
      <c r="U205">
        <v>2280000</v>
      </c>
      <c r="V205">
        <v>2280000</v>
      </c>
      <c r="W205">
        <v>1.8500000000000001E-3</v>
      </c>
      <c r="X205">
        <v>8.77E-3</v>
      </c>
      <c r="Y205">
        <v>1.06E-2</v>
      </c>
      <c r="Z205">
        <v>7.92E-3</v>
      </c>
      <c r="AA205">
        <v>0.02</v>
      </c>
      <c r="AB205">
        <v>2750</v>
      </c>
      <c r="AD205">
        <v>1E-4</v>
      </c>
      <c r="AE205">
        <v>2.3300000000000001E-6</v>
      </c>
      <c r="AF205">
        <v>420</v>
      </c>
      <c r="AG205">
        <v>1.3333299999999999E-4</v>
      </c>
      <c r="AH205">
        <v>0.12</v>
      </c>
      <c r="AI205" t="s">
        <v>49</v>
      </c>
      <c r="AJ205" t="s">
        <v>50</v>
      </c>
      <c r="AK205" t="s">
        <v>219</v>
      </c>
      <c r="AL205">
        <v>9.2000000000000003E-4</v>
      </c>
      <c r="AM205">
        <v>3.6900000000000001E-3</v>
      </c>
      <c r="AN205">
        <v>6.4599999999999996E-3</v>
      </c>
      <c r="AO205">
        <v>2.9999999999999997E-4</v>
      </c>
      <c r="AQ205" t="s">
        <v>54</v>
      </c>
    </row>
    <row r="206" spans="1:43" x14ac:dyDescent="0.25">
      <c r="A206" t="s">
        <v>372</v>
      </c>
      <c r="B206" t="s">
        <v>373</v>
      </c>
      <c r="C206">
        <v>356</v>
      </c>
      <c r="D206">
        <v>514</v>
      </c>
      <c r="E206">
        <v>5.7899999999999996E-13</v>
      </c>
      <c r="F206">
        <v>1.18E-4</v>
      </c>
      <c r="G206">
        <v>2.6000000000000001E-6</v>
      </c>
      <c r="H206">
        <v>9.8900000000000002E-2</v>
      </c>
      <c r="I206">
        <v>7.9999999999999996E-6</v>
      </c>
      <c r="J206">
        <v>4370000</v>
      </c>
      <c r="K206">
        <v>2690000</v>
      </c>
      <c r="L206">
        <v>26900</v>
      </c>
      <c r="M206">
        <v>202000</v>
      </c>
      <c r="N206">
        <v>108000</v>
      </c>
      <c r="O206">
        <v>0.03</v>
      </c>
      <c r="P206">
        <v>0.11700000000000001</v>
      </c>
      <c r="Q206">
        <v>30100</v>
      </c>
      <c r="R206">
        <v>1.1200000000000001</v>
      </c>
      <c r="S206">
        <v>5.62E-3</v>
      </c>
      <c r="T206">
        <v>5.62E-3</v>
      </c>
      <c r="U206">
        <v>239000</v>
      </c>
      <c r="V206">
        <v>239000</v>
      </c>
      <c r="W206">
        <v>6.0499999999999998E-3</v>
      </c>
      <c r="X206">
        <v>2.8799999999999999E-2</v>
      </c>
      <c r="Y206">
        <v>3.4799999999999998E-2</v>
      </c>
      <c r="Z206">
        <v>4.7100000000000003E-2</v>
      </c>
      <c r="AA206">
        <v>2.5</v>
      </c>
      <c r="AB206">
        <v>25900</v>
      </c>
      <c r="AD206">
        <v>0.09</v>
      </c>
      <c r="AE206">
        <v>6.9999999999999996E-10</v>
      </c>
      <c r="AF206">
        <v>1400000</v>
      </c>
      <c r="AG206">
        <v>4.0000000000000001E-8</v>
      </c>
      <c r="AH206">
        <v>400</v>
      </c>
      <c r="AI206" t="s">
        <v>49</v>
      </c>
      <c r="AJ206" t="s">
        <v>50</v>
      </c>
      <c r="AK206" t="s">
        <v>262</v>
      </c>
      <c r="AL206">
        <v>5.62E-3</v>
      </c>
      <c r="AM206">
        <v>1.21E-2</v>
      </c>
      <c r="AN206">
        <v>2.12E-2</v>
      </c>
      <c r="AO206">
        <v>1</v>
      </c>
      <c r="AQ206" t="s">
        <v>54</v>
      </c>
    </row>
    <row r="207" spans="1:43" x14ac:dyDescent="0.25">
      <c r="A207" t="s">
        <v>374</v>
      </c>
      <c r="B207" t="s">
        <v>375</v>
      </c>
      <c r="C207">
        <v>340</v>
      </c>
      <c r="D207">
        <v>499</v>
      </c>
      <c r="E207">
        <v>2.23E-12</v>
      </c>
      <c r="F207">
        <v>2.4000000000000001E-4</v>
      </c>
      <c r="G207">
        <v>5.0000000000000004E-6</v>
      </c>
      <c r="H207">
        <v>2.23E-2</v>
      </c>
      <c r="I207">
        <v>7.9999999999999996E-6</v>
      </c>
      <c r="J207">
        <v>6170000</v>
      </c>
      <c r="K207">
        <v>3800000</v>
      </c>
      <c r="L207">
        <v>38000</v>
      </c>
      <c r="M207">
        <v>285000</v>
      </c>
      <c r="N207">
        <v>152000</v>
      </c>
      <c r="O207">
        <v>0.03</v>
      </c>
      <c r="P207">
        <v>0.26800000000000002</v>
      </c>
      <c r="Q207">
        <v>39300</v>
      </c>
      <c r="R207">
        <v>1.03</v>
      </c>
      <c r="S207">
        <v>4.6100000000000004E-3</v>
      </c>
      <c r="T207">
        <v>4.6100000000000004E-3</v>
      </c>
      <c r="U207">
        <v>97500</v>
      </c>
      <c r="V207">
        <v>97500</v>
      </c>
      <c r="W207">
        <v>5.5300000000000002E-3</v>
      </c>
      <c r="X207">
        <v>2.63E-2</v>
      </c>
      <c r="Y207">
        <v>3.1800000000000002E-2</v>
      </c>
      <c r="AB207">
        <v>33800</v>
      </c>
      <c r="AD207">
        <v>0.09</v>
      </c>
      <c r="AE207">
        <v>2.33E-9</v>
      </c>
      <c r="AF207">
        <v>42000</v>
      </c>
      <c r="AG207">
        <v>1.33E-6</v>
      </c>
      <c r="AH207">
        <v>12</v>
      </c>
      <c r="AI207" t="s">
        <v>49</v>
      </c>
      <c r="AJ207" t="s">
        <v>50</v>
      </c>
      <c r="AK207" t="s">
        <v>219</v>
      </c>
      <c r="AL207">
        <v>4.6100000000000004E-3</v>
      </c>
      <c r="AM207">
        <v>1.11E-2</v>
      </c>
      <c r="AN207">
        <v>1.9400000000000001E-2</v>
      </c>
      <c r="AO207">
        <v>0.03</v>
      </c>
      <c r="AQ207" t="s">
        <v>54</v>
      </c>
    </row>
    <row r="208" spans="1:43" x14ac:dyDescent="0.25">
      <c r="A208" t="s">
        <v>376</v>
      </c>
      <c r="B208" t="s">
        <v>377</v>
      </c>
      <c r="C208">
        <v>340</v>
      </c>
      <c r="D208">
        <v>469</v>
      </c>
      <c r="E208">
        <v>3.42E-12</v>
      </c>
      <c r="F208">
        <v>2.3599999999999999E-4</v>
      </c>
      <c r="G208">
        <v>4.9799999999999998E-6</v>
      </c>
      <c r="H208">
        <v>2.23E-2</v>
      </c>
      <c r="I208">
        <v>7.9999999999999996E-6</v>
      </c>
      <c r="J208">
        <v>3160000</v>
      </c>
      <c r="K208">
        <v>1950000</v>
      </c>
      <c r="L208">
        <v>19500</v>
      </c>
      <c r="M208">
        <v>146000</v>
      </c>
      <c r="N208">
        <v>78000</v>
      </c>
      <c r="O208">
        <v>0.03</v>
      </c>
      <c r="P208">
        <v>0.221</v>
      </c>
      <c r="Q208">
        <v>23500</v>
      </c>
      <c r="R208">
        <v>1.21</v>
      </c>
      <c r="S208">
        <v>6.7799999999999996E-3</v>
      </c>
      <c r="T208">
        <v>6.7799999999999996E-3</v>
      </c>
      <c r="U208">
        <v>97500</v>
      </c>
      <c r="V208">
        <v>97500</v>
      </c>
      <c r="W208">
        <v>6.5199999999999998E-3</v>
      </c>
      <c r="X208">
        <v>3.1E-2</v>
      </c>
      <c r="Y208">
        <v>3.7499999999999999E-2</v>
      </c>
      <c r="Z208">
        <v>5.6099999999999997E-2</v>
      </c>
      <c r="AA208">
        <v>3.28</v>
      </c>
      <c r="AB208">
        <v>20200</v>
      </c>
      <c r="AD208">
        <v>0.09</v>
      </c>
      <c r="AE208">
        <v>2.3300000000000002E-10</v>
      </c>
      <c r="AF208">
        <v>420000</v>
      </c>
      <c r="AG208">
        <v>1.3300000000000001E-7</v>
      </c>
      <c r="AH208">
        <v>120</v>
      </c>
      <c r="AI208" t="s">
        <v>49</v>
      </c>
      <c r="AJ208" t="s">
        <v>50</v>
      </c>
      <c r="AK208" t="s">
        <v>219</v>
      </c>
      <c r="AL208">
        <v>6.7799999999999996E-3</v>
      </c>
      <c r="AM208">
        <v>1.2999999999999999E-2</v>
      </c>
      <c r="AN208">
        <v>2.2800000000000001E-2</v>
      </c>
      <c r="AO208">
        <v>0.3</v>
      </c>
      <c r="AQ208" t="s">
        <v>54</v>
      </c>
    </row>
    <row r="209" spans="1:43" x14ac:dyDescent="0.25">
      <c r="A209" t="s">
        <v>703</v>
      </c>
      <c r="B209" t="s">
        <v>378</v>
      </c>
      <c r="C209">
        <v>326</v>
      </c>
      <c r="D209">
        <v>283</v>
      </c>
      <c r="E209">
        <v>1.01E-7</v>
      </c>
      <c r="F209">
        <v>4.2999999999999997E-2</v>
      </c>
      <c r="G209">
        <v>2.8299999999999999E-4</v>
      </c>
      <c r="H209">
        <v>1E-3</v>
      </c>
      <c r="I209">
        <v>1.0000000000000001E-5</v>
      </c>
      <c r="J209">
        <v>3160000</v>
      </c>
      <c r="K209">
        <v>2450000</v>
      </c>
      <c r="L209">
        <v>24500</v>
      </c>
      <c r="M209">
        <v>184000</v>
      </c>
      <c r="N209">
        <v>98100</v>
      </c>
      <c r="O209">
        <v>0.03</v>
      </c>
      <c r="P209">
        <v>0.99199999999999999</v>
      </c>
      <c r="Q209">
        <v>23500</v>
      </c>
      <c r="R209">
        <v>0.95799999999999996</v>
      </c>
      <c r="S209">
        <v>6.7799999999999996E-3</v>
      </c>
      <c r="T209">
        <v>6.7799999999999996E-3</v>
      </c>
      <c r="U209">
        <v>1650</v>
      </c>
      <c r="V209">
        <v>1650</v>
      </c>
      <c r="W209">
        <v>6.5199999999999998E-3</v>
      </c>
      <c r="X209">
        <v>3.1E-2</v>
      </c>
      <c r="Y209">
        <v>3.7499999999999999E-2</v>
      </c>
      <c r="Z209">
        <v>12.8</v>
      </c>
      <c r="AB209">
        <v>84100</v>
      </c>
      <c r="AD209">
        <v>2</v>
      </c>
      <c r="AE209">
        <v>2.0000000000000002E-5</v>
      </c>
      <c r="AF209">
        <v>140000</v>
      </c>
      <c r="AG209">
        <v>3.9999999999999998E-7</v>
      </c>
      <c r="AH209">
        <v>3.8</v>
      </c>
      <c r="AI209" t="s">
        <v>49</v>
      </c>
      <c r="AJ209" t="s">
        <v>50</v>
      </c>
      <c r="AK209" t="s">
        <v>65</v>
      </c>
      <c r="AL209">
        <v>0.01</v>
      </c>
      <c r="AM209">
        <v>1.2999999999999999E-2</v>
      </c>
      <c r="AN209">
        <v>3.2000000000000001E-2</v>
      </c>
      <c r="AQ209" t="s">
        <v>54</v>
      </c>
    </row>
    <row r="210" spans="1:43" x14ac:dyDescent="0.25">
      <c r="A210" t="s">
        <v>379</v>
      </c>
      <c r="B210" t="s">
        <v>380</v>
      </c>
      <c r="C210">
        <v>295.32</v>
      </c>
      <c r="D210">
        <v>417.15</v>
      </c>
      <c r="E210">
        <v>1.49E-7</v>
      </c>
      <c r="F210">
        <v>0.55000000000000004</v>
      </c>
      <c r="G210">
        <v>3.8000000000000002E-4</v>
      </c>
      <c r="H210">
        <v>1E-3</v>
      </c>
      <c r="I210">
        <v>1.0000000000000001E-5</v>
      </c>
      <c r="J210">
        <v>43651.58322</v>
      </c>
      <c r="K210">
        <v>36425.040000000001</v>
      </c>
      <c r="L210">
        <v>364.25</v>
      </c>
      <c r="M210">
        <v>2731.88</v>
      </c>
      <c r="N210">
        <v>1457</v>
      </c>
      <c r="O210">
        <v>0.36</v>
      </c>
      <c r="P210">
        <v>1</v>
      </c>
      <c r="Q210">
        <v>869</v>
      </c>
      <c r="R210">
        <v>2.38</v>
      </c>
      <c r="S210">
        <v>8.0600000000000005E-2</v>
      </c>
      <c r="T210">
        <v>8.0600000000000005E-2</v>
      </c>
      <c r="U210">
        <v>12.9</v>
      </c>
      <c r="V210">
        <v>12.9</v>
      </c>
      <c r="W210">
        <v>7.5063630000000003E-3</v>
      </c>
      <c r="X210">
        <v>3.5655226999999998E-2</v>
      </c>
      <c r="Y210">
        <v>4.316159E-2</v>
      </c>
      <c r="Z210">
        <v>0.34674016099999999</v>
      </c>
      <c r="AB210">
        <v>746</v>
      </c>
      <c r="AC210">
        <v>1622.77856</v>
      </c>
      <c r="AE210">
        <v>3.0000000000000001E-3</v>
      </c>
      <c r="AG210">
        <v>1.0999999999999999E-2</v>
      </c>
      <c r="AH210">
        <v>7.3999999999999996E-5</v>
      </c>
      <c r="AI210" t="s">
        <v>49</v>
      </c>
      <c r="AJ210" t="s">
        <v>50</v>
      </c>
      <c r="AL210">
        <v>8.0600000000000005E-2</v>
      </c>
      <c r="AM210">
        <v>1.5012727E-2</v>
      </c>
      <c r="AN210">
        <v>2.6272271999999999E-2</v>
      </c>
      <c r="AQ210" t="s">
        <v>54</v>
      </c>
    </row>
    <row r="211" spans="1:43" x14ac:dyDescent="0.25">
      <c r="A211" t="s">
        <v>381</v>
      </c>
      <c r="B211" t="s">
        <v>382</v>
      </c>
      <c r="C211">
        <v>266</v>
      </c>
      <c r="D211">
        <v>443</v>
      </c>
      <c r="E211">
        <v>4.21E-8</v>
      </c>
      <c r="F211">
        <v>2000</v>
      </c>
      <c r="G211">
        <v>2.4E-8</v>
      </c>
      <c r="H211">
        <v>5.6000000000000001E-2</v>
      </c>
      <c r="I211">
        <v>6.1E-6</v>
      </c>
      <c r="J211">
        <v>126000</v>
      </c>
      <c r="K211">
        <v>592</v>
      </c>
      <c r="L211">
        <v>1.2</v>
      </c>
      <c r="M211">
        <v>44.4</v>
      </c>
      <c r="N211">
        <v>23.7</v>
      </c>
      <c r="O211">
        <v>1.42</v>
      </c>
      <c r="P211">
        <v>0.999</v>
      </c>
      <c r="Q211">
        <v>1960</v>
      </c>
      <c r="R211">
        <v>1640</v>
      </c>
      <c r="S211">
        <v>4.3700000000000003E-2</v>
      </c>
      <c r="T211">
        <v>4.3700000000000003E-2</v>
      </c>
      <c r="U211">
        <v>629000</v>
      </c>
      <c r="V211">
        <v>629000</v>
      </c>
      <c r="W211">
        <v>1.3900000000000001E-5</v>
      </c>
      <c r="X211">
        <v>6.6199999999999996E-5</v>
      </c>
      <c r="Y211">
        <v>8.0199999999999998E-5</v>
      </c>
      <c r="Z211">
        <v>0.95499999999999996</v>
      </c>
      <c r="AB211">
        <v>671</v>
      </c>
      <c r="AC211">
        <v>2450</v>
      </c>
      <c r="AE211">
        <v>5.0000000000000001E-3</v>
      </c>
      <c r="AF211">
        <v>0.4</v>
      </c>
      <c r="AH211">
        <v>5.1000000000000003E-6</v>
      </c>
      <c r="AI211" t="s">
        <v>49</v>
      </c>
      <c r="AJ211" t="s">
        <v>50</v>
      </c>
      <c r="AK211" t="s">
        <v>67</v>
      </c>
      <c r="AL211">
        <v>4.3700000000000003E-2</v>
      </c>
      <c r="AM211">
        <v>2.7900000000000001E-5</v>
      </c>
      <c r="AN211">
        <v>4.88E-5</v>
      </c>
      <c r="AQ211" t="s">
        <v>54</v>
      </c>
    </row>
    <row r="212" spans="1:43" x14ac:dyDescent="0.25">
      <c r="A212" t="s">
        <v>504</v>
      </c>
      <c r="B212" t="s">
        <v>505</v>
      </c>
      <c r="C212">
        <v>120.02</v>
      </c>
      <c r="D212">
        <v>111.93</v>
      </c>
      <c r="E212">
        <v>9.33</v>
      </c>
      <c r="F212">
        <v>867.3</v>
      </c>
      <c r="G212">
        <v>3.05</v>
      </c>
      <c r="J212">
        <v>35.5</v>
      </c>
      <c r="K212">
        <v>136.19999999999999</v>
      </c>
      <c r="M212">
        <v>10.214999999999998</v>
      </c>
      <c r="N212">
        <v>5.4479999999999995</v>
      </c>
      <c r="P212">
        <v>1</v>
      </c>
      <c r="AB212">
        <v>4.3869999999999996</v>
      </c>
      <c r="AC212">
        <v>4.3869999999999996</v>
      </c>
      <c r="AK212" t="s">
        <v>713</v>
      </c>
    </row>
    <row r="213" spans="1:43" x14ac:dyDescent="0.25">
      <c r="A213" t="s">
        <v>704</v>
      </c>
      <c r="B213" t="s">
        <v>524</v>
      </c>
      <c r="C213">
        <v>588.08000000000004</v>
      </c>
      <c r="D213">
        <v>258.45999999999998</v>
      </c>
      <c r="E213">
        <v>2.3400000000000001E-3</v>
      </c>
      <c r="F213">
        <v>3.6200000000000001E-6</v>
      </c>
      <c r="G213">
        <v>73800000</v>
      </c>
      <c r="J213">
        <v>151000000</v>
      </c>
      <c r="K213">
        <v>144000000</v>
      </c>
      <c r="M213">
        <v>10800000</v>
      </c>
      <c r="N213">
        <v>5760000</v>
      </c>
      <c r="P213">
        <v>1</v>
      </c>
      <c r="AB213">
        <v>2301</v>
      </c>
      <c r="AC213">
        <v>8460000</v>
      </c>
      <c r="AK213" t="s">
        <v>715</v>
      </c>
    </row>
    <row r="214" spans="1:43" x14ac:dyDescent="0.25">
      <c r="A214" t="s">
        <v>623</v>
      </c>
      <c r="B214" t="s">
        <v>384</v>
      </c>
      <c r="C214">
        <v>252.32</v>
      </c>
      <c r="D214">
        <v>443.4</v>
      </c>
      <c r="E214">
        <v>1.76E-12</v>
      </c>
      <c r="F214">
        <v>8.1949999999999992E-3</v>
      </c>
      <c r="G214">
        <v>8.0999999999999997E-7</v>
      </c>
      <c r="H214">
        <v>2.5499999999999998E-2</v>
      </c>
      <c r="I214">
        <v>6.5799999999999997E-6</v>
      </c>
      <c r="J214">
        <v>1290000</v>
      </c>
      <c r="K214">
        <v>599000</v>
      </c>
      <c r="L214">
        <v>160000</v>
      </c>
      <c r="M214">
        <v>44925</v>
      </c>
      <c r="N214">
        <v>23960</v>
      </c>
      <c r="O214">
        <v>0.48</v>
      </c>
      <c r="P214">
        <v>0.65200000000000002</v>
      </c>
      <c r="Q214">
        <v>9680</v>
      </c>
      <c r="R214">
        <v>6.0499999999999998E-2</v>
      </c>
      <c r="S214">
        <v>1.32E-2</v>
      </c>
      <c r="T214">
        <v>1.32E-2</v>
      </c>
      <c r="U214">
        <v>9.1299999999999992E-3</v>
      </c>
      <c r="V214">
        <v>9.1299999999999992E-3</v>
      </c>
      <c r="W214">
        <v>1.4E-2</v>
      </c>
      <c r="X214">
        <v>4.4499999999999998E-2</v>
      </c>
      <c r="Y214">
        <v>4.5499999999999999E-2</v>
      </c>
      <c r="Z214">
        <v>10.7</v>
      </c>
      <c r="AB214">
        <v>267.7</v>
      </c>
      <c r="AC214">
        <v>286.39999999999998</v>
      </c>
      <c r="AH214" t="s">
        <v>48</v>
      </c>
      <c r="AI214" t="s">
        <v>49</v>
      </c>
      <c r="AJ214" t="s">
        <v>50</v>
      </c>
      <c r="AK214" t="s">
        <v>72</v>
      </c>
      <c r="AL214">
        <v>1.32E-2</v>
      </c>
      <c r="AM214">
        <v>1.5800000000000002E-2</v>
      </c>
      <c r="AN214">
        <v>2.7699999999999999E-2</v>
      </c>
      <c r="AQ214" t="s">
        <v>54</v>
      </c>
    </row>
    <row r="215" spans="1:43" x14ac:dyDescent="0.25">
      <c r="A215" t="s">
        <v>386</v>
      </c>
      <c r="B215" t="s">
        <v>387</v>
      </c>
      <c r="C215">
        <v>178</v>
      </c>
      <c r="D215">
        <v>372</v>
      </c>
      <c r="E215">
        <v>1.4499999999999999E-7</v>
      </c>
      <c r="F215">
        <v>1.1000000000000001</v>
      </c>
      <c r="G215">
        <v>2.3E-5</v>
      </c>
      <c r="H215">
        <v>1E-3</v>
      </c>
      <c r="I215">
        <v>1.0000000000000001E-5</v>
      </c>
      <c r="J215">
        <v>31600</v>
      </c>
      <c r="K215">
        <v>26500</v>
      </c>
      <c r="L215">
        <v>3700</v>
      </c>
      <c r="M215">
        <v>1990</v>
      </c>
      <c r="N215">
        <v>1060</v>
      </c>
      <c r="O215">
        <v>1.26</v>
      </c>
      <c r="P215">
        <v>0.999</v>
      </c>
      <c r="Q215">
        <v>678</v>
      </c>
      <c r="R215">
        <v>0.183</v>
      </c>
      <c r="S215">
        <v>9.7000000000000003E-2</v>
      </c>
      <c r="T215">
        <v>9.7100000000000006E-2</v>
      </c>
      <c r="U215">
        <v>151</v>
      </c>
      <c r="V215">
        <v>151</v>
      </c>
      <c r="W215">
        <v>7.1199999999999996E-3</v>
      </c>
      <c r="X215">
        <v>3.3799999999999997E-2</v>
      </c>
      <c r="Y215">
        <v>4.0899999999999999E-2</v>
      </c>
      <c r="Z215">
        <v>0.28199999999999997</v>
      </c>
      <c r="AB215">
        <v>582</v>
      </c>
      <c r="AC215">
        <v>1030</v>
      </c>
      <c r="AH215" t="s">
        <v>48</v>
      </c>
      <c r="AI215" t="s">
        <v>49</v>
      </c>
      <c r="AJ215" t="s">
        <v>50</v>
      </c>
      <c r="AK215" t="s">
        <v>72</v>
      </c>
      <c r="AL215">
        <v>9.7100000000000006E-2</v>
      </c>
      <c r="AM215">
        <v>1.4200000000000001E-2</v>
      </c>
      <c r="AN215">
        <v>2.4899999999999999E-2</v>
      </c>
      <c r="AQ215" t="s">
        <v>54</v>
      </c>
    </row>
    <row r="216" spans="1:43" x14ac:dyDescent="0.25">
      <c r="A216" t="s">
        <v>388</v>
      </c>
      <c r="B216" t="s">
        <v>389</v>
      </c>
      <c r="C216">
        <v>94.1</v>
      </c>
      <c r="D216">
        <v>314</v>
      </c>
      <c r="E216">
        <v>3.68E-4</v>
      </c>
      <c r="F216">
        <v>83000</v>
      </c>
      <c r="G216">
        <v>3.9999999999999998E-7</v>
      </c>
      <c r="H216">
        <v>8.2000000000000003E-2</v>
      </c>
      <c r="I216">
        <v>9.0999999999999993E-6</v>
      </c>
      <c r="J216">
        <v>31.6</v>
      </c>
      <c r="K216">
        <v>29.8</v>
      </c>
      <c r="L216">
        <v>4.4000000000000004</v>
      </c>
      <c r="M216">
        <v>2.2400000000000002</v>
      </c>
      <c r="N216">
        <v>1.2</v>
      </c>
      <c r="O216">
        <v>25.3</v>
      </c>
      <c r="P216">
        <v>1</v>
      </c>
      <c r="Q216">
        <v>9.6300000000000008</v>
      </c>
      <c r="R216">
        <v>2.19</v>
      </c>
      <c r="S216">
        <v>5.26</v>
      </c>
      <c r="T216">
        <v>5.26</v>
      </c>
      <c r="U216">
        <v>5.53</v>
      </c>
      <c r="V216">
        <v>5.53</v>
      </c>
      <c r="W216">
        <v>2.6499999999999999E-4</v>
      </c>
      <c r="X216">
        <v>1.2600000000000001E-3</v>
      </c>
      <c r="Y216">
        <v>1.5299999999999999E-3</v>
      </c>
      <c r="Z216">
        <v>2.3800000000000001E-4</v>
      </c>
      <c r="AB216">
        <v>2.85</v>
      </c>
      <c r="AE216">
        <v>0.3</v>
      </c>
      <c r="AG216">
        <v>0.2</v>
      </c>
      <c r="AH216" t="s">
        <v>48</v>
      </c>
      <c r="AI216" t="s">
        <v>49</v>
      </c>
      <c r="AJ216" t="s">
        <v>50</v>
      </c>
      <c r="AK216" t="s">
        <v>67</v>
      </c>
      <c r="AL216">
        <v>5.26</v>
      </c>
      <c r="AM216">
        <v>5.2999999999999998E-4</v>
      </c>
      <c r="AN216">
        <v>9.2800000000000001E-4</v>
      </c>
      <c r="AQ216" t="s">
        <v>54</v>
      </c>
    </row>
    <row r="217" spans="1:43" x14ac:dyDescent="0.25">
      <c r="A217" t="s">
        <v>624</v>
      </c>
      <c r="B217" t="s">
        <v>385</v>
      </c>
      <c r="C217">
        <v>138.16999999999999</v>
      </c>
      <c r="D217">
        <v>296.47000000000003</v>
      </c>
      <c r="E217">
        <v>5.9000000000000003E-6</v>
      </c>
      <c r="F217">
        <v>28000</v>
      </c>
      <c r="G217">
        <v>1.5500000000000001E-5</v>
      </c>
      <c r="J217">
        <v>12.6</v>
      </c>
      <c r="K217">
        <v>14.92</v>
      </c>
      <c r="M217">
        <v>1.119</v>
      </c>
      <c r="N217">
        <v>0.5968</v>
      </c>
      <c r="P217">
        <v>0.99981299999999995</v>
      </c>
      <c r="AB217">
        <v>1.8640000000000001</v>
      </c>
      <c r="AC217">
        <v>1.8640000000000001</v>
      </c>
      <c r="AH217" t="s">
        <v>48</v>
      </c>
      <c r="AI217" t="s">
        <v>49</v>
      </c>
      <c r="AQ217" t="s">
        <v>54</v>
      </c>
    </row>
    <row r="218" spans="1:43" x14ac:dyDescent="0.25">
      <c r="A218" t="s">
        <v>528</v>
      </c>
      <c r="B218" t="s">
        <v>529</v>
      </c>
      <c r="C218">
        <v>108.14</v>
      </c>
      <c r="D218">
        <v>236.83</v>
      </c>
      <c r="E218">
        <v>8.5799999999999998E-7</v>
      </c>
      <c r="F218">
        <v>199000</v>
      </c>
      <c r="G218">
        <v>6.7299999999999995E-10</v>
      </c>
      <c r="H218">
        <v>8.3699999999999997E-2</v>
      </c>
      <c r="I218">
        <v>9.7799999999999995E-6</v>
      </c>
      <c r="J218">
        <v>0.40699999999999997</v>
      </c>
      <c r="K218">
        <v>33.83</v>
      </c>
      <c r="M218">
        <v>2.5372499999999998</v>
      </c>
      <c r="N218">
        <v>1.3532</v>
      </c>
      <c r="P218">
        <v>0.99990000000000001</v>
      </c>
      <c r="U218">
        <v>57.5</v>
      </c>
      <c r="V218">
        <v>57.5</v>
      </c>
      <c r="W218">
        <v>3.9600000000000004E-9</v>
      </c>
      <c r="X218">
        <v>1.2499999999999999E-8</v>
      </c>
      <c r="AB218">
        <v>0.91239999999999999</v>
      </c>
      <c r="AC218">
        <v>0.91239999999999999</v>
      </c>
    </row>
    <row r="219" spans="1:43" x14ac:dyDescent="0.25">
      <c r="A219" t="s">
        <v>625</v>
      </c>
      <c r="B219" t="s">
        <v>390</v>
      </c>
      <c r="C219">
        <v>34</v>
      </c>
      <c r="D219">
        <v>140</v>
      </c>
      <c r="E219">
        <v>41</v>
      </c>
      <c r="F219">
        <v>312</v>
      </c>
      <c r="H219">
        <v>0.18099999999999999</v>
      </c>
      <c r="J219">
        <v>490000</v>
      </c>
      <c r="M219" t="e">
        <v>#VALUE!</v>
      </c>
      <c r="N219" t="e">
        <v>#VALUE!</v>
      </c>
      <c r="O219">
        <v>36.1</v>
      </c>
      <c r="P219">
        <v>0</v>
      </c>
      <c r="AB219" t="s">
        <v>63</v>
      </c>
      <c r="AE219">
        <v>2.9999999999999997E-4</v>
      </c>
      <c r="AG219">
        <v>2.9999999999999997E-4</v>
      </c>
      <c r="AH219" t="s">
        <v>48</v>
      </c>
      <c r="AI219" t="s">
        <v>49</v>
      </c>
      <c r="AJ219" t="s">
        <v>110</v>
      </c>
      <c r="AQ219" t="s">
        <v>54</v>
      </c>
    </row>
    <row r="220" spans="1:43" x14ac:dyDescent="0.25">
      <c r="A220" t="s">
        <v>626</v>
      </c>
      <c r="B220" t="s">
        <v>391</v>
      </c>
      <c r="C220">
        <v>124</v>
      </c>
      <c r="D220">
        <v>317</v>
      </c>
      <c r="E220">
        <v>3.4199999999999998E-5</v>
      </c>
      <c r="F220">
        <v>3</v>
      </c>
      <c r="J220">
        <v>1200</v>
      </c>
      <c r="M220" t="e">
        <v>#VALUE!</v>
      </c>
      <c r="N220" t="e">
        <v>#VALUE!</v>
      </c>
      <c r="O220">
        <v>10.1</v>
      </c>
      <c r="P220">
        <v>0</v>
      </c>
      <c r="AB220" t="s">
        <v>63</v>
      </c>
      <c r="AE220">
        <v>2.0000000000000002E-5</v>
      </c>
      <c r="AH220" t="s">
        <v>48</v>
      </c>
      <c r="AI220" t="s">
        <v>49</v>
      </c>
      <c r="AJ220" t="s">
        <v>110</v>
      </c>
      <c r="AK220" t="s">
        <v>111</v>
      </c>
      <c r="AQ220" t="s">
        <v>54</v>
      </c>
    </row>
    <row r="221" spans="1:43" x14ac:dyDescent="0.25">
      <c r="A221" t="s">
        <v>392</v>
      </c>
      <c r="B221" t="s">
        <v>393</v>
      </c>
      <c r="C221">
        <v>148.12</v>
      </c>
      <c r="D221">
        <v>403.95</v>
      </c>
      <c r="E221">
        <v>6.7999999999999995E-7</v>
      </c>
      <c r="F221">
        <v>6200</v>
      </c>
      <c r="G221">
        <v>1.63E-8</v>
      </c>
      <c r="H221">
        <v>7.0999999999999994E-2</v>
      </c>
      <c r="I221">
        <v>8.6000000000000007E-6</v>
      </c>
      <c r="J221">
        <v>0.239883292</v>
      </c>
      <c r="K221">
        <v>0.25</v>
      </c>
      <c r="L221">
        <v>2E-3</v>
      </c>
      <c r="M221">
        <v>0.02</v>
      </c>
      <c r="N221">
        <v>0.01</v>
      </c>
      <c r="O221">
        <v>13490.4</v>
      </c>
      <c r="P221">
        <v>1</v>
      </c>
      <c r="Q221">
        <v>6.39</v>
      </c>
      <c r="R221">
        <v>2599</v>
      </c>
      <c r="S221">
        <v>8.3800000000000008</v>
      </c>
      <c r="T221">
        <v>8.3800000000000008</v>
      </c>
      <c r="U221">
        <v>0.75</v>
      </c>
      <c r="V221">
        <v>0.75</v>
      </c>
      <c r="W221">
        <v>2.1900000000000002E-6</v>
      </c>
      <c r="X221">
        <v>1.04E-5</v>
      </c>
      <c r="Y221">
        <v>1.26E-5</v>
      </c>
      <c r="Z221">
        <v>1.99E-6</v>
      </c>
      <c r="AB221">
        <v>3.16</v>
      </c>
      <c r="AE221">
        <v>2</v>
      </c>
      <c r="AG221">
        <v>0.02</v>
      </c>
      <c r="AH221" t="s">
        <v>48</v>
      </c>
      <c r="AI221" t="s">
        <v>49</v>
      </c>
      <c r="AJ221" t="s">
        <v>50</v>
      </c>
      <c r="AL221">
        <v>8.3800000000000008</v>
      </c>
      <c r="AM221">
        <v>4.3800000000000004E-6</v>
      </c>
      <c r="AN221">
        <v>7.6699999999999994E-6</v>
      </c>
      <c r="AQ221" t="s">
        <v>54</v>
      </c>
    </row>
    <row r="222" spans="1:43" x14ac:dyDescent="0.25">
      <c r="A222" t="s">
        <v>394</v>
      </c>
      <c r="B222" t="s">
        <v>395</v>
      </c>
      <c r="D222">
        <v>273</v>
      </c>
      <c r="P222">
        <v>0</v>
      </c>
      <c r="AB222" t="s">
        <v>63</v>
      </c>
      <c r="AH222" t="s">
        <v>48</v>
      </c>
      <c r="AI222" t="s">
        <v>49</v>
      </c>
      <c r="AQ222" t="s">
        <v>54</v>
      </c>
    </row>
    <row r="223" spans="1:43" x14ac:dyDescent="0.25">
      <c r="A223" t="s">
        <v>767</v>
      </c>
      <c r="B223" t="s">
        <v>766</v>
      </c>
    </row>
    <row r="224" spans="1:43" x14ac:dyDescent="0.25">
      <c r="A224" t="s">
        <v>396</v>
      </c>
      <c r="B224" t="s">
        <v>397</v>
      </c>
      <c r="D224">
        <v>273</v>
      </c>
      <c r="P224">
        <v>0</v>
      </c>
      <c r="AB224" t="s">
        <v>63</v>
      </c>
      <c r="AH224" t="s">
        <v>48</v>
      </c>
      <c r="AI224" t="s">
        <v>49</v>
      </c>
      <c r="AQ224" t="s">
        <v>54</v>
      </c>
    </row>
    <row r="225" spans="1:43" x14ac:dyDescent="0.25">
      <c r="A225" t="s">
        <v>673</v>
      </c>
      <c r="B225" t="s">
        <v>672</v>
      </c>
      <c r="D225">
        <v>273</v>
      </c>
      <c r="P225">
        <v>0</v>
      </c>
      <c r="AB225" t="s">
        <v>63</v>
      </c>
      <c r="AH225" t="s">
        <v>48</v>
      </c>
      <c r="AI225" t="s">
        <v>49</v>
      </c>
      <c r="AQ225" t="s">
        <v>54</v>
      </c>
    </row>
    <row r="226" spans="1:43" x14ac:dyDescent="0.25">
      <c r="A226" t="s">
        <v>627</v>
      </c>
      <c r="B226" t="s">
        <v>398</v>
      </c>
      <c r="D226">
        <v>273</v>
      </c>
      <c r="P226">
        <v>0</v>
      </c>
      <c r="AB226" t="s">
        <v>63</v>
      </c>
      <c r="AG226">
        <v>5.0000000000000001E-3</v>
      </c>
      <c r="AH226">
        <v>2.9999999999999997E-4</v>
      </c>
      <c r="AI226" t="s">
        <v>49</v>
      </c>
      <c r="AJ226" t="s">
        <v>50</v>
      </c>
      <c r="AQ226" t="s">
        <v>54</v>
      </c>
    </row>
    <row r="227" spans="1:43" x14ac:dyDescent="0.25">
      <c r="A227" t="s">
        <v>763</v>
      </c>
      <c r="B227" t="s">
        <v>762</v>
      </c>
    </row>
    <row r="228" spans="1:43" x14ac:dyDescent="0.25">
      <c r="A228" t="s">
        <v>399</v>
      </c>
      <c r="B228" t="s">
        <v>400</v>
      </c>
      <c r="D228">
        <v>273</v>
      </c>
      <c r="P228">
        <v>0</v>
      </c>
      <c r="AB228" t="s">
        <v>63</v>
      </c>
      <c r="AH228" t="s">
        <v>48</v>
      </c>
      <c r="AI228" t="s">
        <v>49</v>
      </c>
      <c r="AQ228" t="s">
        <v>54</v>
      </c>
    </row>
    <row r="229" spans="1:43" x14ac:dyDescent="0.25">
      <c r="A229" t="s">
        <v>674</v>
      </c>
      <c r="B229" t="s">
        <v>671</v>
      </c>
      <c r="D229">
        <v>273</v>
      </c>
      <c r="P229">
        <v>0</v>
      </c>
      <c r="AB229" t="s">
        <v>63</v>
      </c>
      <c r="AH229" t="s">
        <v>48</v>
      </c>
      <c r="AI229" t="s">
        <v>49</v>
      </c>
      <c r="AQ229" t="s">
        <v>54</v>
      </c>
    </row>
    <row r="230" spans="1:43" x14ac:dyDescent="0.25">
      <c r="A230" t="s">
        <v>401</v>
      </c>
      <c r="B230" t="s">
        <v>402</v>
      </c>
      <c r="D230">
        <v>273.14999999999998</v>
      </c>
      <c r="P230">
        <v>0</v>
      </c>
      <c r="AB230" t="s">
        <v>63</v>
      </c>
      <c r="AH230" t="s">
        <v>48</v>
      </c>
      <c r="AI230" t="s">
        <v>49</v>
      </c>
      <c r="AQ230" t="s">
        <v>54</v>
      </c>
    </row>
    <row r="231" spans="1:43" x14ac:dyDescent="0.25">
      <c r="A231" t="s">
        <v>705</v>
      </c>
      <c r="B231" t="s">
        <v>403</v>
      </c>
      <c r="C231">
        <v>326</v>
      </c>
      <c r="D231">
        <v>283</v>
      </c>
      <c r="E231">
        <v>1.01E-7</v>
      </c>
      <c r="F231">
        <v>4.2999999999999997E-2</v>
      </c>
      <c r="G231">
        <v>2.8299999999999999E-4</v>
      </c>
      <c r="H231">
        <v>1E-3</v>
      </c>
      <c r="I231">
        <v>1.0000000000000001E-5</v>
      </c>
      <c r="J231">
        <v>3160000</v>
      </c>
      <c r="K231">
        <v>2450000</v>
      </c>
      <c r="L231">
        <v>24500</v>
      </c>
      <c r="M231">
        <v>184000</v>
      </c>
      <c r="N231">
        <v>98100</v>
      </c>
      <c r="O231">
        <v>0.03</v>
      </c>
      <c r="P231">
        <v>0.99199999999999999</v>
      </c>
      <c r="Q231">
        <v>23500</v>
      </c>
      <c r="R231">
        <v>0.95799999999999996</v>
      </c>
      <c r="S231">
        <v>6.7799999999999996E-3</v>
      </c>
      <c r="T231">
        <v>6.7799999999999996E-3</v>
      </c>
      <c r="U231">
        <v>1650</v>
      </c>
      <c r="V231">
        <v>1650</v>
      </c>
      <c r="W231">
        <v>6.5199999999999998E-3</v>
      </c>
      <c r="X231">
        <v>3.1E-2</v>
      </c>
      <c r="Y231">
        <v>3.7499999999999999E-2</v>
      </c>
      <c r="Z231">
        <v>12.8</v>
      </c>
      <c r="AB231">
        <v>84100</v>
      </c>
      <c r="AD231">
        <v>2</v>
      </c>
      <c r="AE231">
        <v>5.0000000000000002E-5</v>
      </c>
      <c r="AF231">
        <v>2</v>
      </c>
      <c r="AG231">
        <v>3.9999999999999998E-7</v>
      </c>
      <c r="AH231">
        <v>1E-4</v>
      </c>
      <c r="AI231" t="s">
        <v>49</v>
      </c>
      <c r="AJ231" t="s">
        <v>50</v>
      </c>
      <c r="AK231" t="s">
        <v>65</v>
      </c>
      <c r="AL231">
        <v>0.01</v>
      </c>
      <c r="AM231">
        <v>1.2999999999999999E-2</v>
      </c>
      <c r="AN231">
        <v>3.2000000000000001E-2</v>
      </c>
      <c r="AQ231" t="s">
        <v>54</v>
      </c>
    </row>
    <row r="232" spans="1:43" x14ac:dyDescent="0.25">
      <c r="A232" t="s">
        <v>532</v>
      </c>
      <c r="B232" t="s">
        <v>537</v>
      </c>
      <c r="C232">
        <v>122.14</v>
      </c>
      <c r="D232">
        <v>299.5</v>
      </c>
      <c r="E232">
        <v>3.1300000000000002E-4</v>
      </c>
      <c r="F232">
        <v>170700</v>
      </c>
      <c r="G232">
        <v>2.3599999999999999E-6</v>
      </c>
      <c r="H232">
        <v>7.3099999999999998E-2</v>
      </c>
      <c r="I232">
        <v>1.04E-5</v>
      </c>
      <c r="J232">
        <v>0.52500000000000002</v>
      </c>
      <c r="K232">
        <v>9.4109999999999996</v>
      </c>
      <c r="M232">
        <v>0.70582499999999992</v>
      </c>
      <c r="N232">
        <v>0.37644</v>
      </c>
      <c r="P232">
        <v>1</v>
      </c>
      <c r="U232">
        <v>56</v>
      </c>
      <c r="V232">
        <v>56</v>
      </c>
      <c r="W232">
        <v>4.1499999999999999E-9</v>
      </c>
      <c r="X232">
        <v>1.31E-8</v>
      </c>
      <c r="AB232">
        <v>0.91959999999999997</v>
      </c>
      <c r="AC232">
        <v>0.91959999999999997</v>
      </c>
      <c r="AF232">
        <v>2.4</v>
      </c>
      <c r="AH232">
        <v>6.8999999999999997E-4</v>
      </c>
      <c r="AJ232" t="s">
        <v>50</v>
      </c>
    </row>
    <row r="233" spans="1:43" x14ac:dyDescent="0.25">
      <c r="A233" t="s">
        <v>533</v>
      </c>
      <c r="B233" t="s">
        <v>538</v>
      </c>
      <c r="C233">
        <v>146.18</v>
      </c>
      <c r="E233">
        <v>9.1699999999999995E-4</v>
      </c>
      <c r="K233">
        <v>104.82</v>
      </c>
      <c r="M233">
        <v>7.8614999999999995</v>
      </c>
      <c r="N233">
        <v>4.1928000000000001</v>
      </c>
      <c r="P233">
        <v>1</v>
      </c>
    </row>
    <row r="234" spans="1:43" x14ac:dyDescent="0.25">
      <c r="A234" t="s">
        <v>628</v>
      </c>
      <c r="B234" t="s">
        <v>410</v>
      </c>
      <c r="C234">
        <v>104.15</v>
      </c>
      <c r="D234">
        <v>241.86</v>
      </c>
      <c r="E234">
        <v>1.7949999999999999E-3</v>
      </c>
      <c r="F234">
        <v>317000</v>
      </c>
      <c r="G234">
        <v>7.3799999999999999E-8</v>
      </c>
      <c r="J234">
        <v>1.2</v>
      </c>
      <c r="K234">
        <v>1.5489999999999999</v>
      </c>
      <c r="M234">
        <v>0.11617499999999999</v>
      </c>
      <c r="N234">
        <v>6.1960000000000001E-2</v>
      </c>
      <c r="P234">
        <v>1</v>
      </c>
      <c r="AB234">
        <v>0.96199999999999997</v>
      </c>
      <c r="AC234">
        <v>0.96199999999999997</v>
      </c>
      <c r="AH234" t="s">
        <v>48</v>
      </c>
      <c r="AI234" t="s">
        <v>49</v>
      </c>
      <c r="AJ234" t="s">
        <v>50</v>
      </c>
      <c r="AQ234" t="s">
        <v>54</v>
      </c>
    </row>
    <row r="235" spans="1:43" x14ac:dyDescent="0.25">
      <c r="A235" t="s">
        <v>743</v>
      </c>
      <c r="B235" t="s">
        <v>744</v>
      </c>
      <c r="C235">
        <v>42.08</v>
      </c>
      <c r="D235">
        <v>138.62</v>
      </c>
      <c r="E235">
        <v>9.17</v>
      </c>
      <c r="F235">
        <v>1162</v>
      </c>
      <c r="G235">
        <v>1.5299999999999999E-5</v>
      </c>
      <c r="H235">
        <v>0.11</v>
      </c>
      <c r="I235">
        <v>1.0699999999999999E-5</v>
      </c>
      <c r="J235">
        <v>47.9</v>
      </c>
      <c r="K235">
        <v>21.73</v>
      </c>
      <c r="P235">
        <v>1</v>
      </c>
      <c r="U235">
        <v>3.62</v>
      </c>
      <c r="V235">
        <v>3.62</v>
      </c>
      <c r="W235">
        <v>4.6499999999999999E-7</v>
      </c>
      <c r="X235">
        <v>1.4699999999999999E-6</v>
      </c>
      <c r="AB235">
        <v>6.3979999999999997</v>
      </c>
      <c r="AC235">
        <v>6.3979999999999997</v>
      </c>
      <c r="AG235">
        <v>3</v>
      </c>
    </row>
    <row r="236" spans="1:43" x14ac:dyDescent="0.25">
      <c r="A236" t="s">
        <v>534</v>
      </c>
      <c r="B236" t="s">
        <v>411</v>
      </c>
      <c r="C236">
        <v>58.1</v>
      </c>
      <c r="D236">
        <v>161</v>
      </c>
      <c r="E236">
        <v>0.70799999999999996</v>
      </c>
      <c r="F236">
        <v>590000</v>
      </c>
      <c r="G236">
        <v>6.97E-5</v>
      </c>
      <c r="H236">
        <v>0.127</v>
      </c>
      <c r="I236">
        <v>1.47E-5</v>
      </c>
      <c r="J236">
        <v>1.07</v>
      </c>
      <c r="K236">
        <v>1.07</v>
      </c>
      <c r="L236">
        <v>1.0699999999999999E-2</v>
      </c>
      <c r="M236">
        <v>8.0299999999999996E-2</v>
      </c>
      <c r="N236">
        <v>4.2799999999999998E-2</v>
      </c>
      <c r="O236">
        <v>8.43</v>
      </c>
      <c r="P236">
        <v>1</v>
      </c>
      <c r="Q236">
        <v>6.55</v>
      </c>
      <c r="R236">
        <v>612</v>
      </c>
      <c r="S236">
        <v>37.200000000000003</v>
      </c>
      <c r="T236">
        <v>37.200000000000003</v>
      </c>
      <c r="U236">
        <v>8.6300000000000005E-4</v>
      </c>
      <c r="V236">
        <v>8.6300000000000005E-4</v>
      </c>
      <c r="W236">
        <v>1.19E-5</v>
      </c>
      <c r="X236">
        <v>5.63E-5</v>
      </c>
      <c r="Y236">
        <v>6.8200000000000004E-5</v>
      </c>
      <c r="AB236">
        <v>3.16</v>
      </c>
      <c r="AF236">
        <v>0.24</v>
      </c>
      <c r="AG236">
        <v>0.03</v>
      </c>
      <c r="AH236">
        <v>3.7000000000000002E-6</v>
      </c>
      <c r="AI236" t="s">
        <v>49</v>
      </c>
      <c r="AJ236" t="s">
        <v>50</v>
      </c>
      <c r="AL236">
        <v>37.200000000000003</v>
      </c>
      <c r="AM236">
        <v>2.37E-5</v>
      </c>
      <c r="AN236">
        <v>4.1499999999999999E-5</v>
      </c>
      <c r="AQ236" t="s">
        <v>54</v>
      </c>
    </row>
    <row r="237" spans="1:43" x14ac:dyDescent="0.25">
      <c r="A237" t="s">
        <v>530</v>
      </c>
      <c r="B237" t="s">
        <v>531</v>
      </c>
      <c r="C237">
        <v>57.1</v>
      </c>
      <c r="D237">
        <v>223.15</v>
      </c>
      <c r="E237">
        <v>0.19500000000000001</v>
      </c>
      <c r="F237">
        <v>1000000</v>
      </c>
      <c r="G237">
        <v>9.7399999999999999E-6</v>
      </c>
      <c r="H237">
        <v>0.108</v>
      </c>
      <c r="I237">
        <v>1.1800000000000001E-5</v>
      </c>
      <c r="J237">
        <v>1.35</v>
      </c>
      <c r="K237">
        <v>14.51</v>
      </c>
      <c r="M237">
        <v>1.0882499999999999</v>
      </c>
      <c r="N237">
        <v>0.58040000000000003</v>
      </c>
      <c r="P237">
        <v>1</v>
      </c>
      <c r="U237">
        <v>32.4</v>
      </c>
      <c r="V237">
        <v>32.4</v>
      </c>
      <c r="W237">
        <v>1.07E-8</v>
      </c>
      <c r="X237">
        <v>3.3699999999999997E-8</v>
      </c>
      <c r="AB237">
        <v>1.0149999999999999</v>
      </c>
      <c r="AC237">
        <v>1.0149999999999999</v>
      </c>
    </row>
    <row r="238" spans="1:43" x14ac:dyDescent="0.25">
      <c r="A238" t="s">
        <v>412</v>
      </c>
      <c r="B238" t="s">
        <v>413</v>
      </c>
      <c r="C238">
        <v>202</v>
      </c>
      <c r="D238">
        <v>423</v>
      </c>
      <c r="E238">
        <v>6.0500000000000004E-9</v>
      </c>
      <c r="F238">
        <v>1.4</v>
      </c>
      <c r="G238">
        <v>1.1E-5</v>
      </c>
      <c r="H238">
        <v>1E-3</v>
      </c>
      <c r="I238">
        <v>1.0000000000000001E-5</v>
      </c>
      <c r="J238">
        <v>79400</v>
      </c>
      <c r="K238">
        <v>68000</v>
      </c>
      <c r="L238">
        <v>9500</v>
      </c>
      <c r="M238">
        <v>5100</v>
      </c>
      <c r="N238">
        <v>2720</v>
      </c>
      <c r="O238">
        <v>0.13</v>
      </c>
      <c r="P238">
        <v>0.99399999999999999</v>
      </c>
      <c r="Q238">
        <v>1380</v>
      </c>
      <c r="R238">
        <v>0.14499999999999999</v>
      </c>
      <c r="S238">
        <v>5.7000000000000002E-2</v>
      </c>
      <c r="T238">
        <v>5.7000000000000002E-2</v>
      </c>
      <c r="U238">
        <v>840</v>
      </c>
      <c r="V238">
        <v>840</v>
      </c>
      <c r="W238">
        <v>8.09E-3</v>
      </c>
      <c r="X238">
        <v>3.8399999999999997E-2</v>
      </c>
      <c r="Y238">
        <v>4.65E-2</v>
      </c>
      <c r="Z238">
        <v>0.79800000000000004</v>
      </c>
      <c r="AB238">
        <v>1180</v>
      </c>
      <c r="AC238">
        <v>3290</v>
      </c>
      <c r="AE238">
        <v>0.03</v>
      </c>
      <c r="AH238" t="s">
        <v>48</v>
      </c>
      <c r="AI238" t="s">
        <v>49</v>
      </c>
      <c r="AJ238" t="s">
        <v>50</v>
      </c>
      <c r="AK238" t="s">
        <v>72</v>
      </c>
      <c r="AL238">
        <v>5.7000000000000002E-2</v>
      </c>
      <c r="AM238">
        <v>1.6199999999999999E-2</v>
      </c>
      <c r="AN238">
        <v>2.8299999999999999E-2</v>
      </c>
      <c r="AQ238" t="s">
        <v>54</v>
      </c>
    </row>
    <row r="239" spans="1:43" x14ac:dyDescent="0.25">
      <c r="A239" t="s">
        <v>629</v>
      </c>
      <c r="B239" t="s">
        <v>414</v>
      </c>
      <c r="C239">
        <v>108.1</v>
      </c>
      <c r="D239">
        <v>297.74</v>
      </c>
      <c r="E239">
        <v>3.3500000000000001E-5</v>
      </c>
      <c r="F239">
        <v>74500</v>
      </c>
      <c r="G239">
        <v>1.2199999999999999E-9</v>
      </c>
      <c r="J239">
        <v>1.78</v>
      </c>
      <c r="K239">
        <v>41.19</v>
      </c>
      <c r="M239">
        <v>3.0892499999999998</v>
      </c>
      <c r="N239">
        <v>1.6476</v>
      </c>
      <c r="P239">
        <v>1</v>
      </c>
      <c r="AB239">
        <v>0.96950000000000003</v>
      </c>
      <c r="AC239">
        <v>0.96950000000000003</v>
      </c>
      <c r="AH239" t="s">
        <v>48</v>
      </c>
      <c r="AI239" t="s">
        <v>49</v>
      </c>
      <c r="AJ239" t="s">
        <v>50</v>
      </c>
      <c r="AQ239" t="s">
        <v>54</v>
      </c>
    </row>
    <row r="240" spans="1:43" x14ac:dyDescent="0.25">
      <c r="A240" t="s">
        <v>415</v>
      </c>
      <c r="B240" t="s">
        <v>416</v>
      </c>
      <c r="C240">
        <v>79</v>
      </c>
      <c r="D240">
        <v>493</v>
      </c>
      <c r="E240">
        <v>0</v>
      </c>
      <c r="F240">
        <v>2060</v>
      </c>
      <c r="G240">
        <v>9.7000000000000003E-3</v>
      </c>
      <c r="H240">
        <v>7.7200000000000005E-2</v>
      </c>
      <c r="I240">
        <v>9.5699999999999999E-6</v>
      </c>
      <c r="J240">
        <v>1.74</v>
      </c>
      <c r="L240">
        <v>5</v>
      </c>
      <c r="M240">
        <v>5</v>
      </c>
      <c r="N240">
        <v>5</v>
      </c>
      <c r="P240">
        <v>0</v>
      </c>
      <c r="R240">
        <v>2.1999999999999999E-2</v>
      </c>
      <c r="S240">
        <v>1.95E-2</v>
      </c>
      <c r="T240">
        <v>1.6E-2</v>
      </c>
      <c r="W240">
        <v>5.8599999999999998E-3</v>
      </c>
      <c r="X240">
        <v>2.2699999999999999E-3</v>
      </c>
      <c r="Y240">
        <v>0.188</v>
      </c>
      <c r="Z240">
        <v>1.1299999999999999</v>
      </c>
      <c r="AB240">
        <v>129</v>
      </c>
      <c r="AE240">
        <v>5.0000000000000001E-3</v>
      </c>
      <c r="AG240">
        <v>0.02</v>
      </c>
      <c r="AH240" t="s">
        <v>48</v>
      </c>
      <c r="AI240" t="s">
        <v>49</v>
      </c>
      <c r="AJ240" t="s">
        <v>110</v>
      </c>
      <c r="AK240" t="s">
        <v>111</v>
      </c>
      <c r="AL240">
        <v>2E-3</v>
      </c>
      <c r="AM240">
        <v>1.1299999999999999</v>
      </c>
      <c r="AN240">
        <v>1.1299999999999999</v>
      </c>
      <c r="AQ240" t="s">
        <v>54</v>
      </c>
    </row>
    <row r="241" spans="1:43" x14ac:dyDescent="0.25">
      <c r="A241" t="s">
        <v>417</v>
      </c>
      <c r="B241" t="s">
        <v>418</v>
      </c>
      <c r="C241">
        <v>104</v>
      </c>
      <c r="D241">
        <v>242</v>
      </c>
      <c r="E241">
        <v>8.0300000000000007E-3</v>
      </c>
      <c r="F241">
        <v>310</v>
      </c>
      <c r="G241">
        <v>2.7000000000000001E-3</v>
      </c>
      <c r="H241">
        <v>7.0999999999999994E-2</v>
      </c>
      <c r="I241">
        <v>7.9999999999999996E-6</v>
      </c>
      <c r="J241">
        <v>1000</v>
      </c>
      <c r="K241">
        <v>912</v>
      </c>
      <c r="L241">
        <v>120</v>
      </c>
      <c r="M241">
        <v>68.400000000000006</v>
      </c>
      <c r="N241">
        <v>36.5</v>
      </c>
      <c r="O241">
        <v>9.0299999999999994</v>
      </c>
      <c r="P241">
        <v>1</v>
      </c>
      <c r="Q241">
        <v>47.4</v>
      </c>
      <c r="R241">
        <v>0.39500000000000002</v>
      </c>
      <c r="S241">
        <v>0.71399999999999997</v>
      </c>
      <c r="T241">
        <v>0.71399999999999997</v>
      </c>
      <c r="U241">
        <v>3.2399999999999998E-2</v>
      </c>
      <c r="V241">
        <v>3.2399999999999998E-2</v>
      </c>
      <c r="W241">
        <v>2.3E-3</v>
      </c>
      <c r="X241">
        <v>1.09E-2</v>
      </c>
      <c r="Y241">
        <v>1.32E-2</v>
      </c>
      <c r="Z241">
        <v>6.7400000000000003E-3</v>
      </c>
      <c r="AB241">
        <v>40.700000000000003</v>
      </c>
      <c r="AE241">
        <v>0.2</v>
      </c>
      <c r="AG241">
        <v>1</v>
      </c>
      <c r="AH241" t="s">
        <v>48</v>
      </c>
      <c r="AI241" t="s">
        <v>49</v>
      </c>
      <c r="AJ241" t="s">
        <v>50</v>
      </c>
      <c r="AL241">
        <v>0.71399999999999997</v>
      </c>
      <c r="AM241">
        <v>4.5900000000000003E-3</v>
      </c>
      <c r="AN241">
        <v>8.0400000000000003E-3</v>
      </c>
      <c r="AQ241" t="s">
        <v>54</v>
      </c>
    </row>
    <row r="242" spans="1:43" x14ac:dyDescent="0.25">
      <c r="A242" t="s">
        <v>630</v>
      </c>
      <c r="B242" t="s">
        <v>480</v>
      </c>
      <c r="C242">
        <v>64.099999999999994</v>
      </c>
      <c r="D242">
        <v>198</v>
      </c>
      <c r="E242">
        <v>3.95</v>
      </c>
      <c r="F242">
        <v>1000000</v>
      </c>
      <c r="P242">
        <v>1</v>
      </c>
      <c r="AB242" t="s">
        <v>63</v>
      </c>
      <c r="AH242" t="s">
        <v>48</v>
      </c>
      <c r="AI242" t="s">
        <v>49</v>
      </c>
      <c r="AJ242" t="s">
        <v>110</v>
      </c>
      <c r="AQ242" t="s">
        <v>54</v>
      </c>
    </row>
    <row r="243" spans="1:43" x14ac:dyDescent="0.25">
      <c r="A243" t="s">
        <v>684</v>
      </c>
      <c r="B243" t="s">
        <v>683</v>
      </c>
      <c r="C243">
        <v>64.099999999999994</v>
      </c>
      <c r="D243">
        <v>198</v>
      </c>
      <c r="E243">
        <v>3.95</v>
      </c>
      <c r="F243">
        <v>1000000</v>
      </c>
      <c r="P243">
        <v>1</v>
      </c>
      <c r="AB243" t="s">
        <v>63</v>
      </c>
      <c r="AH243" t="s">
        <v>48</v>
      </c>
      <c r="AI243" t="s">
        <v>49</v>
      </c>
      <c r="AJ243" t="s">
        <v>110</v>
      </c>
      <c r="AQ243" t="s">
        <v>54</v>
      </c>
    </row>
    <row r="244" spans="1:43" x14ac:dyDescent="0.25">
      <c r="A244" t="s">
        <v>535</v>
      </c>
      <c r="B244" t="s">
        <v>536</v>
      </c>
      <c r="C244">
        <v>146.05000000000001</v>
      </c>
      <c r="D244">
        <v>375.35</v>
      </c>
      <c r="E244">
        <v>1.6799999999999999E-10</v>
      </c>
      <c r="F244">
        <v>2901</v>
      </c>
      <c r="G244">
        <v>3.08</v>
      </c>
      <c r="J244">
        <v>43.7</v>
      </c>
      <c r="K244">
        <v>75.290000000000006</v>
      </c>
      <c r="M244">
        <v>5.6467499999999999</v>
      </c>
      <c r="N244">
        <v>3.0116000000000005</v>
      </c>
      <c r="P244">
        <v>1</v>
      </c>
      <c r="AB244">
        <v>5.91</v>
      </c>
      <c r="AC244">
        <v>5.91</v>
      </c>
    </row>
    <row r="245" spans="1:43" x14ac:dyDescent="0.25">
      <c r="A245" t="s">
        <v>490</v>
      </c>
      <c r="B245" t="s">
        <v>491</v>
      </c>
      <c r="C245">
        <v>98.07</v>
      </c>
      <c r="D245">
        <v>544.47</v>
      </c>
      <c r="E245">
        <v>1.8699999999999999E-7</v>
      </c>
      <c r="F245">
        <v>1000000</v>
      </c>
      <c r="G245">
        <v>2.5400000000000001E-11</v>
      </c>
      <c r="J245">
        <v>6.3099999999999996E-3</v>
      </c>
      <c r="K245">
        <v>2.21</v>
      </c>
      <c r="M245">
        <v>0.16574999999999998</v>
      </c>
      <c r="N245">
        <v>8.8400000000000006E-2</v>
      </c>
      <c r="P245">
        <v>0.98650000000000004</v>
      </c>
    </row>
    <row r="246" spans="1:43" x14ac:dyDescent="0.25">
      <c r="A246" t="s">
        <v>419</v>
      </c>
      <c r="B246" t="s">
        <v>420</v>
      </c>
      <c r="C246">
        <v>322</v>
      </c>
      <c r="D246">
        <v>579</v>
      </c>
      <c r="E246">
        <v>1.9699999999999999E-12</v>
      </c>
      <c r="F246">
        <v>1.9300000000000002E-5</v>
      </c>
      <c r="G246">
        <v>3.29E-5</v>
      </c>
      <c r="H246">
        <v>0.104</v>
      </c>
      <c r="I246">
        <v>5.5999999999999997E-6</v>
      </c>
      <c r="J246">
        <v>6310000</v>
      </c>
      <c r="K246">
        <v>3890000</v>
      </c>
      <c r="L246">
        <v>38900</v>
      </c>
      <c r="M246">
        <v>292000</v>
      </c>
      <c r="N246">
        <v>156000</v>
      </c>
      <c r="O246">
        <v>0.03</v>
      </c>
      <c r="P246">
        <v>0.66400000000000003</v>
      </c>
      <c r="Q246">
        <v>40000</v>
      </c>
      <c r="R246">
        <v>1.03</v>
      </c>
      <c r="S246">
        <v>4.5500000000000002E-3</v>
      </c>
      <c r="T246">
        <v>4.5500000000000002E-3</v>
      </c>
      <c r="U246">
        <v>65500</v>
      </c>
      <c r="V246">
        <v>65500</v>
      </c>
      <c r="W246">
        <v>5.4999999999999997E-3</v>
      </c>
      <c r="X246">
        <v>2.6100000000000002E-2</v>
      </c>
      <c r="Y246">
        <v>3.1600000000000003E-2</v>
      </c>
      <c r="Z246">
        <v>5.96E-2</v>
      </c>
      <c r="AA246">
        <v>3.32</v>
      </c>
      <c r="AB246">
        <v>34400</v>
      </c>
      <c r="AD246">
        <v>0.09</v>
      </c>
      <c r="AE246">
        <v>6.9999999999999996E-10</v>
      </c>
      <c r="AF246">
        <v>1400000</v>
      </c>
      <c r="AG246">
        <v>4.0000000000000001E-8</v>
      </c>
      <c r="AH246">
        <v>400</v>
      </c>
      <c r="AI246" t="s">
        <v>49</v>
      </c>
      <c r="AJ246" t="s">
        <v>50</v>
      </c>
      <c r="AK246" t="s">
        <v>262</v>
      </c>
      <c r="AL246">
        <v>4.5500000000000002E-3</v>
      </c>
      <c r="AM246">
        <v>1.0999999999999999E-2</v>
      </c>
      <c r="AN246">
        <v>1.9300000000000001E-2</v>
      </c>
      <c r="AO246">
        <v>1</v>
      </c>
      <c r="AQ246" t="s">
        <v>54</v>
      </c>
    </row>
    <row r="247" spans="1:43" x14ac:dyDescent="0.25">
      <c r="A247" t="s">
        <v>421</v>
      </c>
      <c r="B247" t="s">
        <v>422</v>
      </c>
      <c r="C247">
        <v>306</v>
      </c>
      <c r="D247">
        <v>501</v>
      </c>
      <c r="E247">
        <v>1.97E-11</v>
      </c>
      <c r="F247">
        <v>4.1899999999999999E-4</v>
      </c>
      <c r="G247">
        <v>1.4399999999999999E-5</v>
      </c>
      <c r="H247">
        <v>2.35E-2</v>
      </c>
      <c r="I247">
        <v>6.0100000000000001E-6</v>
      </c>
      <c r="J247">
        <v>1260000</v>
      </c>
      <c r="K247">
        <v>776000</v>
      </c>
      <c r="L247">
        <v>7760</v>
      </c>
      <c r="M247">
        <v>58200</v>
      </c>
      <c r="N247">
        <v>31000</v>
      </c>
      <c r="O247">
        <v>0.03</v>
      </c>
      <c r="P247">
        <v>0.77</v>
      </c>
      <c r="Q247">
        <v>11600</v>
      </c>
      <c r="R247">
        <v>1.49</v>
      </c>
      <c r="S247">
        <v>1.15E-2</v>
      </c>
      <c r="T247">
        <v>1.15E-2</v>
      </c>
      <c r="U247">
        <v>45700</v>
      </c>
      <c r="V247">
        <v>45700</v>
      </c>
      <c r="W247">
        <v>7.6800000000000002E-3</v>
      </c>
      <c r="X247">
        <v>3.6499999999999998E-2</v>
      </c>
      <c r="Y247">
        <v>4.4200000000000003E-2</v>
      </c>
      <c r="Z247">
        <v>3.61E-2</v>
      </c>
      <c r="AA247">
        <v>2.56</v>
      </c>
      <c r="AB247">
        <v>9930</v>
      </c>
      <c r="AD247">
        <v>0.09</v>
      </c>
      <c r="AE247">
        <v>6.9999999999999998E-9</v>
      </c>
      <c r="AF247">
        <v>140000</v>
      </c>
      <c r="AG247">
        <v>3.9999999999999998E-7</v>
      </c>
      <c r="AH247">
        <v>40</v>
      </c>
      <c r="AI247" t="s">
        <v>49</v>
      </c>
      <c r="AJ247" t="s">
        <v>50</v>
      </c>
      <c r="AK247" t="s">
        <v>219</v>
      </c>
      <c r="AL247">
        <v>1.15E-2</v>
      </c>
      <c r="AM247">
        <v>1.54E-2</v>
      </c>
      <c r="AN247">
        <v>2.69E-2</v>
      </c>
      <c r="AO247">
        <v>0.1</v>
      </c>
      <c r="AQ247" t="s">
        <v>54</v>
      </c>
    </row>
    <row r="248" spans="1:43" x14ac:dyDescent="0.25">
      <c r="A248" t="s">
        <v>706</v>
      </c>
      <c r="B248" t="s">
        <v>424</v>
      </c>
      <c r="C248">
        <v>326</v>
      </c>
      <c r="D248">
        <v>283</v>
      </c>
      <c r="E248">
        <v>1.01E-7</v>
      </c>
      <c r="F248">
        <v>4.2999999999999997E-2</v>
      </c>
      <c r="G248">
        <v>2.8299999999999999E-4</v>
      </c>
      <c r="H248">
        <v>1E-3</v>
      </c>
      <c r="I248">
        <v>1.0000000000000001E-5</v>
      </c>
      <c r="J248">
        <v>3160000</v>
      </c>
      <c r="K248">
        <v>2450000</v>
      </c>
      <c r="L248">
        <v>24500</v>
      </c>
      <c r="M248">
        <v>184000</v>
      </c>
      <c r="N248">
        <v>98100</v>
      </c>
      <c r="O248">
        <v>0.03</v>
      </c>
      <c r="P248">
        <v>0.99199999999999999</v>
      </c>
      <c r="Q248">
        <v>23500</v>
      </c>
      <c r="R248">
        <v>0.95799999999999996</v>
      </c>
      <c r="S248">
        <v>6.7799999999999996E-3</v>
      </c>
      <c r="T248">
        <v>6.7799999999999996E-3</v>
      </c>
      <c r="U248">
        <v>1650</v>
      </c>
      <c r="V248">
        <v>1650</v>
      </c>
      <c r="W248">
        <v>6.5199999999999998E-3</v>
      </c>
      <c r="X248">
        <v>3.1E-2</v>
      </c>
      <c r="Y248">
        <v>3.7499999999999999E-2</v>
      </c>
      <c r="Z248">
        <v>12.8</v>
      </c>
      <c r="AB248">
        <v>84100</v>
      </c>
      <c r="AD248">
        <v>2</v>
      </c>
      <c r="AE248">
        <v>4.5000000000000003E-5</v>
      </c>
      <c r="AF248">
        <v>420</v>
      </c>
      <c r="AG248">
        <v>1.2999999999999999E-4</v>
      </c>
      <c r="AH248">
        <v>8.5714286000000001E-2</v>
      </c>
      <c r="AI248" t="s">
        <v>49</v>
      </c>
      <c r="AJ248" t="s">
        <v>50</v>
      </c>
      <c r="AK248" t="s">
        <v>65</v>
      </c>
      <c r="AL248">
        <v>0.01</v>
      </c>
      <c r="AM248">
        <v>1.2999999999999999E-2</v>
      </c>
      <c r="AN248">
        <v>3.2000000000000001E-2</v>
      </c>
      <c r="AQ248" t="s">
        <v>54</v>
      </c>
    </row>
    <row r="249" spans="1:43" x14ac:dyDescent="0.25">
      <c r="A249" t="s">
        <v>425</v>
      </c>
      <c r="B249" t="s">
        <v>426</v>
      </c>
      <c r="C249">
        <v>168</v>
      </c>
      <c r="D249">
        <v>229</v>
      </c>
      <c r="E249">
        <v>6.0499999999999998E-3</v>
      </c>
      <c r="F249">
        <v>3000</v>
      </c>
      <c r="G249">
        <v>3.4000000000000002E-4</v>
      </c>
      <c r="H249">
        <v>7.0999999999999994E-2</v>
      </c>
      <c r="I249">
        <v>7.9000000000000006E-6</v>
      </c>
      <c r="J249">
        <v>251</v>
      </c>
      <c r="K249">
        <v>79</v>
      </c>
      <c r="L249">
        <v>0.19</v>
      </c>
      <c r="M249">
        <v>5.93</v>
      </c>
      <c r="N249">
        <v>3.16</v>
      </c>
      <c r="O249">
        <v>5.75</v>
      </c>
      <c r="P249">
        <v>1</v>
      </c>
      <c r="Q249">
        <v>16.399999999999999</v>
      </c>
      <c r="R249">
        <v>86.2</v>
      </c>
      <c r="S249">
        <v>1.59</v>
      </c>
      <c r="T249">
        <v>1.59</v>
      </c>
      <c r="U249">
        <v>5.91E-2</v>
      </c>
      <c r="V249">
        <v>5.91E-2</v>
      </c>
      <c r="W249">
        <v>1.1000000000000001E-3</v>
      </c>
      <c r="X249">
        <v>5.2100000000000002E-3</v>
      </c>
      <c r="Y249">
        <v>6.3E-3</v>
      </c>
      <c r="Z249">
        <v>0.35</v>
      </c>
      <c r="AB249">
        <v>14.1</v>
      </c>
      <c r="AE249">
        <v>0.02</v>
      </c>
      <c r="AF249">
        <v>0.2</v>
      </c>
      <c r="AH249">
        <v>5.8E-5</v>
      </c>
      <c r="AI249" t="s">
        <v>49</v>
      </c>
      <c r="AJ249" t="s">
        <v>50</v>
      </c>
      <c r="AL249">
        <v>1.59</v>
      </c>
      <c r="AM249">
        <v>2.1900000000000001E-3</v>
      </c>
      <c r="AN249">
        <v>3.8400000000000001E-3</v>
      </c>
      <c r="AQ249" t="s">
        <v>54</v>
      </c>
    </row>
    <row r="250" spans="1:43" x14ac:dyDescent="0.25">
      <c r="A250" t="s">
        <v>427</v>
      </c>
      <c r="B250" t="s">
        <v>428</v>
      </c>
      <c r="C250">
        <v>166</v>
      </c>
      <c r="D250">
        <v>251</v>
      </c>
      <c r="E250">
        <v>2.5000000000000001E-2</v>
      </c>
      <c r="F250">
        <v>200</v>
      </c>
      <c r="G250">
        <v>1.7999999999999999E-2</v>
      </c>
      <c r="H250">
        <v>7.1999999999999995E-2</v>
      </c>
      <c r="I250">
        <v>8.1999999999999994E-6</v>
      </c>
      <c r="J250">
        <v>2510</v>
      </c>
      <c r="K250">
        <v>265</v>
      </c>
      <c r="L250">
        <v>0.31</v>
      </c>
      <c r="M250">
        <v>19.899999999999999</v>
      </c>
      <c r="N250">
        <v>10.6</v>
      </c>
      <c r="O250">
        <v>0.7</v>
      </c>
      <c r="P250">
        <v>1</v>
      </c>
      <c r="Q250">
        <v>96.4</v>
      </c>
      <c r="R250">
        <v>311</v>
      </c>
      <c r="S250">
        <v>0.42</v>
      </c>
      <c r="T250">
        <v>0.42</v>
      </c>
      <c r="U250">
        <v>1.2999999999999999E-2</v>
      </c>
      <c r="V250">
        <v>1.2999999999999999E-2</v>
      </c>
      <c r="W250">
        <v>3.4299999999999999E-3</v>
      </c>
      <c r="X250">
        <v>1.6299999999999999E-2</v>
      </c>
      <c r="Y250">
        <v>1.9699999999999999E-2</v>
      </c>
      <c r="Z250">
        <v>2.7899999999999999E-3</v>
      </c>
      <c r="AB250">
        <v>82.8</v>
      </c>
      <c r="AE250">
        <v>6.0000000000000001E-3</v>
      </c>
      <c r="AF250">
        <v>2.0999999999999999E-3</v>
      </c>
      <c r="AG250">
        <v>0.1</v>
      </c>
      <c r="AH250">
        <v>5.0000000000000004E-6</v>
      </c>
      <c r="AI250" t="s">
        <v>49</v>
      </c>
      <c r="AJ250" t="s">
        <v>50</v>
      </c>
      <c r="AL250">
        <v>0.42</v>
      </c>
      <c r="AM250">
        <v>6.8700000000000002E-3</v>
      </c>
      <c r="AN250">
        <v>1.2E-2</v>
      </c>
      <c r="AQ250" t="s">
        <v>54</v>
      </c>
    </row>
    <row r="251" spans="1:43" x14ac:dyDescent="0.25">
      <c r="A251" t="s">
        <v>506</v>
      </c>
      <c r="B251" t="s">
        <v>513</v>
      </c>
      <c r="C251">
        <v>102.03</v>
      </c>
      <c r="D251">
        <v>123.48</v>
      </c>
      <c r="E251">
        <v>5.2130000000000001</v>
      </c>
      <c r="F251">
        <v>767.8</v>
      </c>
      <c r="G251">
        <v>1.53</v>
      </c>
      <c r="H251">
        <v>8.2299999999999998E-2</v>
      </c>
      <c r="I251">
        <v>1.06E-5</v>
      </c>
      <c r="J251">
        <v>47.86</v>
      </c>
      <c r="K251">
        <v>86.03</v>
      </c>
      <c r="M251">
        <v>6.4522500000000003</v>
      </c>
      <c r="N251">
        <v>3.4412000000000003</v>
      </c>
      <c r="P251">
        <v>1</v>
      </c>
      <c r="U251">
        <v>4.08</v>
      </c>
      <c r="V251">
        <v>4.08</v>
      </c>
      <c r="W251">
        <v>3.7800000000000002E-7</v>
      </c>
      <c r="X251">
        <v>1.1999999999999999E-6</v>
      </c>
      <c r="AB251">
        <v>5.6269999999999998</v>
      </c>
      <c r="AC251">
        <v>5.6269999999999998</v>
      </c>
      <c r="AG251">
        <v>80</v>
      </c>
      <c r="AK251" t="s">
        <v>713</v>
      </c>
    </row>
    <row r="252" spans="1:43" x14ac:dyDescent="0.25">
      <c r="A252" t="s">
        <v>527</v>
      </c>
      <c r="B252" t="s">
        <v>526</v>
      </c>
      <c r="C252">
        <v>88</v>
      </c>
      <c r="D252">
        <v>109.2</v>
      </c>
      <c r="E252">
        <v>91.3</v>
      </c>
      <c r="F252">
        <v>2239</v>
      </c>
      <c r="G252">
        <v>4.59</v>
      </c>
      <c r="J252">
        <v>15.5</v>
      </c>
      <c r="K252">
        <v>43.89</v>
      </c>
      <c r="M252">
        <v>3.29175</v>
      </c>
      <c r="N252">
        <v>1.7556</v>
      </c>
      <c r="P252">
        <v>1</v>
      </c>
      <c r="AB252">
        <v>2.347</v>
      </c>
      <c r="AC252">
        <v>2.347</v>
      </c>
      <c r="AK252" t="s">
        <v>715</v>
      </c>
    </row>
    <row r="253" spans="1:43" x14ac:dyDescent="0.25">
      <c r="A253" t="s">
        <v>539</v>
      </c>
      <c r="B253" t="s">
        <v>540</v>
      </c>
      <c r="C253">
        <v>189.68</v>
      </c>
      <c r="D253">
        <v>499.89</v>
      </c>
      <c r="E253">
        <v>7.3499999999999998E-3</v>
      </c>
      <c r="F253">
        <v>2741</v>
      </c>
      <c r="G253">
        <v>5.1000000000000004E-4</v>
      </c>
      <c r="H253">
        <v>3.7999999999999999E-2</v>
      </c>
      <c r="I253">
        <v>9.0600000000000004E-8</v>
      </c>
      <c r="J253">
        <v>29.5</v>
      </c>
      <c r="K253">
        <v>43.89</v>
      </c>
      <c r="M253">
        <v>3.29175</v>
      </c>
      <c r="N253">
        <v>1.7556</v>
      </c>
      <c r="P253">
        <v>1</v>
      </c>
      <c r="AB253">
        <v>2.3220000000000001</v>
      </c>
      <c r="AC253">
        <v>2.3220000000000001</v>
      </c>
    </row>
    <row r="254" spans="1:43" x14ac:dyDescent="0.25">
      <c r="A254" t="s">
        <v>429</v>
      </c>
      <c r="B254" t="s">
        <v>430</v>
      </c>
      <c r="C254">
        <v>92.1</v>
      </c>
      <c r="D254">
        <v>178</v>
      </c>
      <c r="E254">
        <v>3.6799999999999999E-2</v>
      </c>
      <c r="F254">
        <v>530</v>
      </c>
      <c r="G254">
        <v>6.6E-3</v>
      </c>
      <c r="H254">
        <v>8.6999999999999994E-2</v>
      </c>
      <c r="I254">
        <v>8.6000000000000007E-6</v>
      </c>
      <c r="J254">
        <v>501</v>
      </c>
      <c r="K254">
        <v>140</v>
      </c>
      <c r="L254">
        <v>0.36</v>
      </c>
      <c r="M254">
        <v>10.5</v>
      </c>
      <c r="N254">
        <v>5.6</v>
      </c>
      <c r="O254">
        <v>11.5</v>
      </c>
      <c r="P254">
        <v>1</v>
      </c>
      <c r="Q254">
        <v>27.9</v>
      </c>
      <c r="R254">
        <v>77.400000000000006</v>
      </c>
      <c r="S254">
        <v>1.07</v>
      </c>
      <c r="T254">
        <v>1.07</v>
      </c>
      <c r="U254">
        <v>6.3600000000000002E-3</v>
      </c>
      <c r="V254">
        <v>6.3600000000000002E-3</v>
      </c>
      <c r="W254">
        <v>1.6199999999999999E-3</v>
      </c>
      <c r="X254">
        <v>7.6899999999999998E-3</v>
      </c>
      <c r="Y254">
        <v>9.3100000000000006E-3</v>
      </c>
      <c r="Z254">
        <v>3.6900000000000001E-3</v>
      </c>
      <c r="AB254">
        <v>23.9</v>
      </c>
      <c r="AE254">
        <v>0.08</v>
      </c>
      <c r="AG254">
        <v>0.4</v>
      </c>
      <c r="AH254" t="s">
        <v>48</v>
      </c>
      <c r="AI254" t="s">
        <v>49</v>
      </c>
      <c r="AJ254" t="s">
        <v>50</v>
      </c>
      <c r="AL254">
        <v>1.07</v>
      </c>
      <c r="AM254">
        <v>3.2399999999999998E-3</v>
      </c>
      <c r="AN254">
        <v>5.6699999999999997E-3</v>
      </c>
      <c r="AQ254" t="s">
        <v>54</v>
      </c>
    </row>
    <row r="255" spans="1:43" x14ac:dyDescent="0.25">
      <c r="A255" t="s">
        <v>432</v>
      </c>
      <c r="B255" t="s">
        <v>433</v>
      </c>
      <c r="C255">
        <v>107</v>
      </c>
      <c r="D255">
        <v>257</v>
      </c>
      <c r="E255">
        <v>4.2099999999999999E-4</v>
      </c>
      <c r="F255">
        <v>16600</v>
      </c>
      <c r="G255">
        <v>2.7199999999999998E-6</v>
      </c>
      <c r="H255">
        <v>7.1400000000000005E-2</v>
      </c>
      <c r="I255">
        <v>9.1200000000000008E-6</v>
      </c>
      <c r="J255">
        <v>20.9</v>
      </c>
      <c r="K255">
        <v>19.899999999999999</v>
      </c>
      <c r="L255">
        <v>0.2</v>
      </c>
      <c r="M255">
        <v>1.49</v>
      </c>
      <c r="N255">
        <v>0.79</v>
      </c>
      <c r="O255">
        <v>36.1</v>
      </c>
      <c r="P255">
        <v>1</v>
      </c>
      <c r="Q255">
        <v>8.7200000000000006</v>
      </c>
      <c r="R255">
        <v>43.9</v>
      </c>
      <c r="S255">
        <v>6.68</v>
      </c>
      <c r="T255">
        <v>6.68</v>
      </c>
      <c r="U255">
        <v>0.52300000000000002</v>
      </c>
      <c r="V255">
        <v>0.52300000000000002</v>
      </c>
      <c r="W255">
        <v>1.9100000000000001E-4</v>
      </c>
      <c r="X255">
        <v>9.0899999999999998E-4</v>
      </c>
      <c r="Y255">
        <v>1.1000000000000001E-3</v>
      </c>
      <c r="Z255">
        <v>1.74E-4</v>
      </c>
      <c r="AB255">
        <v>2.0699999999999998</v>
      </c>
      <c r="AF255">
        <v>1.6E-2</v>
      </c>
      <c r="AH255">
        <v>5.1E-5</v>
      </c>
      <c r="AI255" t="s">
        <v>49</v>
      </c>
      <c r="AJ255" t="s">
        <v>50</v>
      </c>
      <c r="AL255">
        <v>6.68</v>
      </c>
      <c r="AM255">
        <v>3.8299999999999999E-4</v>
      </c>
      <c r="AN255">
        <v>6.7000000000000002E-4</v>
      </c>
      <c r="AQ255" t="s">
        <v>54</v>
      </c>
    </row>
    <row r="256" spans="1:43" x14ac:dyDescent="0.25">
      <c r="A256" t="s">
        <v>707</v>
      </c>
      <c r="B256" t="s">
        <v>435</v>
      </c>
      <c r="C256">
        <v>228</v>
      </c>
      <c r="D256">
        <v>527</v>
      </c>
      <c r="E256">
        <v>1.0299999999999999E-11</v>
      </c>
      <c r="F256">
        <v>1.9400000000000001E-3</v>
      </c>
      <c r="G256">
        <v>1.2100000000000001E-6</v>
      </c>
      <c r="H256">
        <v>2.4799999999999999E-2</v>
      </c>
      <c r="I256">
        <v>6.2099999999999998E-6</v>
      </c>
      <c r="J256">
        <v>548000</v>
      </c>
      <c r="K256">
        <v>297000</v>
      </c>
      <c r="L256">
        <v>2970</v>
      </c>
      <c r="M256">
        <v>22300</v>
      </c>
      <c r="N256">
        <v>11900</v>
      </c>
      <c r="O256">
        <v>0.253</v>
      </c>
      <c r="P256">
        <v>0.76100000000000001</v>
      </c>
      <c r="Q256">
        <v>6100</v>
      </c>
      <c r="R256">
        <v>2.06</v>
      </c>
      <c r="S256">
        <v>1.8700000000000001E-2</v>
      </c>
      <c r="T256">
        <v>1.8700000000000001E-2</v>
      </c>
      <c r="U256">
        <v>59700</v>
      </c>
      <c r="V256">
        <v>59700</v>
      </c>
      <c r="W256">
        <v>4.3600000000000002E-3</v>
      </c>
      <c r="X256">
        <v>1.38E-2</v>
      </c>
      <c r="Y256">
        <v>1.67E-2</v>
      </c>
      <c r="Z256">
        <v>4.3600000000000003</v>
      </c>
      <c r="AB256" t="s">
        <v>63</v>
      </c>
      <c r="AC256">
        <v>6030</v>
      </c>
      <c r="AF256">
        <v>1.7</v>
      </c>
      <c r="AH256">
        <v>5.5000000000000002E-5</v>
      </c>
      <c r="AI256" t="s">
        <v>49</v>
      </c>
      <c r="AJ256" t="s">
        <v>50</v>
      </c>
      <c r="AK256" t="s">
        <v>72</v>
      </c>
      <c r="AL256">
        <v>1.32E-2</v>
      </c>
      <c r="AM256">
        <v>1.5800000000000002E-2</v>
      </c>
      <c r="AN256">
        <v>2.7699999999999999E-2</v>
      </c>
      <c r="AQ256" t="s">
        <v>54</v>
      </c>
    </row>
    <row r="257" spans="1:43" x14ac:dyDescent="0.25">
      <c r="A257" t="s">
        <v>436</v>
      </c>
      <c r="B257" t="s">
        <v>437</v>
      </c>
      <c r="C257">
        <v>181</v>
      </c>
      <c r="D257">
        <v>290</v>
      </c>
      <c r="E257">
        <v>5.6599999999999999E-4</v>
      </c>
      <c r="F257">
        <v>35</v>
      </c>
      <c r="G257">
        <v>1.4E-3</v>
      </c>
      <c r="H257">
        <v>0.03</v>
      </c>
      <c r="I257">
        <v>8.2300000000000008E-6</v>
      </c>
      <c r="J257">
        <v>10000</v>
      </c>
      <c r="K257">
        <v>1660</v>
      </c>
      <c r="L257">
        <v>3.6</v>
      </c>
      <c r="M257">
        <v>125</v>
      </c>
      <c r="N257">
        <v>66.400000000000006</v>
      </c>
      <c r="O257">
        <v>1.41</v>
      </c>
      <c r="P257">
        <v>1</v>
      </c>
      <c r="Q257">
        <v>279</v>
      </c>
      <c r="R257">
        <v>77.599999999999994</v>
      </c>
      <c r="S257">
        <v>0.189</v>
      </c>
      <c r="T257">
        <v>0.189</v>
      </c>
      <c r="U257">
        <v>0.72699999999999998</v>
      </c>
      <c r="V257">
        <v>0.72699999999999998</v>
      </c>
      <c r="W257">
        <v>5.47E-3</v>
      </c>
      <c r="X257">
        <v>2.5999999999999999E-2</v>
      </c>
      <c r="Y257">
        <v>3.15E-2</v>
      </c>
      <c r="Z257">
        <v>7.7299999999999994E-2</v>
      </c>
      <c r="AB257">
        <v>240</v>
      </c>
      <c r="AE257">
        <v>0.01</v>
      </c>
      <c r="AF257">
        <v>2.9000000000000001E-2</v>
      </c>
      <c r="AH257" t="s">
        <v>48</v>
      </c>
      <c r="AI257" t="s">
        <v>49</v>
      </c>
      <c r="AJ257" t="s">
        <v>50</v>
      </c>
      <c r="AL257">
        <v>0.189</v>
      </c>
      <c r="AM257">
        <v>1.09E-2</v>
      </c>
      <c r="AN257">
        <v>1.9199999999999998E-2</v>
      </c>
      <c r="AQ257" t="s">
        <v>54</v>
      </c>
    </row>
    <row r="258" spans="1:43" x14ac:dyDescent="0.25">
      <c r="A258" t="s">
        <v>557</v>
      </c>
      <c r="B258" t="s">
        <v>64</v>
      </c>
      <c r="C258">
        <v>326</v>
      </c>
      <c r="D258">
        <v>283</v>
      </c>
      <c r="E258">
        <v>1.01E-7</v>
      </c>
      <c r="F258">
        <v>4.2999999999999997E-2</v>
      </c>
      <c r="G258">
        <v>2.8299999999999999E-4</v>
      </c>
      <c r="H258">
        <v>1E-3</v>
      </c>
      <c r="I258">
        <v>1.0000000000000001E-5</v>
      </c>
      <c r="J258">
        <v>3160000</v>
      </c>
      <c r="K258">
        <v>2450000</v>
      </c>
      <c r="L258">
        <v>24500</v>
      </c>
      <c r="M258">
        <v>184000</v>
      </c>
      <c r="N258">
        <v>98100</v>
      </c>
      <c r="O258">
        <v>0.03</v>
      </c>
      <c r="P258">
        <v>0.99199999999999999</v>
      </c>
      <c r="Q258">
        <v>23500</v>
      </c>
      <c r="R258">
        <v>0.95799999999999996</v>
      </c>
      <c r="S258">
        <v>6.7799999999999996E-3</v>
      </c>
      <c r="T258">
        <v>6.7799999999999996E-3</v>
      </c>
      <c r="U258">
        <v>1650</v>
      </c>
      <c r="V258">
        <v>1650</v>
      </c>
      <c r="W258">
        <v>6.5199999999999998E-3</v>
      </c>
      <c r="X258">
        <v>3.1E-2</v>
      </c>
      <c r="Y258">
        <v>3.7499999999999999E-2</v>
      </c>
      <c r="Z258">
        <v>12.8</v>
      </c>
      <c r="AB258">
        <v>84100</v>
      </c>
      <c r="AD258">
        <v>2</v>
      </c>
      <c r="AE258">
        <v>6.9999999999999994E-5</v>
      </c>
      <c r="AF258">
        <v>7.0000000000000007E-2</v>
      </c>
      <c r="AG258">
        <v>3.9999999999999998E-7</v>
      </c>
      <c r="AH258">
        <v>5.6999999999999998E-4</v>
      </c>
      <c r="AI258" t="s">
        <v>49</v>
      </c>
      <c r="AJ258" t="s">
        <v>50</v>
      </c>
      <c r="AK258" t="s">
        <v>65</v>
      </c>
      <c r="AL258">
        <v>0.01</v>
      </c>
      <c r="AM258">
        <v>1.2999999999999999E-2</v>
      </c>
      <c r="AN258">
        <v>3.2000000000000001E-2</v>
      </c>
      <c r="AQ258" t="s">
        <v>54</v>
      </c>
    </row>
    <row r="259" spans="1:43" x14ac:dyDescent="0.25">
      <c r="A259" t="s">
        <v>438</v>
      </c>
      <c r="B259" t="s">
        <v>439</v>
      </c>
      <c r="C259">
        <v>133</v>
      </c>
      <c r="D259">
        <v>243</v>
      </c>
      <c r="E259">
        <v>0.158</v>
      </c>
      <c r="F259">
        <v>1300</v>
      </c>
      <c r="G259">
        <v>1.7000000000000001E-2</v>
      </c>
      <c r="H259">
        <v>7.8E-2</v>
      </c>
      <c r="I259">
        <v>8.8000000000000004E-6</v>
      </c>
      <c r="J259">
        <v>316</v>
      </c>
      <c r="K259">
        <v>135</v>
      </c>
      <c r="L259">
        <v>0.22</v>
      </c>
      <c r="M259">
        <v>10.1</v>
      </c>
      <c r="N259">
        <v>5.4</v>
      </c>
      <c r="O259">
        <v>0.93</v>
      </c>
      <c r="P259">
        <v>1</v>
      </c>
      <c r="Q259">
        <v>19.5</v>
      </c>
      <c r="R259">
        <v>88.8</v>
      </c>
      <c r="S259">
        <v>1.39</v>
      </c>
      <c r="T259">
        <v>1.39</v>
      </c>
      <c r="U259">
        <v>1.5100000000000001E-3</v>
      </c>
      <c r="V259">
        <v>1.5100000000000001E-3</v>
      </c>
      <c r="W259">
        <v>1.25E-3</v>
      </c>
      <c r="X259">
        <v>5.96E-3</v>
      </c>
      <c r="Y259">
        <v>7.2100000000000003E-3</v>
      </c>
      <c r="Z259">
        <v>2.0999999999999999E-3</v>
      </c>
      <c r="AB259">
        <v>16.8</v>
      </c>
      <c r="AE259">
        <v>2</v>
      </c>
      <c r="AG259">
        <v>5</v>
      </c>
      <c r="AH259" t="s">
        <v>48</v>
      </c>
      <c r="AI259" t="s">
        <v>49</v>
      </c>
      <c r="AJ259" t="s">
        <v>50</v>
      </c>
      <c r="AL259">
        <v>1.39</v>
      </c>
      <c r="AM259">
        <v>2.5100000000000001E-3</v>
      </c>
      <c r="AN259">
        <v>4.3899999999999998E-3</v>
      </c>
      <c r="AQ259" t="s">
        <v>54</v>
      </c>
    </row>
    <row r="260" spans="1:43" x14ac:dyDescent="0.25">
      <c r="A260" t="s">
        <v>440</v>
      </c>
      <c r="B260" t="s">
        <v>441</v>
      </c>
      <c r="C260">
        <v>133</v>
      </c>
      <c r="D260">
        <v>236</v>
      </c>
      <c r="E260">
        <v>3.0300000000000001E-2</v>
      </c>
      <c r="F260">
        <v>4400</v>
      </c>
      <c r="G260">
        <v>9.1E-4</v>
      </c>
      <c r="H260">
        <v>7.8E-2</v>
      </c>
      <c r="I260">
        <v>8.8000000000000004E-6</v>
      </c>
      <c r="J260">
        <v>100</v>
      </c>
      <c r="K260">
        <v>75</v>
      </c>
      <c r="L260">
        <v>0.1</v>
      </c>
      <c r="M260">
        <v>5.63</v>
      </c>
      <c r="N260">
        <v>3</v>
      </c>
      <c r="O260">
        <v>0.69</v>
      </c>
      <c r="P260">
        <v>1</v>
      </c>
      <c r="Q260">
        <v>8.0500000000000007</v>
      </c>
      <c r="R260">
        <v>80.5</v>
      </c>
      <c r="S260">
        <v>2.7</v>
      </c>
      <c r="T260">
        <v>2.7</v>
      </c>
      <c r="U260">
        <v>8.2900000000000005E-3</v>
      </c>
      <c r="V260">
        <v>8.2900000000000005E-3</v>
      </c>
      <c r="W260">
        <v>6.11E-4</v>
      </c>
      <c r="X260">
        <v>2.8999999999999998E-3</v>
      </c>
      <c r="Y260">
        <v>3.5100000000000001E-3</v>
      </c>
      <c r="Z260">
        <v>9.9299999999999996E-4</v>
      </c>
      <c r="AB260">
        <v>6.92</v>
      </c>
      <c r="AE260">
        <v>4.0000000000000001E-3</v>
      </c>
      <c r="AF260">
        <v>5.7000000000000002E-2</v>
      </c>
      <c r="AH260">
        <v>1.5999999999999999E-5</v>
      </c>
      <c r="AI260" t="s">
        <v>49</v>
      </c>
      <c r="AJ260" t="s">
        <v>50</v>
      </c>
      <c r="AL260">
        <v>2.7</v>
      </c>
      <c r="AM260">
        <v>1.2199999999999999E-3</v>
      </c>
      <c r="AN260">
        <v>2.14E-3</v>
      </c>
      <c r="AQ260" t="s">
        <v>54</v>
      </c>
    </row>
    <row r="261" spans="1:43" x14ac:dyDescent="0.25">
      <c r="A261" t="s">
        <v>442</v>
      </c>
      <c r="B261" t="s">
        <v>443</v>
      </c>
      <c r="C261">
        <v>131</v>
      </c>
      <c r="D261">
        <v>188</v>
      </c>
      <c r="E261">
        <v>9.6100000000000005E-2</v>
      </c>
      <c r="F261">
        <v>1500</v>
      </c>
      <c r="G261">
        <v>0.01</v>
      </c>
      <c r="H261">
        <v>7.9000000000000001E-2</v>
      </c>
      <c r="I261">
        <v>9.0999999999999993E-6</v>
      </c>
      <c r="J261">
        <v>251</v>
      </c>
      <c r="K261">
        <v>94.3</v>
      </c>
      <c r="L261">
        <v>0.33</v>
      </c>
      <c r="M261">
        <v>7.07</v>
      </c>
      <c r="N261">
        <v>3.77</v>
      </c>
      <c r="O261">
        <v>0.7</v>
      </c>
      <c r="P261">
        <v>1</v>
      </c>
      <c r="Q261">
        <v>16.399999999999999</v>
      </c>
      <c r="R261">
        <v>49.6</v>
      </c>
      <c r="S261">
        <v>1.59</v>
      </c>
      <c r="T261">
        <v>1.59</v>
      </c>
      <c r="U261">
        <v>2.0100000000000001E-3</v>
      </c>
      <c r="V261">
        <v>2.0100000000000001E-3</v>
      </c>
      <c r="W261">
        <v>1.1000000000000001E-3</v>
      </c>
      <c r="X261">
        <v>5.2100000000000002E-3</v>
      </c>
      <c r="Y261">
        <v>6.3E-3</v>
      </c>
      <c r="Z261">
        <v>2.15E-3</v>
      </c>
      <c r="AB261">
        <v>14.1</v>
      </c>
      <c r="AE261">
        <v>5.0000000000000001E-4</v>
      </c>
      <c r="AF261">
        <v>4.5999999999999999E-2</v>
      </c>
      <c r="AG261">
        <v>2E-3</v>
      </c>
      <c r="AH261">
        <v>3.3000000000000002E-6</v>
      </c>
      <c r="AI261" t="s">
        <v>49</v>
      </c>
      <c r="AJ261" t="s">
        <v>50</v>
      </c>
      <c r="AL261">
        <v>1.59</v>
      </c>
      <c r="AM261">
        <v>2.1900000000000001E-3</v>
      </c>
      <c r="AN261">
        <v>3.8400000000000001E-3</v>
      </c>
      <c r="AQ261" t="s">
        <v>54</v>
      </c>
    </row>
    <row r="262" spans="1:43" x14ac:dyDescent="0.25">
      <c r="A262" t="s">
        <v>446</v>
      </c>
      <c r="B262" t="s">
        <v>447</v>
      </c>
      <c r="C262">
        <v>197.5</v>
      </c>
      <c r="D262">
        <v>341.15</v>
      </c>
      <c r="E262">
        <v>2.6299999999999999E-5</v>
      </c>
      <c r="F262">
        <v>1200</v>
      </c>
      <c r="G262">
        <v>4.33E-6</v>
      </c>
      <c r="H262">
        <v>2.9100000000000001E-2</v>
      </c>
      <c r="I262">
        <v>7.0299999999999996E-6</v>
      </c>
      <c r="J262">
        <v>5248.0746019999997</v>
      </c>
      <c r="K262">
        <v>1597</v>
      </c>
      <c r="L262">
        <v>15.97</v>
      </c>
      <c r="M262">
        <v>119.77500000000001</v>
      </c>
      <c r="N262">
        <v>63.88</v>
      </c>
      <c r="O262">
        <v>0.37</v>
      </c>
      <c r="P262">
        <v>1</v>
      </c>
      <c r="Q262">
        <v>170</v>
      </c>
      <c r="R262">
        <v>10.6</v>
      </c>
      <c r="S262">
        <v>0.27400000000000002</v>
      </c>
      <c r="T262">
        <v>0.27400000000000002</v>
      </c>
      <c r="U262">
        <v>118</v>
      </c>
      <c r="V262">
        <v>118</v>
      </c>
      <c r="W262">
        <v>4.1659200000000003E-4</v>
      </c>
      <c r="X262">
        <v>1.9788140000000002E-3</v>
      </c>
      <c r="Y262">
        <v>2.3954060000000001E-3</v>
      </c>
      <c r="Z262">
        <v>5.8883551999999999E-2</v>
      </c>
      <c r="AB262">
        <v>58.1</v>
      </c>
      <c r="AE262">
        <v>0.1</v>
      </c>
      <c r="AG262">
        <v>0.35</v>
      </c>
      <c r="AH262" t="s">
        <v>48</v>
      </c>
      <c r="AI262" t="s">
        <v>49</v>
      </c>
      <c r="AJ262" t="s">
        <v>50</v>
      </c>
      <c r="AK262" t="s">
        <v>67</v>
      </c>
      <c r="AL262">
        <v>0.27400000000000002</v>
      </c>
      <c r="AM262">
        <v>8.3318499999999996E-4</v>
      </c>
      <c r="AN262">
        <v>1.4580730000000001E-3</v>
      </c>
      <c r="AQ262" t="s">
        <v>54</v>
      </c>
    </row>
    <row r="263" spans="1:43" x14ac:dyDescent="0.25">
      <c r="A263" t="s">
        <v>448</v>
      </c>
      <c r="B263" t="s">
        <v>449</v>
      </c>
      <c r="C263">
        <v>198</v>
      </c>
      <c r="D263">
        <v>342</v>
      </c>
      <c r="E263">
        <v>3.1600000000000002E-5</v>
      </c>
      <c r="F263">
        <v>800</v>
      </c>
      <c r="G263">
        <v>7.7999999999999999E-6</v>
      </c>
      <c r="H263">
        <v>1E-3</v>
      </c>
      <c r="I263">
        <v>1.0000000000000001E-5</v>
      </c>
      <c r="J263">
        <v>5010</v>
      </c>
      <c r="K263">
        <v>381</v>
      </c>
      <c r="L263">
        <v>0.76</v>
      </c>
      <c r="M263">
        <v>28.6</v>
      </c>
      <c r="N263">
        <v>15.2</v>
      </c>
      <c r="O263">
        <v>3.61</v>
      </c>
      <c r="P263">
        <v>1</v>
      </c>
      <c r="Q263">
        <v>164</v>
      </c>
      <c r="R263">
        <v>216</v>
      </c>
      <c r="S263">
        <v>0.28100000000000003</v>
      </c>
      <c r="T263">
        <v>0.28100000000000003</v>
      </c>
      <c r="U263">
        <v>62.5</v>
      </c>
      <c r="V263">
        <v>62.5</v>
      </c>
      <c r="W263">
        <v>2.72E-5</v>
      </c>
      <c r="X263">
        <v>1.2899999999999999E-4</v>
      </c>
      <c r="Y263">
        <v>1.56E-4</v>
      </c>
      <c r="Z263">
        <v>4.0899999999999999E-2</v>
      </c>
      <c r="AB263">
        <v>56.1</v>
      </c>
      <c r="AE263">
        <v>1E-3</v>
      </c>
      <c r="AF263">
        <v>1.0999999999999999E-2</v>
      </c>
      <c r="AH263">
        <v>3.1E-6</v>
      </c>
      <c r="AI263" t="s">
        <v>49</v>
      </c>
      <c r="AJ263" t="s">
        <v>50</v>
      </c>
      <c r="AK263" t="s">
        <v>67</v>
      </c>
      <c r="AL263">
        <v>0.28100000000000003</v>
      </c>
      <c r="AM263">
        <v>5.4400000000000001E-5</v>
      </c>
      <c r="AN263">
        <v>9.5099999999999994E-5</v>
      </c>
      <c r="AQ263" t="s">
        <v>54</v>
      </c>
    </row>
    <row r="264" spans="1:43" x14ac:dyDescent="0.25">
      <c r="A264" t="s">
        <v>544</v>
      </c>
      <c r="B264" t="s">
        <v>452</v>
      </c>
      <c r="C264">
        <v>101</v>
      </c>
      <c r="D264">
        <v>158</v>
      </c>
      <c r="E264">
        <v>7.51E-2</v>
      </c>
      <c r="F264">
        <v>73700</v>
      </c>
      <c r="G264">
        <v>1.03E-4</v>
      </c>
      <c r="H264">
        <v>8.7499999999999994E-2</v>
      </c>
      <c r="I264">
        <v>1.01E-5</v>
      </c>
      <c r="J264">
        <v>28.2</v>
      </c>
      <c r="K264">
        <v>26.7</v>
      </c>
      <c r="L264">
        <v>0.26700000000000002</v>
      </c>
      <c r="M264">
        <v>2</v>
      </c>
      <c r="N264">
        <v>1.07</v>
      </c>
      <c r="O264">
        <v>3.37</v>
      </c>
      <c r="P264">
        <v>1</v>
      </c>
      <c r="Q264">
        <v>9.35</v>
      </c>
      <c r="R264">
        <v>35.1</v>
      </c>
      <c r="S264">
        <v>5.62</v>
      </c>
      <c r="T264">
        <v>5.62</v>
      </c>
      <c r="U264">
        <v>1.9E-2</v>
      </c>
      <c r="V264">
        <v>1.9E-2</v>
      </c>
      <c r="W264">
        <v>2.43E-4</v>
      </c>
      <c r="X264">
        <v>1.15E-3</v>
      </c>
      <c r="Y264">
        <v>1.4E-3</v>
      </c>
      <c r="AB264">
        <v>2.61</v>
      </c>
      <c r="AG264">
        <v>7.0000000000000001E-3</v>
      </c>
      <c r="AH264" t="s">
        <v>48</v>
      </c>
      <c r="AI264" t="s">
        <v>49</v>
      </c>
      <c r="AJ264" t="s">
        <v>50</v>
      </c>
      <c r="AL264">
        <v>5.62</v>
      </c>
      <c r="AM264">
        <v>4.86E-4</v>
      </c>
      <c r="AN264">
        <v>8.4999999999999995E-4</v>
      </c>
      <c r="AQ264" t="s">
        <v>54</v>
      </c>
    </row>
    <row r="265" spans="1:43" x14ac:dyDescent="0.25">
      <c r="A265" t="s">
        <v>751</v>
      </c>
      <c r="B265" t="s">
        <v>750</v>
      </c>
      <c r="C265">
        <v>150.18</v>
      </c>
      <c r="D265">
        <v>321.17</v>
      </c>
      <c r="E265">
        <v>2.6E-7</v>
      </c>
      <c r="F265">
        <v>1000000</v>
      </c>
      <c r="G265">
        <v>3.1599999999999999E-11</v>
      </c>
      <c r="H265">
        <v>5.0900000000000001E-2</v>
      </c>
      <c r="I265">
        <v>8.0600000000000008E-6</v>
      </c>
      <c r="J265">
        <v>1.78E-2</v>
      </c>
      <c r="K265">
        <v>10</v>
      </c>
      <c r="P265">
        <v>1</v>
      </c>
      <c r="U265">
        <v>399</v>
      </c>
      <c r="V265">
        <v>399</v>
      </c>
      <c r="W265">
        <v>1.4000000000000001E-10</v>
      </c>
      <c r="X265">
        <v>4.4500000000000001E-10</v>
      </c>
      <c r="AB265">
        <v>0.89329999999999998</v>
      </c>
      <c r="AC265">
        <v>0.89329999999999998</v>
      </c>
      <c r="AE265">
        <v>2</v>
      </c>
    </row>
    <row r="266" spans="1:43" x14ac:dyDescent="0.25">
      <c r="A266" t="s">
        <v>542</v>
      </c>
      <c r="B266" t="s">
        <v>541</v>
      </c>
      <c r="C266">
        <v>178.23</v>
      </c>
      <c r="D266">
        <v>275.95</v>
      </c>
      <c r="E266">
        <v>3.1399999999999999E-4</v>
      </c>
      <c r="F266">
        <v>248500</v>
      </c>
      <c r="G266">
        <v>3.24E-9</v>
      </c>
      <c r="J266">
        <v>0.17</v>
      </c>
      <c r="K266">
        <v>10</v>
      </c>
      <c r="M266">
        <v>0.75</v>
      </c>
      <c r="N266">
        <v>0.4</v>
      </c>
      <c r="P266">
        <v>1</v>
      </c>
      <c r="AB266">
        <v>0.90200000000000002</v>
      </c>
      <c r="AC266">
        <v>0.90200000000000002</v>
      </c>
    </row>
    <row r="267" spans="1:43" x14ac:dyDescent="0.25">
      <c r="A267" t="s">
        <v>507</v>
      </c>
      <c r="B267" t="s">
        <v>512</v>
      </c>
      <c r="C267">
        <v>84.04</v>
      </c>
      <c r="D267">
        <v>122.35</v>
      </c>
      <c r="E267">
        <v>9.1300000000000008</v>
      </c>
      <c r="F267">
        <v>760.9</v>
      </c>
      <c r="G267">
        <v>0.77</v>
      </c>
      <c r="J267">
        <v>54.95</v>
      </c>
      <c r="K267">
        <v>43.89</v>
      </c>
      <c r="M267">
        <v>3.29175</v>
      </c>
      <c r="N267">
        <v>1.7556</v>
      </c>
      <c r="P267">
        <v>1</v>
      </c>
      <c r="AB267">
        <v>6.3090000000000002</v>
      </c>
      <c r="AC267">
        <v>6.3090000000000002</v>
      </c>
      <c r="AK267" t="s">
        <v>713</v>
      </c>
    </row>
    <row r="268" spans="1:43" x14ac:dyDescent="0.25">
      <c r="A268" t="s">
        <v>543</v>
      </c>
      <c r="B268" t="s">
        <v>453</v>
      </c>
      <c r="C268">
        <v>335</v>
      </c>
      <c r="D268">
        <v>322</v>
      </c>
      <c r="E268">
        <v>6.0300000000000004E-8</v>
      </c>
      <c r="F268">
        <v>0.184</v>
      </c>
      <c r="G268">
        <v>1.1E-4</v>
      </c>
      <c r="H268">
        <v>3.9399999999999998E-2</v>
      </c>
      <c r="I268">
        <v>4.5600000000000004E-6</v>
      </c>
      <c r="J268">
        <v>219000</v>
      </c>
      <c r="K268">
        <v>178000</v>
      </c>
      <c r="L268">
        <v>1780</v>
      </c>
      <c r="M268">
        <v>13300</v>
      </c>
      <c r="N268">
        <v>7100</v>
      </c>
      <c r="O268">
        <v>6.66</v>
      </c>
      <c r="P268">
        <v>0.99</v>
      </c>
      <c r="Q268">
        <v>3010</v>
      </c>
      <c r="R268">
        <v>1.69</v>
      </c>
      <c r="S268">
        <v>3.1699999999999999E-2</v>
      </c>
      <c r="T268">
        <v>3.1699999999999999E-2</v>
      </c>
      <c r="U268">
        <v>248</v>
      </c>
      <c r="V268">
        <v>248</v>
      </c>
      <c r="W268">
        <v>8.5699999999999995E-3</v>
      </c>
      <c r="X268">
        <v>4.07E-2</v>
      </c>
      <c r="Y268">
        <v>4.9299999999999997E-2</v>
      </c>
      <c r="AB268">
        <v>2580</v>
      </c>
      <c r="AC268">
        <v>16700</v>
      </c>
      <c r="AE268">
        <v>7.4999999999999997E-3</v>
      </c>
      <c r="AF268">
        <v>7.7000000000000002E-3</v>
      </c>
      <c r="AH268" t="s">
        <v>48</v>
      </c>
      <c r="AI268" t="s">
        <v>49</v>
      </c>
      <c r="AJ268" t="s">
        <v>50</v>
      </c>
      <c r="AL268">
        <v>3.1699999999999999E-2</v>
      </c>
      <c r="AM268">
        <v>1.7100000000000001E-2</v>
      </c>
      <c r="AN268">
        <v>0.03</v>
      </c>
      <c r="AQ268" t="s">
        <v>54</v>
      </c>
    </row>
    <row r="269" spans="1:43" x14ac:dyDescent="0.25">
      <c r="A269" t="s">
        <v>545</v>
      </c>
      <c r="B269" t="s">
        <v>546</v>
      </c>
      <c r="C269">
        <v>206.28</v>
      </c>
      <c r="D269">
        <v>330.4</v>
      </c>
      <c r="E269">
        <v>6.7999999999999995E-7</v>
      </c>
      <c r="F269">
        <v>127000</v>
      </c>
      <c r="G269">
        <v>2.3600000000000001E-11</v>
      </c>
      <c r="J269">
        <v>1.04</v>
      </c>
      <c r="K269">
        <v>10</v>
      </c>
      <c r="M269">
        <v>0.75</v>
      </c>
      <c r="N269">
        <v>0.4</v>
      </c>
      <c r="P269">
        <v>0.99967499999999998</v>
      </c>
      <c r="AB269">
        <v>0.94399999999999995</v>
      </c>
      <c r="AC269">
        <v>0.94399999999999995</v>
      </c>
    </row>
    <row r="270" spans="1:43" x14ac:dyDescent="0.25">
      <c r="A270" t="s">
        <v>554</v>
      </c>
      <c r="B270" t="s">
        <v>43</v>
      </c>
      <c r="C270">
        <v>120</v>
      </c>
      <c r="D270">
        <v>229</v>
      </c>
      <c r="E270">
        <v>2.7599999999999999E-3</v>
      </c>
      <c r="F270">
        <v>57</v>
      </c>
      <c r="G270">
        <v>5.8300000000000001E-3</v>
      </c>
      <c r="H270">
        <v>7.8E-2</v>
      </c>
      <c r="I270">
        <v>9.0299999999999999E-6</v>
      </c>
      <c r="J270">
        <v>4270</v>
      </c>
      <c r="K270">
        <v>3700</v>
      </c>
      <c r="L270">
        <v>37</v>
      </c>
      <c r="M270">
        <v>278</v>
      </c>
      <c r="N270">
        <v>148</v>
      </c>
      <c r="O270">
        <v>9.0299999999999994</v>
      </c>
      <c r="P270">
        <v>1</v>
      </c>
      <c r="Q270">
        <v>145</v>
      </c>
      <c r="R270">
        <v>3.91</v>
      </c>
      <c r="S270">
        <v>0.309</v>
      </c>
      <c r="T270">
        <v>0.309</v>
      </c>
      <c r="U270">
        <v>7.0499999999999993E-2</v>
      </c>
      <c r="V270">
        <v>7.0499999999999993E-2</v>
      </c>
      <c r="W270">
        <v>4.1799999999999997E-3</v>
      </c>
      <c r="X270">
        <v>1.9900000000000001E-2</v>
      </c>
      <c r="Y270">
        <v>2.41E-2</v>
      </c>
      <c r="AB270">
        <v>124</v>
      </c>
      <c r="AE270">
        <v>0.05</v>
      </c>
      <c r="AG270">
        <v>7.0000000000000001E-3</v>
      </c>
      <c r="AH270" t="s">
        <v>48</v>
      </c>
      <c r="AI270" t="s">
        <v>49</v>
      </c>
      <c r="AJ270" t="s">
        <v>50</v>
      </c>
      <c r="AL270">
        <v>0.309</v>
      </c>
      <c r="AM270">
        <v>8.3700000000000007E-3</v>
      </c>
      <c r="AN270">
        <v>1.46E-2</v>
      </c>
      <c r="AQ270" t="s">
        <v>54</v>
      </c>
    </row>
    <row r="271" spans="1:43" x14ac:dyDescent="0.25">
      <c r="A271" t="s">
        <v>456</v>
      </c>
      <c r="B271" t="s">
        <v>457</v>
      </c>
      <c r="C271">
        <v>120</v>
      </c>
      <c r="D271">
        <v>228</v>
      </c>
      <c r="E271">
        <v>3.2599999999999999E-3</v>
      </c>
      <c r="F271">
        <v>48.2</v>
      </c>
      <c r="G271">
        <v>8.77E-3</v>
      </c>
      <c r="H271">
        <v>6.0199999999999997E-2</v>
      </c>
      <c r="I271">
        <v>8.67E-6</v>
      </c>
      <c r="J271">
        <v>2630</v>
      </c>
      <c r="K271">
        <v>612</v>
      </c>
      <c r="L271">
        <v>6.12</v>
      </c>
      <c r="M271">
        <v>45.9</v>
      </c>
      <c r="N271">
        <v>24.5</v>
      </c>
      <c r="P271">
        <v>1</v>
      </c>
      <c r="Q271">
        <v>99.9</v>
      </c>
      <c r="R271">
        <v>16.3</v>
      </c>
      <c r="S271">
        <v>0.40899999999999997</v>
      </c>
      <c r="T271">
        <v>0.40899999999999997</v>
      </c>
      <c r="U271">
        <v>2.8000000000000001E-2</v>
      </c>
      <c r="V271">
        <v>2.8000000000000001E-2</v>
      </c>
      <c r="W271">
        <v>3.5000000000000001E-3</v>
      </c>
      <c r="X271">
        <v>1.66E-2</v>
      </c>
      <c r="Y271">
        <v>2.01E-2</v>
      </c>
      <c r="Z271">
        <v>2.0899999999999998E-2</v>
      </c>
      <c r="AB271">
        <v>85.8</v>
      </c>
      <c r="AE271">
        <v>0.05</v>
      </c>
      <c r="AH271" t="s">
        <v>48</v>
      </c>
      <c r="AI271" t="s">
        <v>49</v>
      </c>
      <c r="AJ271" t="s">
        <v>50</v>
      </c>
      <c r="AL271">
        <v>0.40899999999999997</v>
      </c>
      <c r="AM271">
        <v>6.9899999999999997E-3</v>
      </c>
      <c r="AN271">
        <v>1.2200000000000001E-2</v>
      </c>
      <c r="AQ271" t="s">
        <v>54</v>
      </c>
    </row>
    <row r="272" spans="1:43" x14ac:dyDescent="0.25">
      <c r="A272" t="s">
        <v>752</v>
      </c>
      <c r="B272" t="s">
        <v>749</v>
      </c>
      <c r="C272">
        <v>120</v>
      </c>
      <c r="D272">
        <v>228.5</v>
      </c>
      <c r="E272">
        <v>3.0099999999999997E-3</v>
      </c>
      <c r="F272">
        <v>52.6</v>
      </c>
      <c r="G272">
        <v>7.3000000000000001E-3</v>
      </c>
      <c r="H272">
        <v>6.9099999999999995E-2</v>
      </c>
      <c r="I272">
        <v>8.85E-6</v>
      </c>
      <c r="J272">
        <v>3450</v>
      </c>
      <c r="K272">
        <v>2156</v>
      </c>
      <c r="L272">
        <v>21.56</v>
      </c>
      <c r="M272">
        <v>161.94999999999999</v>
      </c>
      <c r="N272">
        <v>86.25</v>
      </c>
      <c r="O272">
        <v>9.0299999999999994</v>
      </c>
      <c r="P272">
        <v>1</v>
      </c>
      <c r="Q272">
        <v>122.45</v>
      </c>
      <c r="R272">
        <v>10.105</v>
      </c>
      <c r="S272">
        <v>0.35899999999999999</v>
      </c>
      <c r="T272">
        <v>0.35899999999999999</v>
      </c>
      <c r="U272">
        <v>4.9249999999999995E-2</v>
      </c>
      <c r="V272">
        <v>4.9249999999999995E-2</v>
      </c>
      <c r="W272">
        <v>3.8399999999999997E-3</v>
      </c>
      <c r="X272">
        <v>1.8250000000000002E-2</v>
      </c>
      <c r="Y272">
        <v>2.2100000000000002E-2</v>
      </c>
      <c r="Z272">
        <v>2.0899999999999998E-2</v>
      </c>
      <c r="AB272">
        <v>104.9</v>
      </c>
      <c r="AE272">
        <v>0.05</v>
      </c>
      <c r="AG272">
        <v>7.0000000000000001E-3</v>
      </c>
      <c r="AJ272" t="s">
        <v>50</v>
      </c>
      <c r="AL272">
        <v>0.35899999999999999</v>
      </c>
      <c r="AM272">
        <v>7.6800000000000002E-3</v>
      </c>
      <c r="AN272">
        <v>1.34E-2</v>
      </c>
      <c r="AQ272" t="s">
        <v>54</v>
      </c>
    </row>
    <row r="273" spans="1:43" x14ac:dyDescent="0.25">
      <c r="A273" t="s">
        <v>547</v>
      </c>
      <c r="B273" t="s">
        <v>548</v>
      </c>
      <c r="C273">
        <v>114.23</v>
      </c>
      <c r="D273">
        <v>188.04</v>
      </c>
      <c r="E273">
        <v>5.8000000000000003E-2</v>
      </c>
      <c r="F273">
        <v>9.91</v>
      </c>
      <c r="G273">
        <v>3.01</v>
      </c>
      <c r="H273">
        <v>5.74E-2</v>
      </c>
      <c r="I273">
        <v>7.0600000000000002E-6</v>
      </c>
      <c r="J273">
        <v>12302</v>
      </c>
      <c r="K273">
        <v>240.3</v>
      </c>
      <c r="M273">
        <v>18.022500000000001</v>
      </c>
      <c r="N273">
        <v>9.6120000000000001</v>
      </c>
      <c r="P273">
        <v>1</v>
      </c>
      <c r="U273">
        <v>0.16300000000000001</v>
      </c>
      <c r="V273">
        <v>0.16300000000000001</v>
      </c>
      <c r="W273">
        <v>9.7200000000000004E-5</v>
      </c>
      <c r="X273">
        <v>3.0800000000000001E-4</v>
      </c>
      <c r="AB273">
        <v>428.2</v>
      </c>
      <c r="AC273">
        <v>428.2</v>
      </c>
    </row>
    <row r="274" spans="1:43" x14ac:dyDescent="0.25">
      <c r="A274" t="s">
        <v>754</v>
      </c>
      <c r="B274" t="s">
        <v>431</v>
      </c>
      <c r="C274">
        <v>174</v>
      </c>
      <c r="D274">
        <v>294</v>
      </c>
      <c r="E274">
        <v>1.0499999999999999E-5</v>
      </c>
      <c r="F274">
        <v>37.6</v>
      </c>
      <c r="G274">
        <v>4.88E-5</v>
      </c>
      <c r="H274">
        <v>6.0900000000000003E-2</v>
      </c>
      <c r="I274">
        <v>7.0500000000000003E-6</v>
      </c>
      <c r="J274">
        <v>5500</v>
      </c>
      <c r="K274">
        <v>4750</v>
      </c>
      <c r="L274">
        <v>47.5</v>
      </c>
      <c r="M274">
        <v>356</v>
      </c>
      <c r="N274">
        <v>190</v>
      </c>
      <c r="O274">
        <v>3.37</v>
      </c>
      <c r="P274">
        <v>1</v>
      </c>
      <c r="Q274">
        <v>176</v>
      </c>
      <c r="R274">
        <v>3.71</v>
      </c>
      <c r="S274">
        <v>0.26700000000000002</v>
      </c>
      <c r="T274">
        <v>0.26700000000000002</v>
      </c>
      <c r="U274">
        <v>11</v>
      </c>
      <c r="V274">
        <v>11</v>
      </c>
      <c r="W274">
        <v>4.5599999999999998E-3</v>
      </c>
      <c r="X274">
        <v>2.1700000000000001E-2</v>
      </c>
      <c r="Y274">
        <v>2.6200000000000001E-2</v>
      </c>
      <c r="AB274">
        <v>151</v>
      </c>
      <c r="AG274">
        <v>6.9999999999999994E-5</v>
      </c>
      <c r="AH274">
        <v>1.1E-5</v>
      </c>
      <c r="AI274" t="s">
        <v>49</v>
      </c>
      <c r="AJ274" t="s">
        <v>50</v>
      </c>
      <c r="AL274">
        <v>0.26700000000000002</v>
      </c>
      <c r="AM274">
        <v>9.1199999999999996E-3</v>
      </c>
      <c r="AN274">
        <v>1.6E-2</v>
      </c>
      <c r="AQ274" t="s">
        <v>54</v>
      </c>
    </row>
    <row r="275" spans="1:43" x14ac:dyDescent="0.25">
      <c r="A275" t="s">
        <v>549</v>
      </c>
      <c r="B275" t="s">
        <v>550</v>
      </c>
      <c r="C275">
        <v>50.94</v>
      </c>
      <c r="D275">
        <v>462.6</v>
      </c>
      <c r="E275">
        <v>5.5500000000000004E-12</v>
      </c>
      <c r="F275">
        <v>86400</v>
      </c>
      <c r="G275">
        <v>2.4500000000000001E-2</v>
      </c>
      <c r="J275">
        <v>1.7</v>
      </c>
      <c r="K275">
        <v>13.22</v>
      </c>
      <c r="M275">
        <v>0.99150000000000005</v>
      </c>
      <c r="N275">
        <v>0.52880000000000005</v>
      </c>
      <c r="P275">
        <v>0.21199999999999997</v>
      </c>
      <c r="U275">
        <v>5.4999999999999997E-3</v>
      </c>
      <c r="V275">
        <v>5.4999999999999997E-3</v>
      </c>
      <c r="W275">
        <v>2.0000000000000002E-5</v>
      </c>
      <c r="X275">
        <v>2.5000000000000001E-3</v>
      </c>
      <c r="AB275">
        <v>0.98340000000000005</v>
      </c>
      <c r="AC275">
        <v>0.98340000000000005</v>
      </c>
    </row>
    <row r="276" spans="1:43" x14ac:dyDescent="0.25">
      <c r="A276" t="s">
        <v>458</v>
      </c>
      <c r="B276" t="s">
        <v>459</v>
      </c>
      <c r="C276">
        <v>86.1</v>
      </c>
      <c r="D276">
        <v>180</v>
      </c>
      <c r="E276">
        <v>0.11799999999999999</v>
      </c>
      <c r="F276">
        <v>20000</v>
      </c>
      <c r="G276">
        <v>5.1000000000000004E-4</v>
      </c>
      <c r="H276">
        <v>8.5000000000000006E-2</v>
      </c>
      <c r="I276">
        <v>9.2E-6</v>
      </c>
      <c r="J276">
        <v>5.37</v>
      </c>
      <c r="K276">
        <v>5.22</v>
      </c>
      <c r="L276">
        <v>0.79</v>
      </c>
      <c r="M276">
        <v>0.39</v>
      </c>
      <c r="N276">
        <v>0.21</v>
      </c>
      <c r="P276">
        <v>1</v>
      </c>
      <c r="Q276">
        <v>7.16</v>
      </c>
      <c r="R276">
        <v>9.06</v>
      </c>
      <c r="S276">
        <v>8.3800000000000008</v>
      </c>
      <c r="T276">
        <v>8.3800000000000008</v>
      </c>
      <c r="U276">
        <v>6.5700000000000003E-4</v>
      </c>
      <c r="V276">
        <v>6.5700000000000003E-4</v>
      </c>
      <c r="W276">
        <v>5.8900000000000002E-5</v>
      </c>
      <c r="X276">
        <v>2.7999999999999998E-4</v>
      </c>
      <c r="Y276">
        <v>3.39E-4</v>
      </c>
      <c r="Z276">
        <v>3.9700000000000003E-5</v>
      </c>
      <c r="AB276">
        <v>3.16</v>
      </c>
      <c r="AG276">
        <v>0.2</v>
      </c>
      <c r="AH276" t="s">
        <v>48</v>
      </c>
      <c r="AI276" t="s">
        <v>49</v>
      </c>
      <c r="AJ276" t="s">
        <v>50</v>
      </c>
      <c r="AL276">
        <v>8.3800000000000008</v>
      </c>
      <c r="AM276">
        <v>1.18E-4</v>
      </c>
      <c r="AN276">
        <v>2.0599999999999999E-4</v>
      </c>
      <c r="AQ276" t="s">
        <v>54</v>
      </c>
    </row>
    <row r="277" spans="1:43" x14ac:dyDescent="0.25">
      <c r="A277" t="s">
        <v>636</v>
      </c>
      <c r="B277" t="s">
        <v>481</v>
      </c>
      <c r="C277">
        <v>106.95</v>
      </c>
      <c r="D277">
        <v>180.46</v>
      </c>
      <c r="E277">
        <v>1.37</v>
      </c>
      <c r="F277">
        <v>5079</v>
      </c>
      <c r="G277">
        <v>1.23E-2</v>
      </c>
      <c r="H277">
        <v>8.6199999999999999E-2</v>
      </c>
      <c r="I277">
        <v>1.17E-5</v>
      </c>
      <c r="J277">
        <v>33.1</v>
      </c>
      <c r="K277">
        <v>21.73</v>
      </c>
      <c r="M277">
        <v>1.62975</v>
      </c>
      <c r="N277">
        <v>0.86920000000000008</v>
      </c>
      <c r="P277">
        <v>1</v>
      </c>
      <c r="U277">
        <v>4.7300000000000004</v>
      </c>
      <c r="V277">
        <v>4.7300000000000004</v>
      </c>
      <c r="W277">
        <v>2.9400000000000001E-7</v>
      </c>
      <c r="X277">
        <v>9.2900000000000002E-7</v>
      </c>
      <c r="AB277">
        <v>4.2140000000000004</v>
      </c>
      <c r="AC277">
        <v>4.2140000000000004</v>
      </c>
      <c r="AG277">
        <v>3.0000000000000001E-3</v>
      </c>
      <c r="AJ277" t="s">
        <v>50</v>
      </c>
    </row>
    <row r="278" spans="1:43" x14ac:dyDescent="0.25">
      <c r="A278" t="s">
        <v>460</v>
      </c>
      <c r="B278" t="s">
        <v>461</v>
      </c>
      <c r="C278">
        <v>62.5</v>
      </c>
      <c r="D278">
        <v>123</v>
      </c>
      <c r="E278">
        <v>3.95</v>
      </c>
      <c r="F278">
        <v>8800</v>
      </c>
      <c r="G278">
        <v>2.7E-2</v>
      </c>
      <c r="H278">
        <v>0.106</v>
      </c>
      <c r="I278">
        <v>1.2300000000000001E-5</v>
      </c>
      <c r="J278">
        <v>25.1</v>
      </c>
      <c r="K278">
        <v>15.4</v>
      </c>
      <c r="L278">
        <v>3.6999999999999998E-2</v>
      </c>
      <c r="M278">
        <v>1.1499999999999999</v>
      </c>
      <c r="N278">
        <v>0.62</v>
      </c>
      <c r="O278">
        <v>1.41</v>
      </c>
      <c r="P278">
        <v>1</v>
      </c>
      <c r="Q278">
        <v>9.09</v>
      </c>
      <c r="R278">
        <v>246</v>
      </c>
      <c r="S278">
        <v>6.01</v>
      </c>
      <c r="T278">
        <v>6.01</v>
      </c>
      <c r="U278">
        <v>6.41E-5</v>
      </c>
      <c r="V278">
        <v>6.41E-5</v>
      </c>
      <c r="W278">
        <v>2.22E-4</v>
      </c>
      <c r="X278">
        <v>1.0499999999999999E-3</v>
      </c>
      <c r="Y278">
        <v>1.2800000000000001E-3</v>
      </c>
      <c r="Z278">
        <v>1.11E-4</v>
      </c>
      <c r="AB278">
        <v>2.39</v>
      </c>
      <c r="AE278">
        <v>3.0000000000000001E-3</v>
      </c>
      <c r="AF278">
        <v>0.72</v>
      </c>
      <c r="AG278">
        <v>0.1</v>
      </c>
      <c r="AH278">
        <v>8.8000000000000004E-6</v>
      </c>
      <c r="AI278" t="s">
        <v>49</v>
      </c>
      <c r="AJ278" t="s">
        <v>50</v>
      </c>
      <c r="AL278">
        <v>6.01</v>
      </c>
      <c r="AM278">
        <v>4.44E-4</v>
      </c>
      <c r="AN278">
        <v>7.76E-4</v>
      </c>
      <c r="AQ278" t="s">
        <v>54</v>
      </c>
    </row>
    <row r="279" spans="1:43" x14ac:dyDescent="0.25">
      <c r="A279" t="s">
        <v>708</v>
      </c>
      <c r="B279" t="s">
        <v>462</v>
      </c>
      <c r="P279">
        <v>1</v>
      </c>
      <c r="AB279" t="s">
        <v>63</v>
      </c>
      <c r="AH279" t="s">
        <v>48</v>
      </c>
      <c r="AI279" t="s">
        <v>49</v>
      </c>
      <c r="AJ279" t="s">
        <v>50</v>
      </c>
      <c r="AQ279" t="s">
        <v>54</v>
      </c>
    </row>
    <row r="280" spans="1:43" x14ac:dyDescent="0.25">
      <c r="A280" t="s">
        <v>764</v>
      </c>
      <c r="B280" t="s">
        <v>765</v>
      </c>
    </row>
    <row r="281" spans="1:43" x14ac:dyDescent="0.25">
      <c r="A281" t="s">
        <v>709</v>
      </c>
      <c r="B281" t="s">
        <v>464</v>
      </c>
      <c r="C281">
        <v>107</v>
      </c>
      <c r="D281">
        <v>256</v>
      </c>
      <c r="E281">
        <v>1.0500000000000001E-2</v>
      </c>
      <c r="F281">
        <v>106</v>
      </c>
      <c r="G281">
        <v>1.06E-2</v>
      </c>
      <c r="H281">
        <v>8.4199999999999997E-2</v>
      </c>
      <c r="I281">
        <v>9.7499999999999998E-6</v>
      </c>
      <c r="J281">
        <v>1450</v>
      </c>
      <c r="K281">
        <v>381</v>
      </c>
      <c r="L281">
        <v>3.81</v>
      </c>
      <c r="M281">
        <v>28.6</v>
      </c>
      <c r="N281">
        <v>15.2</v>
      </c>
      <c r="O281">
        <v>8.43</v>
      </c>
      <c r="P281">
        <v>1</v>
      </c>
      <c r="Q281">
        <v>63</v>
      </c>
      <c r="R281">
        <v>16.5</v>
      </c>
      <c r="S281">
        <v>0.57799999999999996</v>
      </c>
      <c r="T281">
        <v>0.57799999999999996</v>
      </c>
      <c r="U281">
        <v>1.2200000000000001E-2</v>
      </c>
      <c r="V281">
        <v>1.2200000000000001E-2</v>
      </c>
      <c r="W281">
        <v>2.7200000000000002E-3</v>
      </c>
      <c r="X281">
        <v>1.29E-2</v>
      </c>
      <c r="Y281">
        <v>1.5599999999999999E-2</v>
      </c>
      <c r="AB281">
        <v>54.1</v>
      </c>
      <c r="AE281">
        <v>0.2</v>
      </c>
      <c r="AG281">
        <v>0.1</v>
      </c>
      <c r="AH281" t="s">
        <v>48</v>
      </c>
      <c r="AI281" t="s">
        <v>49</v>
      </c>
      <c r="AJ281" t="s">
        <v>50</v>
      </c>
      <c r="AL281">
        <v>0.57799999999999996</v>
      </c>
      <c r="AM281">
        <v>5.4400000000000004E-3</v>
      </c>
      <c r="AN281">
        <v>9.5200000000000007E-3</v>
      </c>
      <c r="AQ281" t="s">
        <v>54</v>
      </c>
    </row>
    <row r="282" spans="1:43" x14ac:dyDescent="0.25">
      <c r="A282" t="s">
        <v>551</v>
      </c>
      <c r="B282" t="s">
        <v>756</v>
      </c>
      <c r="C282">
        <v>65.38</v>
      </c>
      <c r="D282">
        <v>693</v>
      </c>
      <c r="P282">
        <v>0</v>
      </c>
      <c r="AE28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2008 COPC Table</vt:lpstr>
      <vt:lpstr>PAHs check</vt:lpstr>
      <vt:lpstr>dichlorobenzene check</vt:lpstr>
      <vt:lpstr>chromium check</vt:lpstr>
      <vt:lpstr>cresols check</vt:lpstr>
      <vt:lpstr>xylenes check</vt:lpstr>
      <vt:lpstr>dioxins check_speciation_sums</vt:lpstr>
      <vt:lpstr>aldehydes check</vt:lpstr>
      <vt:lpstr>2011 COPC Table_references</vt:lpstr>
      <vt:lpstr>COPC_2011_Final</vt:lpstr>
      <vt:lpstr>COPC_2011_Final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Ellickson, Kristie</dc:creator>
  <cp:lastModifiedBy>Pratt, Gregory</cp:lastModifiedBy>
  <dcterms:created xsi:type="dcterms:W3CDTF">2015-06-15T14:52:02Z</dcterms:created>
  <dcterms:modified xsi:type="dcterms:W3CDTF">2016-03-24T14:56:15Z</dcterms:modified>
</cp:coreProperties>
</file>